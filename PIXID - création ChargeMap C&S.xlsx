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pixidfr-my.sharepoint.com/personal/t_misra_pixid_com/Documents/"/>
    </mc:Choice>
  </mc:AlternateContent>
  <xr:revisionPtr revIDLastSave="0" documentId="8_{9BF7E244-53A8-4F89-89B6-7E9D2A4260B4}" xr6:coauthVersionLast="47" xr6:coauthVersionMax="47" xr10:uidLastSave="{00000000-0000-0000-0000-000000000000}"/>
  <bookViews>
    <workbookView xWindow="-108" yWindow="-108" windowWidth="23256" windowHeight="13896" firstSheet="1" activeTab="1" xr2:uid="{06531963-433B-45BD-9CC2-B04EA3F06BD2}"/>
  </bookViews>
  <sheets>
    <sheet name="ORIGINAL" sheetId="1" r:id="rId1"/>
    <sheet name="DOCUMENT DE TRAVAIL" sheetId="2" r:id="rId2"/>
    <sheet name="records (4)" sheetId="6" r:id="rId3"/>
    <sheet name="records" sheetId="3" r:id="rId4"/>
    <sheet name="records (2)" sheetId="4" r:id="rId5"/>
    <sheet name="records (3)" sheetId="5" r:id="rId6"/>
  </sheets>
  <definedNames>
    <definedName name="_xlnm._FilterDatabase" localSheetId="0" hidden="1">ORIGINAL!$A$7:$L$351</definedName>
    <definedName name="_xlnm._FilterDatabase" localSheetId="3" hidden="1">records!$A$1:$V$317</definedName>
    <definedName name="_xlnm._FilterDatabase" localSheetId="1" hidden="1">'DOCUMENT DE TRAVAIL'!$A$7:$AR$350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7" i="2" l="1"/>
  <c r="AC21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4" i="2"/>
  <c r="AI215" i="2"/>
  <c r="AI216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9" i="2"/>
  <c r="AI300" i="2"/>
  <c r="AI301" i="2"/>
  <c r="AI302" i="2"/>
  <c r="AI303" i="2"/>
  <c r="AI304" i="2"/>
  <c r="AI305" i="2"/>
  <c r="AI308" i="2"/>
  <c r="AI309" i="2"/>
  <c r="AI310" i="2"/>
  <c r="AI311" i="2"/>
  <c r="AI312" i="2"/>
  <c r="AI313" i="2"/>
  <c r="AI314" i="2"/>
  <c r="AI315" i="2"/>
  <c r="AI316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8" i="2"/>
  <c r="Y229" i="2"/>
  <c r="Y124" i="2"/>
  <c r="Y288" i="2"/>
  <c r="Y309" i="2"/>
  <c r="Y111" i="2"/>
  <c r="Y113" i="2"/>
  <c r="Y161" i="2"/>
  <c r="Y306" i="2"/>
  <c r="Y219" i="2"/>
  <c r="Y290" i="2"/>
  <c r="Y272" i="2"/>
  <c r="Y163" i="2"/>
  <c r="Y61" i="2"/>
  <c r="Y74" i="2"/>
  <c r="Y334" i="2"/>
  <c r="Y188" i="2"/>
  <c r="Y336" i="2"/>
  <c r="Y315" i="2"/>
  <c r="Y93" i="2"/>
  <c r="Y72" i="2"/>
  <c r="Y313" i="2"/>
  <c r="Y97" i="2"/>
  <c r="Y155" i="2"/>
  <c r="Y340" i="2"/>
  <c r="Y200" i="2"/>
  <c r="Y345" i="2"/>
  <c r="Y17" i="2"/>
  <c r="Y62" i="2"/>
  <c r="Y151" i="2"/>
  <c r="Y115" i="2"/>
  <c r="Y130" i="2"/>
  <c r="Y329" i="2"/>
  <c r="Y283" i="2"/>
  <c r="Y36" i="2"/>
  <c r="Y87" i="2"/>
  <c r="Y100" i="2"/>
  <c r="Y21" i="2"/>
  <c r="Y266" i="2"/>
  <c r="Y292" i="2"/>
  <c r="Y208" i="2"/>
  <c r="Y85" i="2"/>
  <c r="Y162" i="2"/>
  <c r="Y149" i="2"/>
  <c r="Y128" i="2"/>
  <c r="Y99" i="2"/>
  <c r="Y70" i="2"/>
  <c r="Y221" i="2"/>
  <c r="Y211" i="2"/>
  <c r="Y212" i="2"/>
  <c r="Y213" i="2"/>
  <c r="Y275" i="2"/>
  <c r="Y150" i="2"/>
  <c r="Y92" i="2"/>
  <c r="Y135" i="2"/>
  <c r="Y40" i="2"/>
  <c r="Y265" i="2"/>
  <c r="Y103" i="2"/>
  <c r="Y252" i="2"/>
  <c r="Y253" i="2"/>
  <c r="Y338" i="2"/>
  <c r="Y31" i="2"/>
  <c r="Y39" i="2"/>
  <c r="Y53" i="2"/>
  <c r="Y256" i="2"/>
  <c r="Y203" i="2"/>
  <c r="Y204" i="2"/>
  <c r="Y205" i="2"/>
  <c r="Y185" i="2"/>
  <c r="Y158" i="2"/>
  <c r="Y58" i="2"/>
  <c r="Y187" i="2"/>
  <c r="Y339" i="2"/>
  <c r="Y245" i="2"/>
  <c r="Y84" i="2"/>
  <c r="Y335" i="2"/>
  <c r="Y54" i="2"/>
  <c r="Y108" i="2"/>
  <c r="Y164" i="2"/>
  <c r="Y24" i="2"/>
  <c r="Y15" i="2"/>
  <c r="Y122" i="2"/>
  <c r="Y146" i="2"/>
  <c r="Y139" i="2"/>
  <c r="Y88" i="2"/>
  <c r="Y344" i="2"/>
  <c r="Y41" i="2"/>
  <c r="Y193" i="2"/>
  <c r="Y298" i="2"/>
  <c r="Y145" i="2"/>
  <c r="Y44" i="2"/>
  <c r="Y91" i="2"/>
  <c r="Y28" i="2"/>
  <c r="Y11" i="2"/>
  <c r="Y165" i="2"/>
  <c r="Y22" i="2"/>
  <c r="Y226" i="2"/>
  <c r="Y75" i="2"/>
  <c r="Y71" i="2"/>
  <c r="Y342" i="2"/>
  <c r="Y330" i="2"/>
  <c r="Y202" i="2"/>
  <c r="Y312" i="2"/>
  <c r="Y246" i="2"/>
  <c r="Y247" i="2"/>
  <c r="Y184" i="2"/>
  <c r="Y118" i="2"/>
  <c r="Y343" i="2"/>
  <c r="Y209" i="2"/>
  <c r="Y189" i="2"/>
  <c r="Y83" i="2"/>
  <c r="Y194" i="2"/>
  <c r="Y207" i="2"/>
  <c r="Y142" i="2"/>
  <c r="Y10" i="2"/>
  <c r="Y215" i="2"/>
  <c r="Y23" i="2"/>
  <c r="Y183" i="2"/>
  <c r="Y95" i="2"/>
  <c r="Y255" i="2"/>
  <c r="Y26" i="2"/>
  <c r="Y47" i="2"/>
  <c r="Y264" i="2"/>
  <c r="Y299" i="2"/>
  <c r="Y107" i="2"/>
  <c r="Y258" i="2"/>
  <c r="Y78" i="2"/>
  <c r="Y55" i="2"/>
  <c r="Y148" i="2"/>
  <c r="Y134" i="2"/>
  <c r="Y104" i="2"/>
  <c r="Y250" i="2"/>
  <c r="Y248" i="2"/>
  <c r="Y56" i="2"/>
  <c r="Y261" i="2"/>
  <c r="Y333" i="2"/>
  <c r="Y210" i="2"/>
  <c r="Y228" i="2"/>
  <c r="Y316" i="2"/>
  <c r="Y277" i="2"/>
  <c r="Y278" i="2"/>
  <c r="Y279" i="2"/>
  <c r="Y280" i="2"/>
  <c r="Y281" i="2"/>
  <c r="Y282" i="2"/>
  <c r="Y30" i="2"/>
  <c r="Y318" i="2"/>
  <c r="Y60" i="2"/>
  <c r="Y216" i="2"/>
  <c r="Y9" i="2"/>
  <c r="Y43" i="2"/>
  <c r="Y297" i="2"/>
  <c r="Y322" i="2"/>
  <c r="Y271" i="2"/>
  <c r="Y328" i="2"/>
  <c r="Y90" i="2"/>
  <c r="Y227" i="2"/>
  <c r="Y293" i="2"/>
  <c r="Y225" i="2"/>
  <c r="Y131" i="2"/>
  <c r="Y239" i="2"/>
  <c r="Y273" i="2"/>
  <c r="Y254" i="2"/>
  <c r="Y79" i="2"/>
  <c r="Y49" i="2"/>
  <c r="Y80" i="2"/>
  <c r="Y270" i="2"/>
  <c r="Y120" i="2"/>
  <c r="Y259" i="2"/>
  <c r="Y32" i="2"/>
  <c r="Y50" i="2"/>
  <c r="Y52" i="2"/>
  <c r="Y220" i="2"/>
  <c r="Y287" i="2"/>
  <c r="Y143" i="2"/>
  <c r="Y324" i="2"/>
  <c r="Y302" i="2"/>
  <c r="Y13" i="2"/>
  <c r="Y274" i="2"/>
  <c r="Y304" i="2"/>
  <c r="Y12" i="2"/>
  <c r="Y121" i="2"/>
  <c r="Y341" i="2"/>
  <c r="Y307" i="2"/>
  <c r="Y14" i="2"/>
  <c r="Y138" i="2"/>
  <c r="Y129" i="2"/>
  <c r="Y300" i="2"/>
  <c r="Y201" i="2"/>
  <c r="Y214" i="2"/>
  <c r="Y106" i="2"/>
  <c r="Y45" i="2"/>
  <c r="Y137" i="2"/>
  <c r="Y222" i="2"/>
  <c r="Y127" i="2"/>
  <c r="Y109" i="2"/>
  <c r="Y110" i="2"/>
  <c r="Y320" i="2"/>
  <c r="Y19" i="2"/>
  <c r="Y323" i="2"/>
  <c r="Y260" i="2"/>
  <c r="Y234" i="2"/>
  <c r="Y235" i="2"/>
  <c r="Y191" i="2"/>
  <c r="Y232" i="2"/>
  <c r="Y63" i="2"/>
  <c r="Y81" i="2"/>
  <c r="Y35" i="2"/>
  <c r="Y94" i="2"/>
  <c r="Y152" i="2"/>
  <c r="Y198" i="2"/>
  <c r="Y46" i="2"/>
  <c r="Y314" i="2"/>
  <c r="Y244" i="2"/>
  <c r="Y332" i="2"/>
  <c r="Y98" i="2"/>
  <c r="Y192" i="2"/>
  <c r="Y241" i="2"/>
  <c r="Y285" i="2"/>
  <c r="Y284" i="2"/>
  <c r="Y267" i="2"/>
  <c r="Y223" i="2"/>
  <c r="Y224" i="2"/>
  <c r="Y154" i="2"/>
  <c r="Y96" i="2"/>
  <c r="Y141" i="2"/>
  <c r="Y195" i="2"/>
  <c r="Y337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325" i="2"/>
  <c r="Y159" i="2"/>
  <c r="Y296" i="2"/>
  <c r="Y310" i="2"/>
  <c r="Y294" i="2"/>
  <c r="Y76" i="2"/>
  <c r="Y237" i="2"/>
  <c r="Y242" i="2"/>
  <c r="Y86" i="2"/>
  <c r="Y82" i="2"/>
  <c r="Y64" i="2"/>
  <c r="Y230" i="2"/>
  <c r="Y20" i="2"/>
  <c r="Y89" i="2"/>
  <c r="Y268" i="2"/>
  <c r="Y243" i="2"/>
  <c r="Y57" i="2"/>
  <c r="Y233" i="2"/>
  <c r="Y59" i="2"/>
  <c r="Y25" i="2"/>
  <c r="Y240" i="2"/>
  <c r="Y331" i="2"/>
  <c r="Y114" i="2"/>
  <c r="Y160" i="2"/>
  <c r="Y136" i="2"/>
  <c r="Y147" i="2"/>
  <c r="Y69" i="2"/>
  <c r="Y68" i="2"/>
  <c r="Y251" i="2"/>
  <c r="Y133" i="2"/>
  <c r="Y42" i="2"/>
  <c r="Y117" i="2"/>
  <c r="Y126" i="2"/>
  <c r="Y101" i="2"/>
  <c r="Y144" i="2"/>
  <c r="Y132" i="2"/>
  <c r="Y196" i="2"/>
  <c r="Y34" i="2"/>
  <c r="Y38" i="2"/>
  <c r="Y77" i="2"/>
  <c r="Y238" i="2"/>
  <c r="Y206" i="2"/>
  <c r="Y29" i="2"/>
  <c r="Y112" i="2"/>
  <c r="Y48" i="2"/>
  <c r="Y319" i="2"/>
  <c r="Y116" i="2"/>
  <c r="Y182" i="2"/>
  <c r="Y346" i="2"/>
  <c r="Y303" i="2"/>
  <c r="Y326" i="2"/>
  <c r="Y186" i="2"/>
  <c r="Y291" i="2"/>
  <c r="Y105" i="2"/>
  <c r="Y16" i="2"/>
  <c r="Y311" i="2"/>
  <c r="Y236" i="2"/>
  <c r="Y295" i="2"/>
  <c r="Y197" i="2"/>
  <c r="Y301" i="2"/>
  <c r="Y262" i="2"/>
  <c r="Y65" i="2"/>
  <c r="Y66" i="2"/>
  <c r="Y18" i="2"/>
  <c r="Y140" i="2"/>
  <c r="Y123" i="2"/>
  <c r="Y231" i="2"/>
  <c r="Y125" i="2"/>
  <c r="Y27" i="2"/>
  <c r="Y263" i="2"/>
  <c r="Y321" i="2"/>
  <c r="Y73" i="2"/>
  <c r="Y156" i="2"/>
  <c r="Y157" i="2"/>
  <c r="Y276" i="2"/>
  <c r="Y37" i="2"/>
  <c r="Y199" i="2"/>
  <c r="Y257" i="2"/>
  <c r="Y308" i="2"/>
  <c r="Y286" i="2"/>
  <c r="Y67" i="2"/>
  <c r="Y317" i="2"/>
  <c r="Y305" i="2"/>
  <c r="Y190" i="2"/>
  <c r="Y289" i="2"/>
  <c r="Y153" i="2"/>
  <c r="Y8" i="2"/>
  <c r="Y347" i="2"/>
  <c r="Y102" i="2"/>
  <c r="Y327" i="2"/>
  <c r="Y249" i="2"/>
  <c r="Y51" i="2"/>
  <c r="Y119" i="2"/>
  <c r="Y269" i="2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AF180" i="2"/>
  <c r="AH180" i="2"/>
  <c r="AF181" i="2"/>
  <c r="AH181" i="2"/>
  <c r="V181" i="2"/>
  <c r="W181" i="2"/>
  <c r="X181" i="2"/>
  <c r="Z181" i="2"/>
  <c r="V180" i="2"/>
  <c r="W180" i="2"/>
  <c r="X180" i="2"/>
  <c r="Z180" i="2"/>
  <c r="S180" i="2"/>
  <c r="S181" i="2"/>
  <c r="Q181" i="2"/>
  <c r="P181" i="2"/>
  <c r="AH24" i="2"/>
  <c r="AH25" i="2"/>
  <c r="AH26" i="2"/>
  <c r="AH27" i="2"/>
  <c r="AH28" i="2"/>
  <c r="AH29" i="2"/>
  <c r="AH30" i="2"/>
  <c r="AH31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65" i="2"/>
  <c r="AH164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3" i="2"/>
  <c r="AH294" i="2"/>
  <c r="AH295" i="2"/>
  <c r="AH296" i="2"/>
  <c r="AH297" i="2"/>
  <c r="AH299" i="2"/>
  <c r="AH300" i="2"/>
  <c r="AH301" i="2"/>
  <c r="AH302" i="2"/>
  <c r="AH303" i="2"/>
  <c r="AH304" i="2"/>
  <c r="AH305" i="2"/>
  <c r="AH306" i="2"/>
  <c r="AH307" i="2"/>
  <c r="AH308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292" i="2"/>
  <c r="AH309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344" i="2"/>
  <c r="AH345" i="2"/>
  <c r="AH346" i="2"/>
  <c r="AH347" i="2"/>
  <c r="AH8" i="2"/>
  <c r="AG10" i="2"/>
  <c r="AG344" i="2"/>
  <c r="AG345" i="2"/>
  <c r="AG8" i="2"/>
  <c r="AF24" i="2"/>
  <c r="AF25" i="2"/>
  <c r="AF26" i="2"/>
  <c r="AF27" i="2"/>
  <c r="AF28" i="2"/>
  <c r="AF29" i="2"/>
  <c r="AF30" i="2"/>
  <c r="AF31" i="2"/>
  <c r="AF32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62" i="2"/>
  <c r="AF161" i="2"/>
  <c r="AF162" i="2"/>
  <c r="AF163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65" i="2"/>
  <c r="AF164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3" i="2"/>
  <c r="AF294" i="2"/>
  <c r="AF295" i="2"/>
  <c r="AF296" i="2"/>
  <c r="AF297" i="2"/>
  <c r="AF299" i="2"/>
  <c r="AF300" i="2"/>
  <c r="AF301" i="2"/>
  <c r="AF302" i="2"/>
  <c r="AF303" i="2"/>
  <c r="AF304" i="2"/>
  <c r="AF305" i="2"/>
  <c r="AF306" i="2"/>
  <c r="AF307" i="2"/>
  <c r="AF308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292" i="2"/>
  <c r="AF298" i="2"/>
  <c r="AF309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344" i="2"/>
  <c r="AF345" i="2"/>
  <c r="AF346" i="2"/>
  <c r="AF347" i="2"/>
  <c r="AF47" i="2"/>
  <c r="AF8" i="2"/>
  <c r="Z24" i="2"/>
  <c r="Z25" i="2"/>
  <c r="Z26" i="2"/>
  <c r="Z27" i="2"/>
  <c r="Z28" i="2"/>
  <c r="Z29" i="2"/>
  <c r="Z30" i="2"/>
  <c r="Z31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62" i="2"/>
  <c r="Z161" i="2"/>
  <c r="Z162" i="2"/>
  <c r="Z163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65" i="2"/>
  <c r="Z164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3" i="2"/>
  <c r="Z294" i="2"/>
  <c r="Z295" i="2"/>
  <c r="Z296" i="2"/>
  <c r="Z297" i="2"/>
  <c r="Z299" i="2"/>
  <c r="Z300" i="2"/>
  <c r="Z301" i="2"/>
  <c r="Z302" i="2"/>
  <c r="Z303" i="2"/>
  <c r="Z304" i="2"/>
  <c r="Z305" i="2"/>
  <c r="Z306" i="2"/>
  <c r="Z307" i="2"/>
  <c r="Z308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292" i="2"/>
  <c r="Z298" i="2"/>
  <c r="Z309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344" i="2"/>
  <c r="Z345" i="2"/>
  <c r="Z346" i="2"/>
  <c r="Z347" i="2"/>
  <c r="Z47" i="2"/>
  <c r="Z8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62" i="2"/>
  <c r="X161" i="2"/>
  <c r="X162" i="2"/>
  <c r="X163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65" i="2"/>
  <c r="X164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3" i="2"/>
  <c r="X294" i="2"/>
  <c r="X295" i="2"/>
  <c r="X296" i="2"/>
  <c r="X297" i="2"/>
  <c r="X299" i="2"/>
  <c r="X300" i="2"/>
  <c r="X301" i="2"/>
  <c r="X302" i="2"/>
  <c r="X303" i="2"/>
  <c r="X304" i="2"/>
  <c r="X305" i="2"/>
  <c r="X306" i="2"/>
  <c r="X307" i="2"/>
  <c r="X308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292" i="2"/>
  <c r="X298" i="2"/>
  <c r="X309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344" i="2"/>
  <c r="X345" i="2"/>
  <c r="X346" i="2"/>
  <c r="X347" i="2"/>
  <c r="X47" i="2"/>
  <c r="X8" i="2"/>
  <c r="W24" i="2"/>
  <c r="W34" i="2"/>
  <c r="W37" i="2"/>
  <c r="W39" i="2"/>
  <c r="W44" i="2"/>
  <c r="W55" i="2"/>
  <c r="W56" i="2"/>
  <c r="W85" i="2"/>
  <c r="W86" i="2"/>
  <c r="W87" i="2"/>
  <c r="W90" i="2"/>
  <c r="W91" i="2"/>
  <c r="W92" i="2"/>
  <c r="W94" i="2"/>
  <c r="W98" i="2"/>
  <c r="W99" i="2"/>
  <c r="W103" i="2"/>
  <c r="W111" i="2"/>
  <c r="W125" i="2"/>
  <c r="W130" i="2"/>
  <c r="W131" i="2"/>
  <c r="W132" i="2"/>
  <c r="W144" i="2"/>
  <c r="W155" i="2"/>
  <c r="W160" i="2"/>
  <c r="W162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65" i="2"/>
  <c r="W164" i="2"/>
  <c r="W186" i="2"/>
  <c r="W190" i="2"/>
  <c r="W193" i="2"/>
  <c r="W200" i="2"/>
  <c r="W203" i="2"/>
  <c r="W204" i="2"/>
  <c r="W205" i="2"/>
  <c r="W211" i="2"/>
  <c r="W212" i="2"/>
  <c r="W213" i="2"/>
  <c r="W216" i="2"/>
  <c r="W219" i="2"/>
  <c r="W226" i="2"/>
  <c r="W233" i="2"/>
  <c r="W236" i="2"/>
  <c r="W243" i="2"/>
  <c r="W252" i="2"/>
  <c r="W253" i="2"/>
  <c r="W262" i="2"/>
  <c r="W271" i="2"/>
  <c r="W272" i="2"/>
  <c r="W275" i="2"/>
  <c r="W295" i="2"/>
  <c r="W296" i="2"/>
  <c r="W297" i="2"/>
  <c r="W299" i="2"/>
  <c r="W301" i="2"/>
  <c r="W302" i="2"/>
  <c r="W307" i="2"/>
  <c r="W310" i="2"/>
  <c r="W312" i="2"/>
  <c r="W315" i="2"/>
  <c r="W317" i="2"/>
  <c r="W318" i="2"/>
  <c r="W321" i="2"/>
  <c r="W330" i="2"/>
  <c r="W332" i="2"/>
  <c r="W338" i="2"/>
  <c r="W339" i="2"/>
  <c r="W340" i="2"/>
  <c r="W341" i="2"/>
  <c r="W292" i="2"/>
  <c r="W10" i="2"/>
  <c r="W14" i="2"/>
  <c r="W18" i="2"/>
  <c r="W20" i="2"/>
  <c r="W21" i="2"/>
  <c r="W344" i="2"/>
  <c r="W345" i="2"/>
  <c r="W47" i="2"/>
  <c r="W8" i="2"/>
  <c r="V24" i="2"/>
  <c r="V25" i="2"/>
  <c r="V26" i="2"/>
  <c r="V27" i="2"/>
  <c r="V28" i="2"/>
  <c r="V29" i="2"/>
  <c r="V30" i="2"/>
  <c r="V31" i="2"/>
  <c r="V32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62" i="2"/>
  <c r="V161" i="2"/>
  <c r="V162" i="2"/>
  <c r="V163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65" i="2"/>
  <c r="V164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3" i="2"/>
  <c r="V294" i="2"/>
  <c r="V295" i="2"/>
  <c r="V296" i="2"/>
  <c r="V297" i="2"/>
  <c r="V299" i="2"/>
  <c r="V300" i="2"/>
  <c r="V301" i="2"/>
  <c r="V302" i="2"/>
  <c r="V303" i="2"/>
  <c r="V304" i="2"/>
  <c r="V305" i="2"/>
  <c r="V306" i="2"/>
  <c r="V307" i="2"/>
  <c r="V308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292" i="2"/>
  <c r="V298" i="2"/>
  <c r="V309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344" i="2"/>
  <c r="V345" i="2"/>
  <c r="V346" i="2"/>
  <c r="V347" i="2"/>
  <c r="V47" i="2"/>
  <c r="V8" i="2"/>
  <c r="Q24" i="2"/>
  <c r="Q25" i="2"/>
  <c r="Q26" i="2"/>
  <c r="Q27" i="2"/>
  <c r="Q28" i="2"/>
  <c r="Q29" i="2"/>
  <c r="Q30" i="2"/>
  <c r="Q31" i="2"/>
  <c r="Q32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62" i="2"/>
  <c r="Q161" i="2"/>
  <c r="Q162" i="2"/>
  <c r="Q163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65" i="2"/>
  <c r="Q164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3" i="2"/>
  <c r="Q294" i="2"/>
  <c r="Q295" i="2"/>
  <c r="Q296" i="2"/>
  <c r="Q297" i="2"/>
  <c r="Q299" i="2"/>
  <c r="Q300" i="2"/>
  <c r="Q301" i="2"/>
  <c r="Q302" i="2"/>
  <c r="Q303" i="2"/>
  <c r="Q304" i="2"/>
  <c r="Q305" i="2"/>
  <c r="Q306" i="2"/>
  <c r="Q307" i="2"/>
  <c r="Q308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292" i="2"/>
  <c r="Q298" i="2"/>
  <c r="Q309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344" i="2"/>
  <c r="Q345" i="2"/>
  <c r="Q346" i="2"/>
  <c r="Q347" i="2"/>
  <c r="Q47" i="2"/>
  <c r="Q348" i="2"/>
  <c r="Q180" i="2"/>
  <c r="Q8" i="2"/>
  <c r="P24" i="2"/>
  <c r="P25" i="2"/>
  <c r="P26" i="2"/>
  <c r="P27" i="2"/>
  <c r="P28" i="2"/>
  <c r="P29" i="2"/>
  <c r="P30" i="2"/>
  <c r="P31" i="2"/>
  <c r="P32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62" i="2"/>
  <c r="P161" i="2"/>
  <c r="P162" i="2"/>
  <c r="P163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65" i="2"/>
  <c r="P164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3" i="2"/>
  <c r="P294" i="2"/>
  <c r="P295" i="2"/>
  <c r="P296" i="2"/>
  <c r="P297" i="2"/>
  <c r="P299" i="2"/>
  <c r="P300" i="2"/>
  <c r="P301" i="2"/>
  <c r="P302" i="2"/>
  <c r="P303" i="2"/>
  <c r="P304" i="2"/>
  <c r="P305" i="2"/>
  <c r="P306" i="2"/>
  <c r="P307" i="2"/>
  <c r="P308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292" i="2"/>
  <c r="P298" i="2"/>
  <c r="P309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344" i="2"/>
  <c r="P345" i="2"/>
  <c r="P346" i="2"/>
  <c r="P347" i="2"/>
  <c r="P47" i="2"/>
  <c r="P348" i="2"/>
  <c r="P180" i="2"/>
  <c r="P8" i="2"/>
  <c r="S8" i="2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S24" i="2"/>
  <c r="S25" i="2"/>
  <c r="S26" i="2"/>
  <c r="S27" i="2"/>
  <c r="S28" i="2"/>
  <c r="S29" i="2"/>
  <c r="S30" i="2"/>
  <c r="O33" i="2"/>
  <c r="O350" i="2"/>
  <c r="O349" i="2"/>
  <c r="O180" i="2"/>
  <c r="O181" i="2"/>
  <c r="AL181" i="2" s="1"/>
  <c r="O8" i="2"/>
  <c r="AM8" i="2" s="1"/>
  <c r="O9" i="2"/>
  <c r="AL9" i="2" s="1"/>
  <c r="O10" i="2"/>
  <c r="AK10" i="2" s="1"/>
  <c r="O11" i="2"/>
  <c r="AB11" i="2" s="1"/>
  <c r="O12" i="2"/>
  <c r="AB12" i="2" s="1"/>
  <c r="O13" i="2"/>
  <c r="AB13" i="2" s="1"/>
  <c r="O14" i="2"/>
  <c r="O15" i="2"/>
  <c r="AM15" i="2" s="1"/>
  <c r="O16" i="2"/>
  <c r="AB16" i="2" s="1"/>
  <c r="O17" i="2"/>
  <c r="AL17" i="2" s="1"/>
  <c r="O18" i="2"/>
  <c r="AM18" i="2" s="1"/>
  <c r="O19" i="2"/>
  <c r="AM19" i="2" s="1"/>
  <c r="O20" i="2"/>
  <c r="O21" i="2"/>
  <c r="AM21" i="2" s="1"/>
  <c r="O22" i="2"/>
  <c r="O23" i="2"/>
  <c r="AK23" i="2" s="1"/>
  <c r="O24" i="2"/>
  <c r="AB24" i="2" s="1"/>
  <c r="O25" i="2"/>
  <c r="AB25" i="2" s="1"/>
  <c r="O26" i="2"/>
  <c r="O27" i="2"/>
  <c r="O28" i="2"/>
  <c r="AM28" i="2" s="1"/>
  <c r="O29" i="2"/>
  <c r="AL29" i="2" s="1"/>
  <c r="O30" i="2"/>
  <c r="AM30" i="2" s="1"/>
  <c r="O31" i="2"/>
  <c r="AJ31" i="2" s="1"/>
  <c r="O32" i="2"/>
  <c r="AL32" i="2" s="1"/>
  <c r="O34" i="2"/>
  <c r="AL34" i="2" s="1"/>
  <c r="O35" i="2"/>
  <c r="O36" i="2"/>
  <c r="AB36" i="2" s="1"/>
  <c r="O37" i="2"/>
  <c r="O38" i="2"/>
  <c r="AM38" i="2" s="1"/>
  <c r="O39" i="2"/>
  <c r="AL39" i="2" s="1"/>
  <c r="O40" i="2"/>
  <c r="AB40" i="2" s="1"/>
  <c r="O41" i="2"/>
  <c r="O42" i="2"/>
  <c r="AL42" i="2" s="1"/>
  <c r="O43" i="2"/>
  <c r="O44" i="2"/>
  <c r="O45" i="2"/>
  <c r="O46" i="2"/>
  <c r="AL46" i="2" s="1"/>
  <c r="O48" i="2"/>
  <c r="AM48" i="2" s="1"/>
  <c r="O49" i="2"/>
  <c r="AM49" i="2" s="1"/>
  <c r="O50" i="2"/>
  <c r="AM50" i="2" s="1"/>
  <c r="O51" i="2"/>
  <c r="AM51" i="2" s="1"/>
  <c r="O52" i="2"/>
  <c r="AL52" i="2" s="1"/>
  <c r="O53" i="2"/>
  <c r="AB53" i="2" s="1"/>
  <c r="O54" i="2"/>
  <c r="AB54" i="2" s="1"/>
  <c r="O55" i="2"/>
  <c r="AB55" i="2" s="1"/>
  <c r="O56" i="2"/>
  <c r="O57" i="2"/>
  <c r="AM57" i="2" s="1"/>
  <c r="O58" i="2"/>
  <c r="O59" i="2"/>
  <c r="AM59" i="2" s="1"/>
  <c r="O60" i="2"/>
  <c r="O61" i="2"/>
  <c r="O63" i="2"/>
  <c r="AL63" i="2" s="1"/>
  <c r="O64" i="2"/>
  <c r="AL64" i="2" s="1"/>
  <c r="O65" i="2"/>
  <c r="O66" i="2"/>
  <c r="AM66" i="2" s="1"/>
  <c r="O67" i="2"/>
  <c r="AM67" i="2" s="1"/>
  <c r="O68" i="2"/>
  <c r="AM68" i="2" s="1"/>
  <c r="O69" i="2"/>
  <c r="AB69" i="2" s="1"/>
  <c r="O70" i="2"/>
  <c r="AB70" i="2" s="1"/>
  <c r="O71" i="2"/>
  <c r="O72" i="2"/>
  <c r="O73" i="2"/>
  <c r="O74" i="2"/>
  <c r="O75" i="2"/>
  <c r="O76" i="2"/>
  <c r="O77" i="2"/>
  <c r="O78" i="2"/>
  <c r="AB78" i="2" s="1"/>
  <c r="O79" i="2"/>
  <c r="AL79" i="2" s="1"/>
  <c r="O80" i="2"/>
  <c r="O81" i="2"/>
  <c r="AM81" i="2" s="1"/>
  <c r="O82" i="2"/>
  <c r="AK82" i="2" s="1"/>
  <c r="O83" i="2"/>
  <c r="O84" i="2"/>
  <c r="O85" i="2"/>
  <c r="O86" i="2"/>
  <c r="O87" i="2"/>
  <c r="O88" i="2"/>
  <c r="O89" i="2"/>
  <c r="AL89" i="2" s="1"/>
  <c r="O90" i="2"/>
  <c r="AM90" i="2" s="1"/>
  <c r="O91" i="2"/>
  <c r="AB91" i="2" s="1"/>
  <c r="O92" i="2"/>
  <c r="O93" i="2"/>
  <c r="AM93" i="2" s="1"/>
  <c r="O94" i="2"/>
  <c r="O95" i="2"/>
  <c r="AB95" i="2" s="1"/>
  <c r="O96" i="2"/>
  <c r="AB96" i="2" s="1"/>
  <c r="O97" i="2"/>
  <c r="AB97" i="2" s="1"/>
  <c r="O98" i="2"/>
  <c r="O99" i="2"/>
  <c r="O100" i="2"/>
  <c r="AL100" i="2" s="1"/>
  <c r="O101" i="2"/>
  <c r="O102" i="2"/>
  <c r="AM102" i="2" s="1"/>
  <c r="O103" i="2"/>
  <c r="AM103" i="2" s="1"/>
  <c r="O104" i="2"/>
  <c r="AK104" i="2" s="1"/>
  <c r="O105" i="2"/>
  <c r="O106" i="2"/>
  <c r="AL106" i="2" s="1"/>
  <c r="O107" i="2"/>
  <c r="O108" i="2"/>
  <c r="AB108" i="2" s="1"/>
  <c r="O109" i="2"/>
  <c r="AL109" i="2" s="1"/>
  <c r="O110" i="2"/>
  <c r="AM110" i="2" s="1"/>
  <c r="O111" i="2"/>
  <c r="AB111" i="2" s="1"/>
  <c r="O112" i="2"/>
  <c r="O113" i="2"/>
  <c r="AB113" i="2" s="1"/>
  <c r="O114" i="2"/>
  <c r="O115" i="2"/>
  <c r="AL115" i="2" s="1"/>
  <c r="O116" i="2"/>
  <c r="O117" i="2"/>
  <c r="AL117" i="2" s="1"/>
  <c r="O118" i="2"/>
  <c r="AL118" i="2" s="1"/>
  <c r="O119" i="2"/>
  <c r="AB119" i="2" s="1"/>
  <c r="O120" i="2"/>
  <c r="O121" i="2"/>
  <c r="AL121" i="2" s="1"/>
  <c r="O122" i="2"/>
  <c r="O123" i="2"/>
  <c r="AL123" i="2" s="1"/>
  <c r="O124" i="2"/>
  <c r="AL124" i="2" s="1"/>
  <c r="O125" i="2"/>
  <c r="AK125" i="2" s="1"/>
  <c r="O126" i="2"/>
  <c r="O127" i="2"/>
  <c r="O128" i="2"/>
  <c r="AL128" i="2" s="1"/>
  <c r="O129" i="2"/>
  <c r="AJ129" i="2" s="1"/>
  <c r="O130" i="2"/>
  <c r="O131" i="2"/>
  <c r="AM131" i="2" s="1"/>
  <c r="O132" i="2"/>
  <c r="AM132" i="2" s="1"/>
  <c r="O133" i="2"/>
  <c r="AB133" i="2" s="1"/>
  <c r="O134" i="2"/>
  <c r="O135" i="2"/>
  <c r="O136" i="2"/>
  <c r="O137" i="2"/>
  <c r="O138" i="2"/>
  <c r="O139" i="2"/>
  <c r="AL139" i="2" s="1"/>
  <c r="O140" i="2"/>
  <c r="O141" i="2"/>
  <c r="AB141" i="2" s="1"/>
  <c r="O142" i="2"/>
  <c r="AM142" i="2" s="1"/>
  <c r="O143" i="2"/>
  <c r="O144" i="2"/>
  <c r="AM144" i="2" s="1"/>
  <c r="O145" i="2"/>
  <c r="AL145" i="2" s="1"/>
  <c r="O146" i="2"/>
  <c r="O147" i="2"/>
  <c r="AL147" i="2" s="1"/>
  <c r="O148" i="2"/>
  <c r="AL148" i="2" s="1"/>
  <c r="O149" i="2"/>
  <c r="AL149" i="2" s="1"/>
  <c r="O150" i="2"/>
  <c r="AM150" i="2" s="1"/>
  <c r="O151" i="2"/>
  <c r="AL151" i="2" s="1"/>
  <c r="O152" i="2"/>
  <c r="AL152" i="2" s="1"/>
  <c r="O153" i="2"/>
  <c r="O154" i="2"/>
  <c r="O155" i="2"/>
  <c r="O156" i="2"/>
  <c r="AK156" i="2" s="1"/>
  <c r="O157" i="2"/>
  <c r="AJ157" i="2" s="1"/>
  <c r="O158" i="2"/>
  <c r="O159" i="2"/>
  <c r="O160" i="2"/>
  <c r="AL160" i="2" s="1"/>
  <c r="O62" i="2"/>
  <c r="AB62" i="2" s="1"/>
  <c r="O161" i="2"/>
  <c r="AB161" i="2" s="1"/>
  <c r="O162" i="2"/>
  <c r="AB162" i="2" s="1"/>
  <c r="O163" i="2"/>
  <c r="O166" i="2"/>
  <c r="AB166" i="2" s="1"/>
  <c r="O167" i="2"/>
  <c r="AL167" i="2" s="1"/>
  <c r="O168" i="2"/>
  <c r="AB168" i="2" s="1"/>
  <c r="O169" i="2"/>
  <c r="O170" i="2"/>
  <c r="AB170" i="2" s="1"/>
  <c r="O171" i="2"/>
  <c r="AJ171" i="2" s="1"/>
  <c r="O172" i="2"/>
  <c r="AM172" i="2" s="1"/>
  <c r="O173" i="2"/>
  <c r="O174" i="2"/>
  <c r="AM174" i="2" s="1"/>
  <c r="O175" i="2"/>
  <c r="AM175" i="2" s="1"/>
  <c r="O176" i="2"/>
  <c r="AB176" i="2" s="1"/>
  <c r="O177" i="2"/>
  <c r="AL177" i="2" s="1"/>
  <c r="O178" i="2"/>
  <c r="AL178" i="2" s="1"/>
  <c r="O179" i="2"/>
  <c r="AL179" i="2" s="1"/>
  <c r="O165" i="2"/>
  <c r="O164" i="2"/>
  <c r="AM164" i="2" s="1"/>
  <c r="O182" i="2"/>
  <c r="O183" i="2"/>
  <c r="O184" i="2"/>
  <c r="AB184" i="2" s="1"/>
  <c r="O185" i="2"/>
  <c r="O186" i="2"/>
  <c r="AL186" i="2" s="1"/>
  <c r="O187" i="2"/>
  <c r="AL187" i="2" s="1"/>
  <c r="O188" i="2"/>
  <c r="AL188" i="2" s="1"/>
  <c r="O189" i="2"/>
  <c r="O190" i="2"/>
  <c r="AM190" i="2" s="1"/>
  <c r="O191" i="2"/>
  <c r="AL191" i="2" s="1"/>
  <c r="O192" i="2"/>
  <c r="AM192" i="2" s="1"/>
  <c r="O193" i="2"/>
  <c r="AL193" i="2" s="1"/>
  <c r="O194" i="2"/>
  <c r="O195" i="2"/>
  <c r="AL195" i="2" s="1"/>
  <c r="O196" i="2"/>
  <c r="AB196" i="2" s="1"/>
  <c r="O197" i="2"/>
  <c r="O198" i="2"/>
  <c r="O199" i="2"/>
  <c r="AM199" i="2" s="1"/>
  <c r="O200" i="2"/>
  <c r="O201" i="2"/>
  <c r="O202" i="2"/>
  <c r="AC202" i="2" s="1"/>
  <c r="O203" i="2"/>
  <c r="AM203" i="2" s="1"/>
  <c r="O204" i="2"/>
  <c r="AM204" i="2" s="1"/>
  <c r="O205" i="2"/>
  <c r="O206" i="2"/>
  <c r="AL206" i="2" s="1"/>
  <c r="O207" i="2"/>
  <c r="AB207" i="2" s="1"/>
  <c r="O208" i="2"/>
  <c r="O209" i="2"/>
  <c r="AM209" i="2" s="1"/>
  <c r="O210" i="2"/>
  <c r="O211" i="2"/>
  <c r="O212" i="2"/>
  <c r="AB212" i="2" s="1"/>
  <c r="O213" i="2"/>
  <c r="AL213" i="2" s="1"/>
  <c r="O214" i="2"/>
  <c r="AL214" i="2" s="1"/>
  <c r="O215" i="2"/>
  <c r="AL215" i="2" s="1"/>
  <c r="O216" i="2"/>
  <c r="AL216" i="2" s="1"/>
  <c r="O219" i="2"/>
  <c r="AL219" i="2" s="1"/>
  <c r="O220" i="2"/>
  <c r="AJ220" i="2" s="1"/>
  <c r="O221" i="2"/>
  <c r="AL221" i="2" s="1"/>
  <c r="O222" i="2"/>
  <c r="O223" i="2"/>
  <c r="O224" i="2"/>
  <c r="AM224" i="2" s="1"/>
  <c r="O225" i="2"/>
  <c r="AK225" i="2" s="1"/>
  <c r="O226" i="2"/>
  <c r="AJ226" i="2" s="1"/>
  <c r="O227" i="2"/>
  <c r="O228" i="2"/>
  <c r="O229" i="2"/>
  <c r="AM229" i="2" s="1"/>
  <c r="O230" i="2"/>
  <c r="AL230" i="2" s="1"/>
  <c r="O231" i="2"/>
  <c r="AL231" i="2" s="1"/>
  <c r="O232" i="2"/>
  <c r="AL232" i="2" s="1"/>
  <c r="O233" i="2"/>
  <c r="AL233" i="2" s="1"/>
  <c r="O234" i="2"/>
  <c r="AB234" i="2" s="1"/>
  <c r="O235" i="2"/>
  <c r="AB235" i="2" s="1"/>
  <c r="O236" i="2"/>
  <c r="AM236" i="2" s="1"/>
  <c r="O237" i="2"/>
  <c r="AM237" i="2" s="1"/>
  <c r="O238" i="2"/>
  <c r="AB238" i="2" s="1"/>
  <c r="O239" i="2"/>
  <c r="AB239" i="2" s="1"/>
  <c r="O240" i="2"/>
  <c r="O241" i="2"/>
  <c r="AB241" i="2" s="1"/>
  <c r="O242" i="2"/>
  <c r="O243" i="2"/>
  <c r="O244" i="2"/>
  <c r="AL244" i="2" s="1"/>
  <c r="O245" i="2"/>
  <c r="O246" i="2"/>
  <c r="AJ246" i="2" s="1"/>
  <c r="O247" i="2"/>
  <c r="O248" i="2"/>
  <c r="AB248" i="2" s="1"/>
  <c r="O249" i="2"/>
  <c r="AM249" i="2" s="1"/>
  <c r="O250" i="2"/>
  <c r="AJ250" i="2" s="1"/>
  <c r="O251" i="2"/>
  <c r="AM251" i="2" s="1"/>
  <c r="O252" i="2"/>
  <c r="AL252" i="2" s="1"/>
  <c r="O253" i="2"/>
  <c r="AL253" i="2" s="1"/>
  <c r="O254" i="2"/>
  <c r="AB254" i="2" s="1"/>
  <c r="O255" i="2"/>
  <c r="AB255" i="2" s="1"/>
  <c r="O256" i="2"/>
  <c r="AB256" i="2" s="1"/>
  <c r="O257" i="2"/>
  <c r="AM257" i="2" s="1"/>
  <c r="O258" i="2"/>
  <c r="AL258" i="2" s="1"/>
  <c r="O259" i="2"/>
  <c r="O260" i="2"/>
  <c r="AJ260" i="2" s="1"/>
  <c r="O261" i="2"/>
  <c r="AM261" i="2" s="1"/>
  <c r="O262" i="2"/>
  <c r="AM262" i="2" s="1"/>
  <c r="O263" i="2"/>
  <c r="AL263" i="2" s="1"/>
  <c r="O264" i="2"/>
  <c r="AM264" i="2" s="1"/>
  <c r="O265" i="2"/>
  <c r="AB265" i="2" s="1"/>
  <c r="O266" i="2"/>
  <c r="O267" i="2"/>
  <c r="AM267" i="2" s="1"/>
  <c r="O268" i="2"/>
  <c r="AB268" i="2" s="1"/>
  <c r="O269" i="2"/>
  <c r="AB269" i="2" s="1"/>
  <c r="O270" i="2"/>
  <c r="O271" i="2"/>
  <c r="AL271" i="2" s="1"/>
  <c r="O272" i="2"/>
  <c r="O273" i="2"/>
  <c r="O274" i="2"/>
  <c r="O275" i="2"/>
  <c r="AL275" i="2" s="1"/>
  <c r="O276" i="2"/>
  <c r="AM276" i="2" s="1"/>
  <c r="O277" i="2"/>
  <c r="O278" i="2"/>
  <c r="AB278" i="2" s="1"/>
  <c r="O279" i="2"/>
  <c r="AL279" i="2" s="1"/>
  <c r="O280" i="2"/>
  <c r="AL280" i="2" s="1"/>
  <c r="O281" i="2"/>
  <c r="AL281" i="2" s="1"/>
  <c r="O282" i="2"/>
  <c r="AB282" i="2" s="1"/>
  <c r="O283" i="2"/>
  <c r="AB283" i="2" s="1"/>
  <c r="O284" i="2"/>
  <c r="AB284" i="2" s="1"/>
  <c r="O285" i="2"/>
  <c r="AM285" i="2" s="1"/>
  <c r="O286" i="2"/>
  <c r="AK286" i="2" s="1"/>
  <c r="O287" i="2"/>
  <c r="O288" i="2"/>
  <c r="O289" i="2"/>
  <c r="AK289" i="2" s="1"/>
  <c r="O290" i="2"/>
  <c r="AM290" i="2" s="1"/>
  <c r="O291" i="2"/>
  <c r="AM291" i="2" s="1"/>
  <c r="O292" i="2"/>
  <c r="O293" i="2"/>
  <c r="AL293" i="2" s="1"/>
  <c r="O294" i="2"/>
  <c r="O295" i="2"/>
  <c r="AB295" i="2" s="1"/>
  <c r="O296" i="2"/>
  <c r="AB296" i="2" s="1"/>
  <c r="O297" i="2"/>
  <c r="AK297" i="2" s="1"/>
  <c r="O298" i="2"/>
  <c r="O299" i="2"/>
  <c r="O300" i="2"/>
  <c r="O301" i="2"/>
  <c r="AJ301" i="2" s="1"/>
  <c r="O302" i="2"/>
  <c r="AM302" i="2" s="1"/>
  <c r="O303" i="2"/>
  <c r="AM303" i="2" s="1"/>
  <c r="O304" i="2"/>
  <c r="O305" i="2"/>
  <c r="AB305" i="2" s="1"/>
  <c r="O306" i="2"/>
  <c r="AL306" i="2" s="1"/>
  <c r="O307" i="2"/>
  <c r="AL307" i="2" s="1"/>
  <c r="O308" i="2"/>
  <c r="AB308" i="2" s="1"/>
  <c r="O309" i="2"/>
  <c r="AK309" i="2" s="1"/>
  <c r="O310" i="2"/>
  <c r="O311" i="2"/>
  <c r="AM311" i="2" s="1"/>
  <c r="O312" i="2"/>
  <c r="AB312" i="2" s="1"/>
  <c r="O313" i="2"/>
  <c r="AB313" i="2" s="1"/>
  <c r="O314" i="2"/>
  <c r="O315" i="2"/>
  <c r="AL315" i="2" s="1"/>
  <c r="O316" i="2"/>
  <c r="O317" i="2"/>
  <c r="O318" i="2"/>
  <c r="O319" i="2"/>
  <c r="AJ319" i="2" s="1"/>
  <c r="O320" i="2"/>
  <c r="AM320" i="2" s="1"/>
  <c r="O321" i="2"/>
  <c r="AK321" i="2" s="1"/>
  <c r="O322" i="2"/>
  <c r="O323" i="2"/>
  <c r="AL323" i="2" s="1"/>
  <c r="O324" i="2"/>
  <c r="O325" i="2"/>
  <c r="AM325" i="2" s="1"/>
  <c r="O326" i="2"/>
  <c r="AB326" i="2" s="1"/>
  <c r="O327" i="2"/>
  <c r="O328" i="2"/>
  <c r="AB328" i="2" s="1"/>
  <c r="O329" i="2"/>
  <c r="AK329" i="2" s="1"/>
  <c r="O330" i="2"/>
  <c r="AL330" i="2" s="1"/>
  <c r="O331" i="2"/>
  <c r="AM331" i="2" s="1"/>
  <c r="O332" i="2"/>
  <c r="O333" i="2"/>
  <c r="AM333" i="2" s="1"/>
  <c r="O334" i="2"/>
  <c r="AM334" i="2" s="1"/>
  <c r="O335" i="2"/>
  <c r="AM335" i="2" s="1"/>
  <c r="O336" i="2"/>
  <c r="AL336" i="2" s="1"/>
  <c r="O337" i="2"/>
  <c r="AL337" i="2" s="1"/>
  <c r="O338" i="2"/>
  <c r="O339" i="2"/>
  <c r="AL339" i="2" s="1"/>
  <c r="O340" i="2"/>
  <c r="AB340" i="2" s="1"/>
  <c r="O341" i="2"/>
  <c r="AM341" i="2" s="1"/>
  <c r="O342" i="2"/>
  <c r="AM342" i="2" s="1"/>
  <c r="O343" i="2"/>
  <c r="AL343" i="2" s="1"/>
  <c r="O344" i="2"/>
  <c r="AM344" i="2" s="1"/>
  <c r="O345" i="2"/>
  <c r="O346" i="2"/>
  <c r="AM346" i="2" s="1"/>
  <c r="O347" i="2"/>
  <c r="AL347" i="2" s="1"/>
  <c r="O47" i="2"/>
  <c r="AM47" i="2" s="1"/>
  <c r="S212" i="2"/>
  <c r="S213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325" i="2"/>
  <c r="S200" i="2"/>
  <c r="S116" i="2"/>
  <c r="S304" i="2"/>
  <c r="S323" i="2"/>
  <c r="S185" i="2"/>
  <c r="S95" i="2"/>
  <c r="S216" i="2"/>
  <c r="S273" i="2"/>
  <c r="S118" i="2"/>
  <c r="S341" i="2"/>
  <c r="S160" i="2"/>
  <c r="S310" i="2"/>
  <c r="S73" i="2"/>
  <c r="S263" i="2"/>
  <c r="S115" i="2"/>
  <c r="S48" i="2"/>
  <c r="S182" i="2"/>
  <c r="S297" i="2"/>
  <c r="S311" i="2"/>
  <c r="S165" i="2"/>
  <c r="S272" i="2"/>
  <c r="S43" i="2"/>
  <c r="S96" i="2"/>
  <c r="S342" i="2"/>
  <c r="S277" i="2"/>
  <c r="S278" i="2"/>
  <c r="S279" i="2"/>
  <c r="S280" i="2"/>
  <c r="S281" i="2"/>
  <c r="S282" i="2"/>
  <c r="S295" i="2"/>
  <c r="S197" i="2"/>
  <c r="S237" i="2"/>
  <c r="S308" i="2"/>
  <c r="S99" i="2"/>
  <c r="S121" i="2"/>
  <c r="S188" i="2"/>
  <c r="S303" i="2"/>
  <c r="S111" i="2"/>
  <c r="S92" i="2"/>
  <c r="S112" i="2"/>
  <c r="S265" i="2"/>
  <c r="S210" i="2"/>
  <c r="S35" i="2"/>
  <c r="S269" i="2"/>
  <c r="S145" i="2"/>
  <c r="S90" i="2"/>
  <c r="S225" i="2"/>
  <c r="S51" i="2"/>
  <c r="S288" i="2"/>
  <c r="S287" i="2"/>
  <c r="S222" i="2"/>
  <c r="S41" i="2"/>
  <c r="S296" i="2"/>
  <c r="S250" i="2"/>
  <c r="S324" i="2"/>
  <c r="S130" i="2"/>
  <c r="S183" i="2"/>
  <c r="S293" i="2"/>
  <c r="S44" i="2"/>
  <c r="S228" i="2"/>
  <c r="S83" i="2"/>
  <c r="S313" i="2"/>
  <c r="S161" i="2"/>
  <c r="S231" i="2"/>
  <c r="S163" i="2"/>
  <c r="S58" i="2"/>
  <c r="S230" i="2"/>
  <c r="S151" i="2"/>
  <c r="S202" i="2"/>
  <c r="S126" i="2"/>
  <c r="S199" i="2"/>
  <c r="S42" i="2"/>
  <c r="S242" i="2"/>
  <c r="S271" i="2"/>
  <c r="S294" i="2"/>
  <c r="S152" i="2"/>
  <c r="S91" i="2"/>
  <c r="S329" i="2"/>
  <c r="S194" i="2"/>
  <c r="S155" i="2"/>
  <c r="S306" i="2"/>
  <c r="S74" i="2"/>
  <c r="S321" i="2"/>
  <c r="S162" i="2"/>
  <c r="S189" i="2"/>
  <c r="S286" i="2"/>
  <c r="S11" i="2"/>
  <c r="S251" i="2"/>
  <c r="S71" i="2"/>
  <c r="S86" i="2"/>
  <c r="S226" i="2"/>
  <c r="S101" i="2"/>
  <c r="S255" i="2"/>
  <c r="S266" i="2"/>
  <c r="S36" i="2"/>
  <c r="S254" i="2"/>
  <c r="S79" i="2"/>
  <c r="S87" i="2"/>
  <c r="S274" i="2"/>
  <c r="S122" i="2"/>
  <c r="S335" i="2"/>
  <c r="S214" i="2"/>
  <c r="S84" i="2"/>
  <c r="S332" i="2"/>
  <c r="S164" i="2"/>
  <c r="S236" i="2"/>
  <c r="S229" i="2"/>
  <c r="S75" i="2"/>
  <c r="S45" i="2"/>
  <c r="S192" i="2"/>
  <c r="S260" i="2"/>
  <c r="S314" i="2"/>
  <c r="S261" i="2"/>
  <c r="S76" i="2"/>
  <c r="S209" i="2"/>
  <c r="S187" i="2"/>
  <c r="S40" i="2"/>
  <c r="S117" i="2"/>
  <c r="S133" i="2"/>
  <c r="S246" i="2"/>
  <c r="S247" i="2"/>
  <c r="S106" i="2"/>
  <c r="S300" i="2"/>
  <c r="S98" i="2"/>
  <c r="S143" i="2"/>
  <c r="S55" i="2"/>
  <c r="S243" i="2"/>
  <c r="S136" i="2"/>
  <c r="S285" i="2"/>
  <c r="S147" i="2"/>
  <c r="S301" i="2"/>
  <c r="S131" i="2"/>
  <c r="S135" i="2"/>
  <c r="S124" i="2"/>
  <c r="S305" i="2"/>
  <c r="S289" i="2"/>
  <c r="S127" i="2"/>
  <c r="S262" i="2"/>
  <c r="S34" i="2"/>
  <c r="S315" i="2"/>
  <c r="S56" i="2"/>
  <c r="S275" i="2"/>
  <c r="S334" i="2"/>
  <c r="S343" i="2"/>
  <c r="S81" i="2"/>
  <c r="S129" i="2"/>
  <c r="S67" i="2"/>
  <c r="S50" i="2"/>
  <c r="S291" i="2"/>
  <c r="S146" i="2"/>
  <c r="S61" i="2"/>
  <c r="S307" i="2"/>
  <c r="S219" i="2"/>
  <c r="S94" i="2"/>
  <c r="S257" i="2"/>
  <c r="S31" i="2"/>
  <c r="S104" i="2"/>
  <c r="S239" i="2"/>
  <c r="S70" i="2"/>
  <c r="S132" i="2"/>
  <c r="S264" i="2"/>
  <c r="S316" i="2"/>
  <c r="S148" i="2"/>
  <c r="S102" i="2"/>
  <c r="S77" i="2"/>
  <c r="S208" i="2"/>
  <c r="S78" i="2"/>
  <c r="S142" i="2"/>
  <c r="S284" i="2"/>
  <c r="S53" i="2"/>
  <c r="S113" i="2"/>
  <c r="S221" i="2"/>
  <c r="S39" i="2"/>
  <c r="S93" i="2"/>
  <c r="S107" i="2"/>
  <c r="S137" i="2"/>
  <c r="S109" i="2"/>
  <c r="S110" i="2"/>
  <c r="S245" i="2"/>
  <c r="S59" i="2"/>
  <c r="S201" i="2"/>
  <c r="S82" i="2"/>
  <c r="S193" i="2"/>
  <c r="S268" i="2"/>
  <c r="S330" i="2"/>
  <c r="S340" i="2"/>
  <c r="S233" i="2"/>
  <c r="S196" i="2"/>
  <c r="S283" i="2"/>
  <c r="S299" i="2"/>
  <c r="S89" i="2"/>
  <c r="S149" i="2"/>
  <c r="S302" i="2"/>
  <c r="S125" i="2"/>
  <c r="S206" i="2"/>
  <c r="S52" i="2"/>
  <c r="S54" i="2"/>
  <c r="S238" i="2"/>
  <c r="S60" i="2"/>
  <c r="S64" i="2"/>
  <c r="S232" i="2"/>
  <c r="S119" i="2"/>
  <c r="S223" i="2"/>
  <c r="S224" i="2"/>
  <c r="S85" i="2"/>
  <c r="S195" i="2"/>
  <c r="S328" i="2"/>
  <c r="S267" i="2"/>
  <c r="S258" i="2"/>
  <c r="S198" i="2"/>
  <c r="S252" i="2"/>
  <c r="S253" i="2"/>
  <c r="S190" i="2"/>
  <c r="S312" i="2"/>
  <c r="S186" i="2"/>
  <c r="S57" i="2"/>
  <c r="S270" i="2"/>
  <c r="S46" i="2"/>
  <c r="S37" i="2"/>
  <c r="S139" i="2"/>
  <c r="S123" i="2"/>
  <c r="S184" i="2"/>
  <c r="S215" i="2"/>
  <c r="S290" i="2"/>
  <c r="S49" i="2"/>
  <c r="S191" i="2"/>
  <c r="S140" i="2"/>
  <c r="S207" i="2"/>
  <c r="S339" i="2"/>
  <c r="S72" i="2"/>
  <c r="S38" i="2"/>
  <c r="S114" i="2"/>
  <c r="S108" i="2"/>
  <c r="S69" i="2"/>
  <c r="S256" i="2"/>
  <c r="S159" i="2"/>
  <c r="S105" i="2"/>
  <c r="S144" i="2"/>
  <c r="S244" i="2"/>
  <c r="S65" i="2"/>
  <c r="S141" i="2"/>
  <c r="S158" i="2"/>
  <c r="S203" i="2"/>
  <c r="S204" i="2"/>
  <c r="S205" i="2"/>
  <c r="S241" i="2"/>
  <c r="S319" i="2"/>
  <c r="S248" i="2"/>
  <c r="S318" i="2"/>
  <c r="S80" i="2"/>
  <c r="S100" i="2"/>
  <c r="S240" i="2"/>
  <c r="S63" i="2"/>
  <c r="S227" i="2"/>
  <c r="S128" i="2"/>
  <c r="S150" i="2"/>
  <c r="S331" i="2"/>
  <c r="S88" i="2"/>
  <c r="S322" i="2"/>
  <c r="S154" i="2"/>
  <c r="S134" i="2"/>
  <c r="S317" i="2"/>
  <c r="S103" i="2"/>
  <c r="S320" i="2"/>
  <c r="S120" i="2"/>
  <c r="S220" i="2"/>
  <c r="S156" i="2"/>
  <c r="S157" i="2"/>
  <c r="S327" i="2"/>
  <c r="S276" i="2"/>
  <c r="S68" i="2"/>
  <c r="S138" i="2"/>
  <c r="S333" i="2"/>
  <c r="S326" i="2"/>
  <c r="S336" i="2"/>
  <c r="S337" i="2"/>
  <c r="S338" i="2"/>
  <c r="S234" i="2"/>
  <c r="S235" i="2"/>
  <c r="S249" i="2"/>
  <c r="S259" i="2"/>
  <c r="S97" i="2"/>
  <c r="S153" i="2"/>
  <c r="S66" i="2"/>
  <c r="S211" i="2"/>
  <c r="AC330" i="2" l="1"/>
  <c r="AC288" i="2"/>
  <c r="AC232" i="2"/>
  <c r="AC204" i="2"/>
  <c r="AC203" i="2"/>
  <c r="AC190" i="2"/>
  <c r="AC162" i="2"/>
  <c r="AC133" i="2"/>
  <c r="AL199" i="2"/>
  <c r="AC91" i="2"/>
  <c r="AC49" i="2"/>
  <c r="AM214" i="2"/>
  <c r="AC34" i="2"/>
  <c r="AM43" i="2"/>
  <c r="AC341" i="2"/>
  <c r="AC47" i="2"/>
  <c r="AC33" i="2"/>
  <c r="AC270" i="2"/>
  <c r="AC242" i="2"/>
  <c r="AC32" i="2"/>
  <c r="AC339" i="2"/>
  <c r="AC297" i="2"/>
  <c r="AC17" i="2"/>
  <c r="AC338" i="2"/>
  <c r="AC296" i="2"/>
  <c r="AC282" i="2"/>
  <c r="AC254" i="2"/>
  <c r="AC128" i="2"/>
  <c r="AC58" i="2"/>
  <c r="AC295" i="2"/>
  <c r="AC281" i="2"/>
  <c r="AC267" i="2"/>
  <c r="AC336" i="2"/>
  <c r="AC280" i="2"/>
  <c r="AC210" i="2"/>
  <c r="AC154" i="2"/>
  <c r="AC140" i="2"/>
  <c r="AC42" i="2"/>
  <c r="AC279" i="2"/>
  <c r="AC237" i="2"/>
  <c r="AC209" i="2"/>
  <c r="AC153" i="2"/>
  <c r="AC41" i="2"/>
  <c r="AC13" i="2"/>
  <c r="AC278" i="2"/>
  <c r="AC250" i="2"/>
  <c r="AC110" i="2"/>
  <c r="AC277" i="2"/>
  <c r="AC151" i="2"/>
  <c r="AC109" i="2"/>
  <c r="AC290" i="2"/>
  <c r="AC150" i="2"/>
  <c r="AC108" i="2"/>
  <c r="AC38" i="2"/>
  <c r="AC10" i="2"/>
  <c r="AC275" i="2"/>
  <c r="AC205" i="2"/>
  <c r="AC107" i="2"/>
  <c r="AC37" i="2"/>
  <c r="AM14" i="2"/>
  <c r="AM312" i="2"/>
  <c r="AK326" i="2"/>
  <c r="AL114" i="2"/>
  <c r="AL277" i="2"/>
  <c r="AL333" i="2"/>
  <c r="AL142" i="2"/>
  <c r="AL28" i="2"/>
  <c r="AL113" i="2"/>
  <c r="AM32" i="2"/>
  <c r="AL57" i="2"/>
  <c r="AL229" i="2"/>
  <c r="AM100" i="2"/>
  <c r="AM279" i="2"/>
  <c r="AL265" i="2"/>
  <c r="AM78" i="2"/>
  <c r="AM347" i="2"/>
  <c r="AM87" i="2"/>
  <c r="AL284" i="2"/>
  <c r="AM156" i="2"/>
  <c r="AM315" i="2"/>
  <c r="AM263" i="2"/>
  <c r="AL341" i="2"/>
  <c r="AM206" i="2"/>
  <c r="AL143" i="2"/>
  <c r="AM42" i="2"/>
  <c r="AM243" i="2"/>
  <c r="AM170" i="2"/>
  <c r="AM71" i="2"/>
  <c r="AK56" i="2"/>
  <c r="AL198" i="2"/>
  <c r="AL184" i="2"/>
  <c r="AM284" i="2"/>
  <c r="AM298" i="2"/>
  <c r="AJ184" i="2"/>
  <c r="AL312" i="2"/>
  <c r="AM305" i="2"/>
  <c r="AM198" i="2"/>
  <c r="AJ284" i="2"/>
  <c r="AK85" i="2"/>
  <c r="AL201" i="2"/>
  <c r="AL71" i="2"/>
  <c r="AM157" i="2"/>
  <c r="AM106" i="2"/>
  <c r="AM128" i="2"/>
  <c r="AL298" i="2"/>
  <c r="AL236" i="2"/>
  <c r="AL328" i="2"/>
  <c r="AL335" i="2"/>
  <c r="AM186" i="2"/>
  <c r="AM13" i="2"/>
  <c r="AM155" i="2"/>
  <c r="AM326" i="2"/>
  <c r="AK340" i="2"/>
  <c r="AL326" i="2"/>
  <c r="AL212" i="2"/>
  <c r="AM113" i="2"/>
  <c r="AM56" i="2"/>
  <c r="AL99" i="2"/>
  <c r="AL56" i="2"/>
  <c r="AL85" i="2"/>
  <c r="AL242" i="2"/>
  <c r="AL155" i="2"/>
  <c r="AM242" i="2"/>
  <c r="AM26" i="2"/>
  <c r="AL170" i="2"/>
  <c r="AL26" i="2"/>
  <c r="AL72" i="2"/>
  <c r="AM178" i="2"/>
  <c r="AK40" i="2"/>
  <c r="AL197" i="2"/>
  <c r="AL325" i="2"/>
  <c r="AL70" i="2"/>
  <c r="AM196" i="2"/>
  <c r="AJ310" i="2"/>
  <c r="AK70" i="2"/>
  <c r="AL311" i="2"/>
  <c r="AL169" i="2"/>
  <c r="AM126" i="2"/>
  <c r="AM84" i="2"/>
  <c r="AM283" i="2"/>
  <c r="AK169" i="2"/>
  <c r="AL168" i="2"/>
  <c r="AL55" i="2"/>
  <c r="AL87" i="2"/>
  <c r="AM169" i="2"/>
  <c r="AM339" i="2"/>
  <c r="AM115" i="2"/>
  <c r="AK154" i="2"/>
  <c r="AJ85" i="2"/>
  <c r="AL319" i="2"/>
  <c r="AL141" i="2"/>
  <c r="AL12" i="2"/>
  <c r="AL78" i="2"/>
  <c r="AL283" i="2"/>
  <c r="AM321" i="2"/>
  <c r="AM114" i="2"/>
  <c r="AM141" i="2"/>
  <c r="AM255" i="2"/>
  <c r="AM256" i="2"/>
  <c r="AM340" i="2"/>
  <c r="AJ270" i="2"/>
  <c r="AL249" i="2"/>
  <c r="AL251" i="2"/>
  <c r="AL285" i="2"/>
  <c r="AL270" i="2"/>
  <c r="AL255" i="2"/>
  <c r="AL256" i="2"/>
  <c r="AL93" i="2"/>
  <c r="AM301" i="2"/>
  <c r="AM20" i="2"/>
  <c r="AM227" i="2"/>
  <c r="AM184" i="2"/>
  <c r="AM212" i="2"/>
  <c r="AM306" i="2"/>
  <c r="AM55" i="2"/>
  <c r="AK268" i="2"/>
  <c r="AJ40" i="2"/>
  <c r="AJ241" i="2"/>
  <c r="AL269" i="2"/>
  <c r="AL196" i="2"/>
  <c r="AM140" i="2"/>
  <c r="AM268" i="2"/>
  <c r="AM211" i="2"/>
  <c r="AL98" i="2"/>
  <c r="AL254" i="2"/>
  <c r="AM98" i="2"/>
  <c r="AM282" i="2"/>
  <c r="AL40" i="2"/>
  <c r="AM310" i="2"/>
  <c r="AM11" i="2"/>
  <c r="AM70" i="2"/>
  <c r="AJ25" i="2"/>
  <c r="AK126" i="2"/>
  <c r="AL157" i="2"/>
  <c r="AM296" i="2"/>
  <c r="AM191" i="2"/>
  <c r="AM278" i="2"/>
  <c r="AJ69" i="2"/>
  <c r="AL73" i="2"/>
  <c r="AL310" i="2"/>
  <c r="AL260" i="2"/>
  <c r="AL30" i="2"/>
  <c r="AM149" i="2"/>
  <c r="AL11" i="2"/>
  <c r="AM24" i="2"/>
  <c r="AL112" i="2"/>
  <c r="AL154" i="2"/>
  <c r="AL324" i="2"/>
  <c r="AM154" i="2"/>
  <c r="AM79" i="2"/>
  <c r="AM183" i="2"/>
  <c r="AM39" i="2"/>
  <c r="AL84" i="2"/>
  <c r="AM254" i="2"/>
  <c r="AM40" i="2"/>
  <c r="AL241" i="2"/>
  <c r="AL183" i="2"/>
  <c r="AL338" i="2"/>
  <c r="AL334" i="2"/>
  <c r="AM197" i="2"/>
  <c r="AM64" i="2"/>
  <c r="AM241" i="2"/>
  <c r="AJ140" i="2"/>
  <c r="AK255" i="2"/>
  <c r="AL305" i="2"/>
  <c r="AL161" i="2"/>
  <c r="AM221" i="2"/>
  <c r="AM111" i="2"/>
  <c r="AL211" i="2"/>
  <c r="AM269" i="2"/>
  <c r="AM112" i="2"/>
  <c r="AM235" i="2"/>
  <c r="AK25" i="2"/>
  <c r="AK11" i="2"/>
  <c r="AL140" i="2"/>
  <c r="AL296" i="2"/>
  <c r="AL127" i="2"/>
  <c r="AL282" i="2"/>
  <c r="AL342" i="2"/>
  <c r="AM29" i="2"/>
  <c r="AM180" i="2"/>
  <c r="AM250" i="2"/>
  <c r="AM41" i="2"/>
  <c r="AM85" i="2"/>
  <c r="AB105" i="2"/>
  <c r="AM105" i="2"/>
  <c r="AM317" i="2"/>
  <c r="AM189" i="2"/>
  <c r="AL189" i="2"/>
  <c r="AL175" i="2"/>
  <c r="AB288" i="2"/>
  <c r="AM288" i="2"/>
  <c r="AM202" i="2"/>
  <c r="AM158" i="2"/>
  <c r="AK158" i="2"/>
  <c r="AL116" i="2"/>
  <c r="AB15" i="2"/>
  <c r="AL15" i="2"/>
  <c r="AK186" i="2"/>
  <c r="AJ293" i="2"/>
  <c r="AL286" i="2"/>
  <c r="AL66" i="2"/>
  <c r="AL69" i="2"/>
  <c r="AL86" i="2"/>
  <c r="AL171" i="2"/>
  <c r="AL192" i="2"/>
  <c r="AL320" i="2"/>
  <c r="AL273" i="2"/>
  <c r="AL47" i="2"/>
  <c r="AL246" i="2"/>
  <c r="AL88" i="2"/>
  <c r="AL53" i="2"/>
  <c r="AL111" i="2"/>
  <c r="AM286" i="2"/>
  <c r="AM238" i="2"/>
  <c r="AM159" i="2"/>
  <c r="AM195" i="2"/>
  <c r="AM201" i="2"/>
  <c r="AM216" i="2"/>
  <c r="AM104" i="2"/>
  <c r="AM44" i="2"/>
  <c r="AM187" i="2"/>
  <c r="AM275" i="2"/>
  <c r="AM36" i="2"/>
  <c r="AL203" i="2"/>
  <c r="AM160" i="2"/>
  <c r="AL317" i="2"/>
  <c r="AL18" i="2"/>
  <c r="AL48" i="2"/>
  <c r="AL68" i="2"/>
  <c r="AL82" i="2"/>
  <c r="AL174" i="2"/>
  <c r="AL247" i="2"/>
  <c r="AM188" i="2"/>
  <c r="AJ314" i="2"/>
  <c r="AL314" i="2"/>
  <c r="AK272" i="2"/>
  <c r="AM272" i="2"/>
  <c r="AL272" i="2"/>
  <c r="AM258" i="2"/>
  <c r="AM244" i="2"/>
  <c r="AM230" i="2"/>
  <c r="AK200" i="2"/>
  <c r="AM200" i="2"/>
  <c r="AL200" i="2"/>
  <c r="AL172" i="2"/>
  <c r="AM101" i="2"/>
  <c r="AL101" i="2"/>
  <c r="AL43" i="2"/>
  <c r="AB14" i="2"/>
  <c r="AL14" i="2"/>
  <c r="AK282" i="2"/>
  <c r="AL308" i="2"/>
  <c r="AL301" i="2"/>
  <c r="AL110" i="2"/>
  <c r="AL13" i="2"/>
  <c r="AL239" i="2"/>
  <c r="AL97" i="2"/>
  <c r="AL309" i="2"/>
  <c r="AM308" i="2"/>
  <c r="AM295" i="2"/>
  <c r="AM233" i="2"/>
  <c r="AM63" i="2"/>
  <c r="AM300" i="2"/>
  <c r="AM259" i="2"/>
  <c r="AM60" i="2"/>
  <c r="AM148" i="2"/>
  <c r="AM343" i="2"/>
  <c r="AM145" i="2"/>
  <c r="AM58" i="2"/>
  <c r="AM213" i="2"/>
  <c r="AM74" i="2"/>
  <c r="AJ304" i="2"/>
  <c r="AM304" i="2"/>
  <c r="AL304" i="2"/>
  <c r="AB61" i="2"/>
  <c r="AM61" i="2"/>
  <c r="AL62" i="2"/>
  <c r="AM220" i="2"/>
  <c r="AJ316" i="2"/>
  <c r="AL316" i="2"/>
  <c r="AM316" i="2"/>
  <c r="AK274" i="2"/>
  <c r="AL274" i="2"/>
  <c r="AM75" i="2"/>
  <c r="AL344" i="2"/>
  <c r="AM166" i="2"/>
  <c r="AM9" i="2"/>
  <c r="AM207" i="2"/>
  <c r="AM91" i="2"/>
  <c r="AM245" i="2"/>
  <c r="AM215" i="2"/>
  <c r="AM173" i="2"/>
  <c r="AL173" i="2"/>
  <c r="AM130" i="2"/>
  <c r="AL102" i="2"/>
  <c r="AL59" i="2"/>
  <c r="AB327" i="2"/>
  <c r="AM327" i="2"/>
  <c r="AL327" i="2"/>
  <c r="AM299" i="2"/>
  <c r="AL299" i="2"/>
  <c r="AM271" i="2"/>
  <c r="AJ185" i="2"/>
  <c r="AL185" i="2"/>
  <c r="AM185" i="2"/>
  <c r="AL257" i="2"/>
  <c r="AL237" i="2"/>
  <c r="AL332" i="2"/>
  <c r="AL302" i="2"/>
  <c r="AL131" i="2"/>
  <c r="AL278" i="2"/>
  <c r="AL202" i="2"/>
  <c r="AL24" i="2"/>
  <c r="AL31" i="2"/>
  <c r="AL162" i="2"/>
  <c r="AL313" i="2"/>
  <c r="AL288" i="2"/>
  <c r="AM34" i="2"/>
  <c r="AM181" i="2"/>
  <c r="AM96" i="2"/>
  <c r="AM232" i="2"/>
  <c r="AM129" i="2"/>
  <c r="AM318" i="2"/>
  <c r="AM118" i="2"/>
  <c r="AM329" i="2"/>
  <c r="AB276" i="2"/>
  <c r="AL276" i="2"/>
  <c r="AB77" i="2"/>
  <c r="AM77" i="2"/>
  <c r="AL345" i="2"/>
  <c r="AM345" i="2"/>
  <c r="AJ146" i="2"/>
  <c r="AL146" i="2"/>
  <c r="AM146" i="2"/>
  <c r="AM76" i="2"/>
  <c r="AL76" i="2"/>
  <c r="AB17" i="2"/>
  <c r="AM17" i="2"/>
  <c r="AM167" i="2"/>
  <c r="AM46" i="2"/>
  <c r="AM248" i="2"/>
  <c r="AK45" i="2"/>
  <c r="AJ45" i="2"/>
  <c r="AL295" i="2"/>
  <c r="AL238" i="2"/>
  <c r="AL225" i="2"/>
  <c r="AL95" i="2"/>
  <c r="AL164" i="2"/>
  <c r="AM219" i="2"/>
  <c r="AL119" i="2"/>
  <c r="AL77" i="2"/>
  <c r="AL331" i="2"/>
  <c r="AL45" i="2"/>
  <c r="AL108" i="2"/>
  <c r="AL21" i="2"/>
  <c r="AM16" i="2"/>
  <c r="AM307" i="2"/>
  <c r="AM247" i="2"/>
  <c r="AM151" i="2"/>
  <c r="AB240" i="2"/>
  <c r="AM240" i="2"/>
  <c r="AB226" i="2"/>
  <c r="AL226" i="2"/>
  <c r="AM226" i="2"/>
  <c r="AB210" i="2"/>
  <c r="AL210" i="2"/>
  <c r="AB182" i="2"/>
  <c r="AM182" i="2"/>
  <c r="AL182" i="2"/>
  <c r="AB153" i="2"/>
  <c r="AJ153" i="2"/>
  <c r="AB139" i="2"/>
  <c r="AM139" i="2"/>
  <c r="AB125" i="2"/>
  <c r="AM125" i="2"/>
  <c r="AB83" i="2"/>
  <c r="AL83" i="2"/>
  <c r="AM83" i="2"/>
  <c r="AB39" i="2"/>
  <c r="AK39" i="2"/>
  <c r="AB10" i="2"/>
  <c r="AL10" i="2"/>
  <c r="AL51" i="2"/>
  <c r="AL156" i="2"/>
  <c r="AL240" i="2"/>
  <c r="AL159" i="2"/>
  <c r="AL166" i="2"/>
  <c r="AL287" i="2"/>
  <c r="AL90" i="2"/>
  <c r="AL261" i="2"/>
  <c r="AL23" i="2"/>
  <c r="AL75" i="2"/>
  <c r="AL54" i="2"/>
  <c r="AL103" i="2"/>
  <c r="AM119" i="2"/>
  <c r="AM73" i="2"/>
  <c r="AM117" i="2"/>
  <c r="AM89" i="2"/>
  <c r="AM177" i="2"/>
  <c r="AM234" i="2"/>
  <c r="AM273" i="2"/>
  <c r="AM280" i="2"/>
  <c r="AM246" i="2"/>
  <c r="AM88" i="2"/>
  <c r="AM53" i="2"/>
  <c r="AM62" i="2"/>
  <c r="AM161" i="2"/>
  <c r="AB290" i="2"/>
  <c r="AL290" i="2"/>
  <c r="AL16" i="2"/>
  <c r="AL220" i="2"/>
  <c r="AM176" i="2"/>
  <c r="AM260" i="2"/>
  <c r="AM274" i="2"/>
  <c r="AM239" i="2"/>
  <c r="AB204" i="2"/>
  <c r="AL204" i="2"/>
  <c r="AK323" i="2"/>
  <c r="AM323" i="2"/>
  <c r="AB281" i="2"/>
  <c r="AM281" i="2"/>
  <c r="AB209" i="2"/>
  <c r="AL209" i="2"/>
  <c r="AB294" i="2"/>
  <c r="AL294" i="2"/>
  <c r="AB109" i="2"/>
  <c r="AM109" i="2"/>
  <c r="AJ67" i="2"/>
  <c r="AL67" i="2"/>
  <c r="AM37" i="2"/>
  <c r="AL37" i="2"/>
  <c r="AL321" i="2"/>
  <c r="AL105" i="2"/>
  <c r="AL132" i="2"/>
  <c r="AL248" i="2"/>
  <c r="AL36" i="2"/>
  <c r="AM133" i="2"/>
  <c r="AM330" i="2"/>
  <c r="AM31" i="2"/>
  <c r="AJ63" i="2"/>
  <c r="AB337" i="2"/>
  <c r="AM337" i="2"/>
  <c r="AB152" i="2"/>
  <c r="AM152" i="2"/>
  <c r="AJ38" i="2"/>
  <c r="AL38" i="2"/>
  <c r="AL322" i="2"/>
  <c r="AM322" i="2"/>
  <c r="AB165" i="2"/>
  <c r="AL165" i="2"/>
  <c r="AB293" i="2"/>
  <c r="AM293" i="2"/>
  <c r="AJ163" i="2"/>
  <c r="AL163" i="2"/>
  <c r="AM163" i="2"/>
  <c r="AM122" i="2"/>
  <c r="AL122" i="2"/>
  <c r="AL94" i="2"/>
  <c r="AM94" i="2"/>
  <c r="AJ139" i="2"/>
  <c r="AL8" i="2"/>
  <c r="AL144" i="2"/>
  <c r="AL243" i="2"/>
  <c r="AL180" i="2"/>
  <c r="AL96" i="2"/>
  <c r="AL300" i="2"/>
  <c r="AL250" i="2"/>
  <c r="AL207" i="2"/>
  <c r="AL91" i="2"/>
  <c r="AL245" i="2"/>
  <c r="AL74" i="2"/>
  <c r="AM27" i="2"/>
  <c r="AM116" i="2"/>
  <c r="AM82" i="2"/>
  <c r="AM171" i="2"/>
  <c r="AM225" i="2"/>
  <c r="AM210" i="2"/>
  <c r="AM95" i="2"/>
  <c r="AM338" i="2"/>
  <c r="AM162" i="2"/>
  <c r="AM97" i="2"/>
  <c r="AM309" i="2"/>
  <c r="AB262" i="2"/>
  <c r="AL262" i="2"/>
  <c r="AB147" i="2"/>
  <c r="AM147" i="2"/>
  <c r="AB267" i="2"/>
  <c r="AL267" i="2"/>
  <c r="AB336" i="2"/>
  <c r="AM336" i="2"/>
  <c r="AB194" i="2"/>
  <c r="AM194" i="2"/>
  <c r="AK81" i="2"/>
  <c r="AL81" i="2"/>
  <c r="AK52" i="2"/>
  <c r="AM52" i="2"/>
  <c r="AM22" i="2"/>
  <c r="AL22" i="2"/>
  <c r="AB193" i="2"/>
  <c r="AM193" i="2"/>
  <c r="AB150" i="2"/>
  <c r="AL150" i="2"/>
  <c r="AJ136" i="2"/>
  <c r="AL136" i="2"/>
  <c r="AM292" i="2"/>
  <c r="AL292" i="2"/>
  <c r="AB264" i="2"/>
  <c r="AL264" i="2"/>
  <c r="AM222" i="2"/>
  <c r="AL222" i="2"/>
  <c r="AJ135" i="2"/>
  <c r="AL135" i="2"/>
  <c r="AM135" i="2"/>
  <c r="AB121" i="2"/>
  <c r="AM121" i="2"/>
  <c r="AL107" i="2"/>
  <c r="AM107" i="2"/>
  <c r="AB65" i="2"/>
  <c r="AM65" i="2"/>
  <c r="AL65" i="2"/>
  <c r="AB50" i="2"/>
  <c r="AL50" i="2"/>
  <c r="AM35" i="2"/>
  <c r="AL35" i="2"/>
  <c r="AK168" i="2"/>
  <c r="AJ54" i="2"/>
  <c r="AL153" i="2"/>
  <c r="AL27" i="2"/>
  <c r="AL268" i="2"/>
  <c r="AL129" i="2"/>
  <c r="AL259" i="2"/>
  <c r="AL104" i="2"/>
  <c r="AL194" i="2"/>
  <c r="AL44" i="2"/>
  <c r="AL329" i="2"/>
  <c r="AL61" i="2"/>
  <c r="AM153" i="2"/>
  <c r="AM231" i="2"/>
  <c r="AM319" i="2"/>
  <c r="AM86" i="2"/>
  <c r="AM324" i="2"/>
  <c r="AM108" i="2"/>
  <c r="AM252" i="2"/>
  <c r="AM313" i="2"/>
  <c r="AM124" i="2"/>
  <c r="AB253" i="2"/>
  <c r="AM253" i="2"/>
  <c r="AK138" i="2"/>
  <c r="AM138" i="2"/>
  <c r="AB266" i="2"/>
  <c r="AL266" i="2"/>
  <c r="AL208" i="2"/>
  <c r="AM208" i="2"/>
  <c r="AK137" i="2"/>
  <c r="AL137" i="2"/>
  <c r="AB223" i="2"/>
  <c r="AM223" i="2"/>
  <c r="AL223" i="2"/>
  <c r="AB179" i="2"/>
  <c r="AM179" i="2"/>
  <c r="AM80" i="2"/>
  <c r="AL80" i="2"/>
  <c r="AJ291" i="2"/>
  <c r="AL291" i="2"/>
  <c r="AB277" i="2"/>
  <c r="AM277" i="2"/>
  <c r="AM205" i="2"/>
  <c r="AL205" i="2"/>
  <c r="AB134" i="2"/>
  <c r="AM134" i="2"/>
  <c r="AB120" i="2"/>
  <c r="AM120" i="2"/>
  <c r="AM92" i="2"/>
  <c r="AK92" i="2"/>
  <c r="AL92" i="2"/>
  <c r="AB49" i="2"/>
  <c r="AL49" i="2"/>
  <c r="AL19" i="2"/>
  <c r="AJ39" i="2"/>
  <c r="AL289" i="2"/>
  <c r="AL125" i="2"/>
  <c r="AL303" i="2"/>
  <c r="AL224" i="2"/>
  <c r="AL235" i="2"/>
  <c r="AL138" i="2"/>
  <c r="AL120" i="2"/>
  <c r="AL60" i="2"/>
  <c r="AL134" i="2"/>
  <c r="AL58" i="2"/>
  <c r="AL130" i="2"/>
  <c r="AM289" i="2"/>
  <c r="AM123" i="2"/>
  <c r="AM69" i="2"/>
  <c r="AM332" i="2"/>
  <c r="AM137" i="2"/>
  <c r="AM143" i="2"/>
  <c r="AM23" i="2"/>
  <c r="AM165" i="2"/>
  <c r="AM54" i="2"/>
  <c r="AM266" i="2"/>
  <c r="AM72" i="2"/>
  <c r="AL190" i="2"/>
  <c r="AL346" i="2"/>
  <c r="AL133" i="2"/>
  <c r="AL20" i="2"/>
  <c r="AL176" i="2"/>
  <c r="AL234" i="2"/>
  <c r="AL318" i="2"/>
  <c r="AL158" i="2"/>
  <c r="AM136" i="2"/>
  <c r="AM294" i="2"/>
  <c r="AM168" i="2"/>
  <c r="AM314" i="2"/>
  <c r="AM45" i="2"/>
  <c r="AM287" i="2"/>
  <c r="AM328" i="2"/>
  <c r="AM10" i="2"/>
  <c r="AM265" i="2"/>
  <c r="AJ92" i="2"/>
  <c r="AJ169" i="2"/>
  <c r="AJ71" i="2"/>
  <c r="AJ340" i="2"/>
  <c r="AL227" i="2"/>
  <c r="AL41" i="2"/>
  <c r="AM99" i="2"/>
  <c r="AK112" i="2"/>
  <c r="AL25" i="2"/>
  <c r="AL297" i="2"/>
  <c r="AL228" i="2"/>
  <c r="AM127" i="2"/>
  <c r="AM12" i="2"/>
  <c r="AM270" i="2"/>
  <c r="AJ112" i="2"/>
  <c r="AJ127" i="2"/>
  <c r="AL126" i="2"/>
  <c r="AL340" i="2"/>
  <c r="AM25" i="2"/>
  <c r="AM297" i="2"/>
  <c r="AM228" i="2"/>
  <c r="AJ326" i="2"/>
  <c r="AJ269" i="2"/>
  <c r="AK182" i="2"/>
  <c r="AK243" i="2"/>
  <c r="AK141" i="2"/>
  <c r="AK328" i="2"/>
  <c r="AJ255" i="2"/>
  <c r="AK298" i="2"/>
  <c r="AJ283" i="2"/>
  <c r="AK49" i="2"/>
  <c r="AK78" i="2"/>
  <c r="AK235" i="2"/>
  <c r="AK87" i="2"/>
  <c r="AK153" i="2"/>
  <c r="AJ182" i="2"/>
  <c r="AJ243" i="2"/>
  <c r="AK96" i="2"/>
  <c r="AK127" i="2"/>
  <c r="AJ183" i="2"/>
  <c r="AK41" i="2"/>
  <c r="AK338" i="2"/>
  <c r="AK73" i="2"/>
  <c r="AK77" i="2"/>
  <c r="AK242" i="2"/>
  <c r="AK241" i="2"/>
  <c r="AK300" i="2"/>
  <c r="AK277" i="2"/>
  <c r="AJ83" i="2"/>
  <c r="AK139" i="2"/>
  <c r="AK212" i="2"/>
  <c r="AK155" i="2"/>
  <c r="AK215" i="2"/>
  <c r="AK276" i="2"/>
  <c r="AK281" i="2"/>
  <c r="AJ88" i="2"/>
  <c r="AJ77" i="2"/>
  <c r="AJ313" i="2"/>
  <c r="AJ125" i="2"/>
  <c r="AK196" i="2"/>
  <c r="AK296" i="2"/>
  <c r="AK244" i="2"/>
  <c r="AJ12" i="2"/>
  <c r="AK210" i="2"/>
  <c r="AJ209" i="2"/>
  <c r="AK24" i="2"/>
  <c r="AK211" i="2"/>
  <c r="AK61" i="2"/>
  <c r="AK88" i="2"/>
  <c r="AK230" i="2"/>
  <c r="AK12" i="2"/>
  <c r="AK228" i="2"/>
  <c r="AK209" i="2"/>
  <c r="AJ212" i="2"/>
  <c r="AK140" i="2"/>
  <c r="AJ196" i="2"/>
  <c r="AJ159" i="2"/>
  <c r="AJ244" i="2"/>
  <c r="AJ210" i="2"/>
  <c r="AK184" i="2"/>
  <c r="AK54" i="2"/>
  <c r="AJ211" i="2"/>
  <c r="AJ61" i="2"/>
  <c r="AK173" i="2"/>
  <c r="AK143" i="2"/>
  <c r="AK197" i="2"/>
  <c r="AJ126" i="2"/>
  <c r="AJ173" i="2"/>
  <c r="AJ259" i="2"/>
  <c r="AJ56" i="2"/>
  <c r="AK312" i="2"/>
  <c r="AK84" i="2"/>
  <c r="AK99" i="2"/>
  <c r="AJ113" i="2"/>
  <c r="AK113" i="2"/>
  <c r="AK69" i="2"/>
  <c r="AK170" i="2"/>
  <c r="AK120" i="2"/>
  <c r="AJ248" i="2"/>
  <c r="AK71" i="2"/>
  <c r="AK245" i="2"/>
  <c r="AJ99" i="2"/>
  <c r="AJ111" i="2"/>
  <c r="AB322" i="2"/>
  <c r="AK322" i="2"/>
  <c r="AJ22" i="2"/>
  <c r="AK294" i="2"/>
  <c r="AB335" i="2"/>
  <c r="AK335" i="2"/>
  <c r="AJ279" i="2"/>
  <c r="AK279" i="2"/>
  <c r="AJ237" i="2"/>
  <c r="AK237" i="2"/>
  <c r="AJ122" i="2"/>
  <c r="AJ80" i="2"/>
  <c r="AB51" i="2"/>
  <c r="AJ51" i="2"/>
  <c r="AJ292" i="2"/>
  <c r="AB206" i="2"/>
  <c r="AJ206" i="2"/>
  <c r="AK206" i="2"/>
  <c r="AB149" i="2"/>
  <c r="AJ149" i="2"/>
  <c r="AK149" i="2"/>
  <c r="AB93" i="2"/>
  <c r="AK93" i="2"/>
  <c r="AB79" i="2"/>
  <c r="AJ79" i="2"/>
  <c r="AK79" i="2"/>
  <c r="AB35" i="2"/>
  <c r="AK35" i="2"/>
  <c r="AJ276" i="2"/>
  <c r="AK65" i="2"/>
  <c r="AK147" i="2"/>
  <c r="AK172" i="2"/>
  <c r="AJ96" i="2"/>
  <c r="AJ235" i="2"/>
  <c r="AJ120" i="2"/>
  <c r="AJ328" i="2"/>
  <c r="AJ281" i="2"/>
  <c r="AJ95" i="2"/>
  <c r="AK165" i="2"/>
  <c r="AJ245" i="2"/>
  <c r="AJ87" i="2"/>
  <c r="AB263" i="2"/>
  <c r="AJ263" i="2"/>
  <c r="AK263" i="2"/>
  <c r="AB249" i="2"/>
  <c r="AJ249" i="2"/>
  <c r="AK249" i="2"/>
  <c r="AB221" i="2"/>
  <c r="AK221" i="2"/>
  <c r="AB205" i="2"/>
  <c r="AJ205" i="2"/>
  <c r="AB191" i="2"/>
  <c r="AJ191" i="2"/>
  <c r="AK191" i="2"/>
  <c r="AB177" i="2"/>
  <c r="AJ177" i="2"/>
  <c r="AB148" i="2"/>
  <c r="AJ148" i="2"/>
  <c r="AK148" i="2"/>
  <c r="AB106" i="2"/>
  <c r="AJ106" i="2"/>
  <c r="AK106" i="2"/>
  <c r="AB92" i="2"/>
  <c r="AB64" i="2"/>
  <c r="AK64" i="2"/>
  <c r="AB34" i="2"/>
  <c r="AJ34" i="2"/>
  <c r="AJ65" i="2"/>
  <c r="AK34" i="2"/>
  <c r="AJ147" i="2"/>
  <c r="AK20" i="2"/>
  <c r="AJ172" i="2"/>
  <c r="AK234" i="2"/>
  <c r="AK201" i="2"/>
  <c r="AK13" i="2"/>
  <c r="AK271" i="2"/>
  <c r="AK278" i="2"/>
  <c r="AK134" i="2"/>
  <c r="AJ165" i="2"/>
  <c r="AK58" i="2"/>
  <c r="AK253" i="2"/>
  <c r="AJ221" i="2"/>
  <c r="AK36" i="2"/>
  <c r="AB18" i="2"/>
  <c r="AJ18" i="2"/>
  <c r="AK18" i="2"/>
  <c r="AK305" i="2"/>
  <c r="AK262" i="2"/>
  <c r="AJ20" i="2"/>
  <c r="AK159" i="2"/>
  <c r="AK223" i="2"/>
  <c r="AJ234" i="2"/>
  <c r="AJ201" i="2"/>
  <c r="AJ13" i="2"/>
  <c r="AK80" i="2"/>
  <c r="AJ271" i="2"/>
  <c r="AJ278" i="2"/>
  <c r="AJ134" i="2"/>
  <c r="AK247" i="2"/>
  <c r="AJ58" i="2"/>
  <c r="AJ253" i="2"/>
  <c r="AJ36" i="2"/>
  <c r="AK313" i="2"/>
  <c r="AK290" i="2"/>
  <c r="AJ47" i="2"/>
  <c r="AK47" i="2"/>
  <c r="AB250" i="2"/>
  <c r="AK250" i="2"/>
  <c r="AB178" i="2"/>
  <c r="AK178" i="2"/>
  <c r="AB107" i="2"/>
  <c r="AK107" i="2"/>
  <c r="AK304" i="2"/>
  <c r="AJ48" i="2"/>
  <c r="AJ219" i="2"/>
  <c r="AK219" i="2"/>
  <c r="AK146" i="2"/>
  <c r="AJ104" i="2"/>
  <c r="AJ247" i="2"/>
  <c r="AK91" i="2"/>
  <c r="AK122" i="2"/>
  <c r="AJ290" i="2"/>
  <c r="AB260" i="2"/>
  <c r="AK260" i="2"/>
  <c r="AB174" i="2"/>
  <c r="AJ174" i="2"/>
  <c r="AK174" i="2"/>
  <c r="AJ89" i="2"/>
  <c r="AK89" i="2"/>
  <c r="AK119" i="2"/>
  <c r="AK317" i="2"/>
  <c r="AJ73" i="2"/>
  <c r="AK116" i="2"/>
  <c r="AK101" i="2"/>
  <c r="AK114" i="2"/>
  <c r="AJ230" i="2"/>
  <c r="AK180" i="2"/>
  <c r="AK267" i="2"/>
  <c r="AJ300" i="2"/>
  <c r="AJ143" i="2"/>
  <c r="AJ49" i="2"/>
  <c r="AJ277" i="2"/>
  <c r="AJ78" i="2"/>
  <c r="AJ215" i="2"/>
  <c r="AJ91" i="2"/>
  <c r="AK15" i="2"/>
  <c r="AJ158" i="2"/>
  <c r="AJ265" i="2"/>
  <c r="AK72" i="2"/>
  <c r="AK161" i="2"/>
  <c r="AJ331" i="2"/>
  <c r="AK331" i="2"/>
  <c r="AJ175" i="2"/>
  <c r="AK175" i="2"/>
  <c r="AJ132" i="2"/>
  <c r="AK132" i="2"/>
  <c r="AJ118" i="2"/>
  <c r="AK118" i="2"/>
  <c r="AJ90" i="2"/>
  <c r="AK90" i="2"/>
  <c r="AJ223" i="2"/>
  <c r="AK265" i="2"/>
  <c r="AJ302" i="2"/>
  <c r="AK302" i="2"/>
  <c r="AB246" i="2"/>
  <c r="AK246" i="2"/>
  <c r="AB145" i="2"/>
  <c r="AK145" i="2"/>
  <c r="AK301" i="2"/>
  <c r="AJ119" i="2"/>
  <c r="AJ317" i="2"/>
  <c r="AJ116" i="2"/>
  <c r="AJ101" i="2"/>
  <c r="AJ114" i="2"/>
  <c r="AJ64" i="2"/>
  <c r="AJ180" i="2"/>
  <c r="AJ267" i="2"/>
  <c r="AK152" i="2"/>
  <c r="AK19" i="2"/>
  <c r="AK287" i="2"/>
  <c r="AK273" i="2"/>
  <c r="AK43" i="2"/>
  <c r="AK258" i="2"/>
  <c r="AK44" i="2"/>
  <c r="AJ15" i="2"/>
  <c r="AK162" i="2"/>
  <c r="AK130" i="2"/>
  <c r="AJ72" i="2"/>
  <c r="AJ161" i="2"/>
  <c r="AB280" i="2"/>
  <c r="AJ280" i="2"/>
  <c r="AK280" i="2"/>
  <c r="AB208" i="2"/>
  <c r="AK208" i="2"/>
  <c r="AB123" i="2"/>
  <c r="AJ123" i="2"/>
  <c r="AJ21" i="2"/>
  <c r="AK21" i="2"/>
  <c r="AK22" i="2"/>
  <c r="AB333" i="2"/>
  <c r="AJ333" i="2"/>
  <c r="AK333" i="2"/>
  <c r="AJ303" i="2"/>
  <c r="AK303" i="2"/>
  <c r="AJ203" i="2"/>
  <c r="AK203" i="2"/>
  <c r="AJ315" i="2"/>
  <c r="AJ144" i="2"/>
  <c r="AK144" i="2"/>
  <c r="AB342" i="2"/>
  <c r="AJ342" i="2"/>
  <c r="AK342" i="2"/>
  <c r="AK157" i="2"/>
  <c r="AJ115" i="2"/>
  <c r="AK115" i="2"/>
  <c r="AK51" i="2"/>
  <c r="AK27" i="2"/>
  <c r="AK295" i="2"/>
  <c r="AK179" i="2"/>
  <c r="AJ152" i="2"/>
  <c r="AJ19" i="2"/>
  <c r="AJ287" i="2"/>
  <c r="AJ273" i="2"/>
  <c r="AJ43" i="2"/>
  <c r="AJ258" i="2"/>
  <c r="AK207" i="2"/>
  <c r="AK202" i="2"/>
  <c r="AJ44" i="2"/>
  <c r="AK205" i="2"/>
  <c r="AJ162" i="2"/>
  <c r="AJ130" i="2"/>
  <c r="AJ93" i="2"/>
  <c r="AJ307" i="2"/>
  <c r="AK307" i="2"/>
  <c r="AB251" i="2"/>
  <c r="AJ251" i="2"/>
  <c r="AK251" i="2"/>
  <c r="AK163" i="2"/>
  <c r="AK95" i="2"/>
  <c r="AB334" i="2"/>
  <c r="AJ334" i="2"/>
  <c r="AK334" i="2"/>
  <c r="AB222" i="2"/>
  <c r="AK222" i="2"/>
  <c r="AB190" i="2"/>
  <c r="AJ190" i="2"/>
  <c r="AK190" i="2"/>
  <c r="AK345" i="2"/>
  <c r="AJ261" i="2"/>
  <c r="AK261" i="2"/>
  <c r="AJ160" i="2"/>
  <c r="AK316" i="2"/>
  <c r="AJ232" i="2"/>
  <c r="AK232" i="2"/>
  <c r="AK117" i="2"/>
  <c r="AJ343" i="2"/>
  <c r="AK343" i="2"/>
  <c r="AJ28" i="2"/>
  <c r="AK28" i="2"/>
  <c r="AJ285" i="2"/>
  <c r="AK185" i="2"/>
  <c r="AJ156" i="2"/>
  <c r="AB57" i="2"/>
  <c r="AJ57" i="2"/>
  <c r="AB42" i="2"/>
  <c r="AJ42" i="2"/>
  <c r="AK327" i="2"/>
  <c r="AJ27" i="2"/>
  <c r="AJ295" i="2"/>
  <c r="AK48" i="2"/>
  <c r="AB224" i="2"/>
  <c r="AJ224" i="2"/>
  <c r="AK224" i="2"/>
  <c r="AB151" i="2"/>
  <c r="AJ151" i="2"/>
  <c r="AK151" i="2"/>
  <c r="AJ8" i="2"/>
  <c r="AJ181" i="2"/>
  <c r="AK181" i="2"/>
  <c r="AJ294" i="2"/>
  <c r="AB320" i="2"/>
  <c r="AJ320" i="2"/>
  <c r="AK320" i="2"/>
  <c r="AB319" i="2"/>
  <c r="AK319" i="2"/>
  <c r="AJ275" i="2"/>
  <c r="AK275" i="2"/>
  <c r="AJ189" i="2"/>
  <c r="AB46" i="2"/>
  <c r="AJ46" i="2"/>
  <c r="AK46" i="2"/>
  <c r="AK31" i="2"/>
  <c r="AB188" i="2"/>
  <c r="AJ188" i="2"/>
  <c r="AK188" i="2"/>
  <c r="AJ272" i="2"/>
  <c r="AJ200" i="2"/>
  <c r="AB341" i="2"/>
  <c r="AJ341" i="2"/>
  <c r="AK341" i="2"/>
  <c r="AB299" i="2"/>
  <c r="AJ299" i="2"/>
  <c r="AJ257" i="2"/>
  <c r="AJ213" i="2"/>
  <c r="AK213" i="2"/>
  <c r="AK86" i="2"/>
  <c r="AJ179" i="2"/>
  <c r="AK166" i="2"/>
  <c r="AK285" i="2"/>
  <c r="AK94" i="2"/>
  <c r="AK109" i="2"/>
  <c r="AK14" i="2"/>
  <c r="AK239" i="2"/>
  <c r="AK60" i="2"/>
  <c r="AJ107" i="2"/>
  <c r="AJ207" i="2"/>
  <c r="AJ202" i="2"/>
  <c r="AJ145" i="2"/>
  <c r="AK108" i="2"/>
  <c r="AK204" i="2"/>
  <c r="AK62" i="2"/>
  <c r="AK315" i="2"/>
  <c r="AJ327" i="2"/>
  <c r="AK308" i="2"/>
  <c r="AK16" i="2"/>
  <c r="AJ117" i="2"/>
  <c r="AK59" i="2"/>
  <c r="AJ86" i="2"/>
  <c r="AJ178" i="2"/>
  <c r="AJ166" i="2"/>
  <c r="AJ94" i="2"/>
  <c r="AJ109" i="2"/>
  <c r="AJ14" i="2"/>
  <c r="AJ239" i="2"/>
  <c r="AJ60" i="2"/>
  <c r="AK299" i="2"/>
  <c r="AK194" i="2"/>
  <c r="AJ108" i="2"/>
  <c r="AJ204" i="2"/>
  <c r="AJ62" i="2"/>
  <c r="AK336" i="2"/>
  <c r="AB137" i="2"/>
  <c r="AJ137" i="2"/>
  <c r="AK8" i="2"/>
  <c r="AJ37" i="2"/>
  <c r="AB66" i="2"/>
  <c r="AJ66" i="2"/>
  <c r="AK66" i="2"/>
  <c r="AB306" i="2"/>
  <c r="AJ306" i="2"/>
  <c r="AK306" i="2"/>
  <c r="AB236" i="2"/>
  <c r="AJ236" i="2"/>
  <c r="AK236" i="2"/>
  <c r="AB192" i="2"/>
  <c r="AJ192" i="2"/>
  <c r="AK192" i="2"/>
  <c r="AB135" i="2"/>
  <c r="AK135" i="2"/>
  <c r="AK347" i="2"/>
  <c r="AJ346" i="2"/>
  <c r="AK346" i="2"/>
  <c r="AB220" i="2"/>
  <c r="AK220" i="2"/>
  <c r="AJ32" i="2"/>
  <c r="AK32" i="2"/>
  <c r="AJ289" i="2"/>
  <c r="AK233" i="2"/>
  <c r="AJ305" i="2"/>
  <c r="AJ262" i="2"/>
  <c r="AK160" i="2"/>
  <c r="AJ322" i="2"/>
  <c r="AJ344" i="2"/>
  <c r="AK344" i="2"/>
  <c r="AB274" i="2"/>
  <c r="AJ274" i="2"/>
  <c r="AB216" i="2"/>
  <c r="AJ216" i="2"/>
  <c r="AK216" i="2"/>
  <c r="AK131" i="2"/>
  <c r="AJ103" i="2"/>
  <c r="AK103" i="2"/>
  <c r="AK30" i="2"/>
  <c r="AJ329" i="2"/>
  <c r="AJ186" i="2"/>
  <c r="AK129" i="2"/>
  <c r="AJ330" i="2"/>
  <c r="AK330" i="2"/>
  <c r="AK231" i="2"/>
  <c r="AJ187" i="2"/>
  <c r="AK187" i="2"/>
  <c r="AJ29" i="2"/>
  <c r="AK29" i="2"/>
  <c r="AB314" i="2"/>
  <c r="AK314" i="2"/>
  <c r="AJ286" i="2"/>
  <c r="AJ214" i="2"/>
  <c r="AK214" i="2"/>
  <c r="AJ229" i="2"/>
  <c r="AK229" i="2"/>
  <c r="AJ199" i="2"/>
  <c r="AK199" i="2"/>
  <c r="AK171" i="2"/>
  <c r="AJ142" i="2"/>
  <c r="AK142" i="2"/>
  <c r="AJ128" i="2"/>
  <c r="AK128" i="2"/>
  <c r="AJ100" i="2"/>
  <c r="AK100" i="2"/>
  <c r="AB339" i="2"/>
  <c r="AJ339" i="2"/>
  <c r="AK339" i="2"/>
  <c r="AB325" i="2"/>
  <c r="AJ325" i="2"/>
  <c r="AK325" i="2"/>
  <c r="AB311" i="2"/>
  <c r="AJ311" i="2"/>
  <c r="AK311" i="2"/>
  <c r="AB297" i="2"/>
  <c r="AJ297" i="2"/>
  <c r="AK102" i="2"/>
  <c r="AJ308" i="2"/>
  <c r="AJ16" i="2"/>
  <c r="AK42" i="2"/>
  <c r="AJ59" i="2"/>
  <c r="AK177" i="2"/>
  <c r="AK337" i="2"/>
  <c r="AJ35" i="2"/>
  <c r="AK121" i="2"/>
  <c r="AK50" i="2"/>
  <c r="AJ131" i="2"/>
  <c r="AK318" i="2"/>
  <c r="AK264" i="2"/>
  <c r="AJ194" i="2"/>
  <c r="AK193" i="2"/>
  <c r="AK53" i="2"/>
  <c r="AK150" i="2"/>
  <c r="AJ208" i="2"/>
  <c r="AK17" i="2"/>
  <c r="AJ336" i="2"/>
  <c r="AJ102" i="2"/>
  <c r="AK257" i="2"/>
  <c r="AJ231" i="2"/>
  <c r="AK105" i="2"/>
  <c r="AK238" i="2"/>
  <c r="AK133" i="2"/>
  <c r="AJ233" i="2"/>
  <c r="AK76" i="2"/>
  <c r="AK176" i="2"/>
  <c r="AJ337" i="2"/>
  <c r="AK332" i="2"/>
  <c r="AJ121" i="2"/>
  <c r="AJ50" i="2"/>
  <c r="AJ318" i="2"/>
  <c r="AJ264" i="2"/>
  <c r="AK75" i="2"/>
  <c r="AJ193" i="2"/>
  <c r="AJ53" i="2"/>
  <c r="AJ150" i="2"/>
  <c r="AK292" i="2"/>
  <c r="AJ17" i="2"/>
  <c r="AK74" i="2"/>
  <c r="AK288" i="2"/>
  <c r="AB252" i="2"/>
  <c r="AJ252" i="2"/>
  <c r="AK252" i="2"/>
  <c r="AB81" i="2"/>
  <c r="AJ81" i="2"/>
  <c r="AK67" i="2"/>
  <c r="AB52" i="2"/>
  <c r="AJ52" i="2"/>
  <c r="AJ266" i="2"/>
  <c r="AB321" i="2"/>
  <c r="AJ321" i="2"/>
  <c r="AK136" i="2"/>
  <c r="AB291" i="2"/>
  <c r="AK291" i="2"/>
  <c r="AB323" i="2"/>
  <c r="AJ323" i="2"/>
  <c r="AJ309" i="2"/>
  <c r="AB225" i="2"/>
  <c r="AJ225" i="2"/>
  <c r="AB195" i="2"/>
  <c r="AK195" i="2"/>
  <c r="AB164" i="2"/>
  <c r="AJ164" i="2"/>
  <c r="AK164" i="2"/>
  <c r="AB167" i="2"/>
  <c r="AJ167" i="2"/>
  <c r="AK167" i="2"/>
  <c r="AB138" i="2"/>
  <c r="AJ138" i="2"/>
  <c r="AB124" i="2"/>
  <c r="AJ124" i="2"/>
  <c r="AK124" i="2"/>
  <c r="AB110" i="2"/>
  <c r="AJ110" i="2"/>
  <c r="AK110" i="2"/>
  <c r="AB82" i="2"/>
  <c r="AJ82" i="2"/>
  <c r="AB68" i="2"/>
  <c r="AJ68" i="2"/>
  <c r="AK68" i="2"/>
  <c r="AB38" i="2"/>
  <c r="AK38" i="2"/>
  <c r="AJ23" i="2"/>
  <c r="AJ9" i="2"/>
  <c r="AK9" i="2"/>
  <c r="AJ347" i="2"/>
  <c r="AK37" i="2"/>
  <c r="AK123" i="2"/>
  <c r="AJ105" i="2"/>
  <c r="AJ238" i="2"/>
  <c r="AJ133" i="2"/>
  <c r="AK57" i="2"/>
  <c r="AJ76" i="2"/>
  <c r="AJ176" i="2"/>
  <c r="AJ195" i="2"/>
  <c r="AJ332" i="2"/>
  <c r="AK63" i="2"/>
  <c r="AJ222" i="2"/>
  <c r="AK259" i="2"/>
  <c r="AK293" i="2"/>
  <c r="AJ30" i="2"/>
  <c r="AK248" i="2"/>
  <c r="AK189" i="2"/>
  <c r="AJ75" i="2"/>
  <c r="AJ335" i="2"/>
  <c r="AK266" i="2"/>
  <c r="AJ345" i="2"/>
  <c r="AJ74" i="2"/>
  <c r="AJ288" i="2"/>
  <c r="AK310" i="2"/>
  <c r="AK284" i="2"/>
  <c r="AK270" i="2"/>
  <c r="AK183" i="2"/>
  <c r="AK83" i="2"/>
  <c r="AK226" i="2"/>
  <c r="AK283" i="2"/>
  <c r="AK111" i="2"/>
  <c r="AK269" i="2"/>
  <c r="AJ197" i="2"/>
  <c r="AJ296" i="2"/>
  <c r="AJ170" i="2"/>
  <c r="AJ141" i="2"/>
  <c r="AJ282" i="2"/>
  <c r="AJ228" i="2"/>
  <c r="AJ312" i="2"/>
  <c r="AJ298" i="2"/>
  <c r="AJ84" i="2"/>
  <c r="AJ338" i="2"/>
  <c r="AJ70" i="2"/>
  <c r="AK227" i="2"/>
  <c r="AJ268" i="2"/>
  <c r="AJ242" i="2"/>
  <c r="AJ168" i="2"/>
  <c r="AJ154" i="2"/>
  <c r="AJ227" i="2"/>
  <c r="AJ10" i="2"/>
  <c r="AJ11" i="2"/>
  <c r="AJ41" i="2"/>
  <c r="AJ24" i="2"/>
  <c r="AJ155" i="2"/>
  <c r="AK240" i="2"/>
  <c r="AK98" i="2"/>
  <c r="AK198" i="2"/>
  <c r="AK324" i="2"/>
  <c r="AK254" i="2"/>
  <c r="AK55" i="2"/>
  <c r="AK26" i="2"/>
  <c r="AK256" i="2"/>
  <c r="AK97" i="2"/>
  <c r="AJ240" i="2"/>
  <c r="AJ98" i="2"/>
  <c r="AJ198" i="2"/>
  <c r="AJ324" i="2"/>
  <c r="AJ254" i="2"/>
  <c r="AJ55" i="2"/>
  <c r="AJ26" i="2"/>
  <c r="AJ256" i="2"/>
  <c r="AJ97" i="2"/>
  <c r="AB233" i="2"/>
  <c r="AB232" i="2"/>
  <c r="AB67" i="2"/>
  <c r="AB73" i="2"/>
  <c r="AB203" i="2"/>
  <c r="AB41" i="2"/>
  <c r="AB8" i="2"/>
  <c r="AB202" i="2"/>
  <c r="AB37" i="2"/>
  <c r="AB181" i="2"/>
  <c r="AB199" i="2"/>
  <c r="AB32" i="2"/>
  <c r="AB331" i="2"/>
  <c r="AB171" i="2"/>
  <c r="AB31" i="2"/>
  <c r="AB330" i="2"/>
  <c r="AB163" i="2"/>
  <c r="AB329" i="2"/>
  <c r="AB140" i="2"/>
  <c r="AB136" i="2"/>
  <c r="AB279" i="2"/>
  <c r="AB132" i="2"/>
  <c r="AB275" i="2"/>
  <c r="AB131" i="2"/>
  <c r="AB104" i="2"/>
  <c r="AB271" i="2"/>
  <c r="AB103" i="2"/>
  <c r="AB237" i="2"/>
  <c r="AB100" i="2"/>
  <c r="AB198" i="2"/>
  <c r="AB180" i="2"/>
  <c r="AB317" i="2"/>
  <c r="AB270" i="2"/>
  <c r="AB229" i="2"/>
  <c r="AB197" i="2"/>
  <c r="AB160" i="2"/>
  <c r="AB128" i="2"/>
  <c r="AB98" i="2"/>
  <c r="AB63" i="2"/>
  <c r="AB28" i="2"/>
  <c r="AB99" i="2"/>
  <c r="AB47" i="2"/>
  <c r="AB316" i="2"/>
  <c r="AB228" i="2"/>
  <c r="AB159" i="2"/>
  <c r="AB127" i="2"/>
  <c r="AB94" i="2"/>
  <c r="AB27" i="2"/>
  <c r="AB72" i="2"/>
  <c r="AB21" i="2"/>
  <c r="AB315" i="2"/>
  <c r="AB261" i="2"/>
  <c r="AB227" i="2"/>
  <c r="AB189" i="2"/>
  <c r="AB156" i="2"/>
  <c r="AB126" i="2"/>
  <c r="AB90" i="2"/>
  <c r="AB58" i="2"/>
  <c r="AB26" i="2"/>
  <c r="AB20" i="2"/>
  <c r="AB307" i="2"/>
  <c r="AB155" i="2"/>
  <c r="AB122" i="2"/>
  <c r="AB89" i="2"/>
  <c r="AB19" i="2"/>
  <c r="AB301" i="2"/>
  <c r="AB257" i="2"/>
  <c r="AB219" i="2"/>
  <c r="AB185" i="2"/>
  <c r="AB154" i="2"/>
  <c r="AB118" i="2"/>
  <c r="AB86" i="2"/>
  <c r="AB56" i="2"/>
  <c r="AB242" i="2"/>
  <c r="AB300" i="2"/>
  <c r="AB117" i="2"/>
  <c r="AB85" i="2"/>
  <c r="AB169" i="2"/>
  <c r="AB71" i="2"/>
  <c r="AB298" i="2"/>
  <c r="AB289" i="2"/>
  <c r="AB213" i="2"/>
  <c r="AB183" i="2"/>
  <c r="AB146" i="2"/>
  <c r="AB114" i="2"/>
  <c r="AB84" i="2"/>
  <c r="AB48" i="2"/>
  <c r="AB292" i="2"/>
  <c r="AB247" i="2"/>
  <c r="AB80" i="2"/>
  <c r="AB343" i="2"/>
  <c r="AB285" i="2"/>
  <c r="AB211" i="2"/>
  <c r="AB175" i="2"/>
  <c r="AB142" i="2"/>
  <c r="AB112" i="2"/>
  <c r="AB76" i="2"/>
  <c r="AB43" i="2"/>
  <c r="AB243" i="2"/>
  <c r="AB75" i="2"/>
  <c r="AB23" i="2"/>
  <c r="AB9" i="2"/>
  <c r="AB304" i="2"/>
  <c r="AB22" i="2"/>
  <c r="AB309" i="2"/>
  <c r="AB332" i="2"/>
  <c r="AB318" i="2"/>
  <c r="AB303" i="2"/>
  <c r="AB287" i="2"/>
  <c r="AB273" i="2"/>
  <c r="AB259" i="2"/>
  <c r="AB245" i="2"/>
  <c r="AB231" i="2"/>
  <c r="AB215" i="2"/>
  <c r="AB201" i="2"/>
  <c r="AB187" i="2"/>
  <c r="AB173" i="2"/>
  <c r="AB158" i="2"/>
  <c r="AB144" i="2"/>
  <c r="AB130" i="2"/>
  <c r="AB116" i="2"/>
  <c r="AB102" i="2"/>
  <c r="AB88" i="2"/>
  <c r="AB60" i="2"/>
  <c r="AB45" i="2"/>
  <c r="AB30" i="2"/>
  <c r="AB302" i="2"/>
  <c r="AB286" i="2"/>
  <c r="AB272" i="2"/>
  <c r="AB258" i="2"/>
  <c r="AB244" i="2"/>
  <c r="AB230" i="2"/>
  <c r="AB214" i="2"/>
  <c r="AB200" i="2"/>
  <c r="AB186" i="2"/>
  <c r="AB172" i="2"/>
  <c r="AB157" i="2"/>
  <c r="AB143" i="2"/>
  <c r="AB129" i="2"/>
  <c r="AB115" i="2"/>
  <c r="AB101" i="2"/>
  <c r="AB87" i="2"/>
  <c r="AB74" i="2"/>
  <c r="AB59" i="2"/>
  <c r="AB44" i="2"/>
  <c r="AB29" i="2"/>
  <c r="AB33" i="2"/>
  <c r="AB338" i="2"/>
  <c r="AB324" i="2"/>
  <c r="AB310" i="2"/>
  <c r="AB347" i="2"/>
  <c r="AB346" i="2"/>
  <c r="AB345" i="2"/>
  <c r="AB344" i="2"/>
  <c r="AP5" i="2" l="1"/>
  <c r="J5" i="1"/>
</calcChain>
</file>

<file path=xl/sharedStrings.xml><?xml version="1.0" encoding="utf-8"?>
<sst xmlns="http://schemas.openxmlformats.org/spreadsheetml/2006/main" count="20095" uniqueCount="5205">
  <si>
    <t xml:space="preserve">Redevances C&amp;S 2026 à Facturer </t>
  </si>
  <si>
    <t>N° Compte</t>
  </si>
  <si>
    <t>Nom du compte</t>
  </si>
  <si>
    <t>Nom SF</t>
  </si>
  <si>
    <t>External ID</t>
  </si>
  <si>
    <t>Products ID</t>
  </si>
  <si>
    <t>Article SF</t>
  </si>
  <si>
    <t>Fréquence facturation</t>
  </si>
  <si>
    <t>Quantité</t>
  </si>
  <si>
    <t>Prix unitaire</t>
  </si>
  <si>
    <t>Montant 2026</t>
  </si>
  <si>
    <t>Commentaires</t>
  </si>
  <si>
    <t>CHVR-01881</t>
  </si>
  <si>
    <t>CHEMVIRON</t>
  </si>
  <si>
    <t>CHEMVIRON sas</t>
  </si>
  <si>
    <t>001IV000015S8iQYAS</t>
  </si>
  <si>
    <t>01tIV00000GyVCbYAN</t>
  </si>
  <si>
    <t>Redevance d'utilisation - Tranche 25 ETP - Cas 2</t>
  </si>
  <si>
    <t>Annuelle</t>
  </si>
  <si>
    <t>EIET-01859</t>
  </si>
  <si>
    <t>EURO INFORMATION SERVICES</t>
  </si>
  <si>
    <t>EIS - EURO INFORMATION</t>
  </si>
  <si>
    <t>001IV000015SADoYAO</t>
  </si>
  <si>
    <t>01tIV00000GOfP6YAL</t>
  </si>
  <si>
    <t>Redevance d'utilisation - ETP EU</t>
  </si>
  <si>
    <t>EUFR-01878</t>
  </si>
  <si>
    <t>EURIAL ULTRA-FRAIS</t>
  </si>
  <si>
    <t>EURIAL ULTRA-FRAIS - Château Salins</t>
  </si>
  <si>
    <t>001IV000015S2eZYAS</t>
  </si>
  <si>
    <t>CHRD-01609</t>
  </si>
  <si>
    <t>CHARENTAISE DE DECOR</t>
  </si>
  <si>
    <t>CHARENTAISE DE DECOR</t>
  </si>
  <si>
    <t>001IV000015S6a5YAC</t>
  </si>
  <si>
    <t>VRLF-01972</t>
  </si>
  <si>
    <t>VERALLIA France</t>
  </si>
  <si>
    <t>001IV000015S9GIYA0</t>
  </si>
  <si>
    <t>Autre</t>
  </si>
  <si>
    <t>EPHG-01823</t>
  </si>
  <si>
    <t>EPHIGEA GRAIN DE MALICE</t>
  </si>
  <si>
    <t>EPHIGEA GRAIN DE MALICE sasu</t>
  </si>
  <si>
    <t>001IV000015SAHlYAO</t>
  </si>
  <si>
    <t>EMGP-01816</t>
  </si>
  <si>
    <t>EM LYON EMG</t>
  </si>
  <si>
    <t>EMG-EARLY MAKERS GROUP</t>
  </si>
  <si>
    <t>001IV000015SAHkYAO</t>
  </si>
  <si>
    <t>SFRT-01772</t>
  </si>
  <si>
    <t>SEYFERT</t>
  </si>
  <si>
    <t>SEYFERT SAS</t>
  </si>
  <si>
    <t>001IV000015RyDnYAK</t>
  </si>
  <si>
    <t>IPSA-01585</t>
  </si>
  <si>
    <t>INTERNATIONAL PAPER France</t>
  </si>
  <si>
    <t>001IV000015SAFhYAO</t>
  </si>
  <si>
    <t>01tIV00000GOfP1YAL</t>
  </si>
  <si>
    <t>Redevance d'utilisation - Tranche 25 ETP - Cas 1</t>
  </si>
  <si>
    <t>GCPC-01584</t>
  </si>
  <si>
    <t>CHRYSO FRANCE</t>
  </si>
  <si>
    <t>CHRYSO FRANCE (ex GCP PRODUITS DE CONSTRUCTION)</t>
  </si>
  <si>
    <t>001IV000015S2eRYAS</t>
  </si>
  <si>
    <t>ABSD-01564</t>
  </si>
  <si>
    <t>ABRISUD</t>
  </si>
  <si>
    <t>001IV000015S6ZxYAK</t>
  </si>
  <si>
    <t>ACIA-01692</t>
  </si>
  <si>
    <t>ACIAL</t>
  </si>
  <si>
    <t>001IV000015S85xYAC</t>
  </si>
  <si>
    <t>ALMG-01848</t>
  </si>
  <si>
    <t>ALMA GROUPE</t>
  </si>
  <si>
    <t>001IV000015RyDjYAK</t>
  </si>
  <si>
    <t>ANGD-01672</t>
  </si>
  <si>
    <t>ANGDM</t>
  </si>
  <si>
    <t>001IV000015S50QYAS</t>
  </si>
  <si>
    <t>AMPR-01765</t>
  </si>
  <si>
    <t>SOFIVO</t>
  </si>
  <si>
    <t>ARMOR PROTEINES</t>
  </si>
  <si>
    <t>001IV000015RewHYAS</t>
  </si>
  <si>
    <t>ATSX-01481</t>
  </si>
  <si>
    <t>APPLICATION TRAVAUX SPECIAUX</t>
  </si>
  <si>
    <t>ATS</t>
  </si>
  <si>
    <t>001IV000015Rew7YAC</t>
  </si>
  <si>
    <t>AXGR-01774</t>
  </si>
  <si>
    <t>AXE GROUP</t>
  </si>
  <si>
    <t>001IV000015S50NYAS</t>
  </si>
  <si>
    <t>BPEF-01789</t>
  </si>
  <si>
    <t>BALL PACKAGING EUROPE</t>
  </si>
  <si>
    <t>BALL PACKAGING GROUPE</t>
  </si>
  <si>
    <t>001IV000015RhU5YAK</t>
  </si>
  <si>
    <t>BBGR-01651</t>
  </si>
  <si>
    <t>BARBIER PLASTIQUES</t>
  </si>
  <si>
    <t>BARBIER GROUPE</t>
  </si>
  <si>
    <t>001IV000015RzTfYAK</t>
  </si>
  <si>
    <t>BSFA-01740</t>
  </si>
  <si>
    <t>BASF AGRI PRODUCTION</t>
  </si>
  <si>
    <t>BASF AGRIPRODUCTION</t>
  </si>
  <si>
    <t>001IV000015RyDgYAK</t>
  </si>
  <si>
    <t>BICR-01561</t>
  </si>
  <si>
    <t>BIC RASOIRS</t>
  </si>
  <si>
    <t>001IV000015S50CYAS</t>
  </si>
  <si>
    <t>BIOH-01734</t>
  </si>
  <si>
    <t>BIO HABITAT</t>
  </si>
  <si>
    <t>001IV000015S6a8YAC</t>
  </si>
  <si>
    <t>BLCH-01662</t>
  </si>
  <si>
    <t>BLANCHON SA</t>
  </si>
  <si>
    <t>BLANCHON (GROUPE)</t>
  </si>
  <si>
    <t>001IV000015RewMYAS</t>
  </si>
  <si>
    <t>BGRD-01647</t>
  </si>
  <si>
    <t>BONGARD</t>
  </si>
  <si>
    <t>001IV000015S2eNYAS</t>
  </si>
  <si>
    <t>BNFY-01575</t>
  </si>
  <si>
    <t>BONNEFOY SAS</t>
  </si>
  <si>
    <t>001IV000015S8imYAC</t>
  </si>
  <si>
    <t>CEKC-01875</t>
  </si>
  <si>
    <t>C ET K COMPONENTS SAS</t>
  </si>
  <si>
    <t>C&amp;K COMPONENTS SAS</t>
  </si>
  <si>
    <t>001IV000015S8iPYAS</t>
  </si>
  <si>
    <t>CAIL-01608</t>
  </si>
  <si>
    <t>CAILLAU</t>
  </si>
  <si>
    <t>001IV000015S85mYAC</t>
  </si>
  <si>
    <t>CETH-01698</t>
  </si>
  <si>
    <t>CETIH</t>
  </si>
  <si>
    <t>CETIH DEVELOPPEMENT</t>
  </si>
  <si>
    <t>001IV000015SAHwYAO</t>
  </si>
  <si>
    <t>CHRV-01811</t>
  </si>
  <si>
    <t>CHARLES RIVER LABORATOIRE France</t>
  </si>
  <si>
    <t>CHARLES RIVER LABORATOIRE FRANCE CRLF sasu</t>
  </si>
  <si>
    <t>001IV000015RzTcYAK</t>
  </si>
  <si>
    <t>CVRO-01684</t>
  </si>
  <si>
    <t>CHEVRON ORONITE SA</t>
  </si>
  <si>
    <t>CHEVRON ORONITE</t>
  </si>
  <si>
    <t>001IV000015S50FYAS</t>
  </si>
  <si>
    <t>CSMF-01842</t>
  </si>
  <si>
    <t>CSM INGREDIENTS</t>
  </si>
  <si>
    <t>CSM FRANCE sas</t>
  </si>
  <si>
    <t>001IV000015RyDtYAK</t>
  </si>
  <si>
    <t>DRGL-01756</t>
  </si>
  <si>
    <t>DAREGAL</t>
  </si>
  <si>
    <t>DAREGAL sas</t>
  </si>
  <si>
    <t>001IV000015SADpYAO</t>
  </si>
  <si>
    <t>DNVL-01497</t>
  </si>
  <si>
    <t>DE NEUVILLE - LA MAISON DU CHOCOLAT</t>
  </si>
  <si>
    <t>DE NEUVILLE</t>
  </si>
  <si>
    <t>001IV000015S2SLYA0</t>
  </si>
  <si>
    <t>DNAG-01749</t>
  </si>
  <si>
    <t>DIANA</t>
  </si>
  <si>
    <t>DIANA GROUP</t>
  </si>
  <si>
    <t>001IV000015S8j4YAC</t>
  </si>
  <si>
    <t>DKFR-01494</t>
  </si>
  <si>
    <t>DOKA FRANCE</t>
  </si>
  <si>
    <t>001IV000015Rew8YAC</t>
  </si>
  <si>
    <t>DSPX-01537</t>
  </si>
  <si>
    <t>DSP</t>
  </si>
  <si>
    <t>001IV000015RyDhYAK</t>
  </si>
  <si>
    <t>ELDN-01899</t>
  </si>
  <si>
    <t>ELYDAN SAS</t>
  </si>
  <si>
    <t>ELYDAN sas</t>
  </si>
  <si>
    <t>001IV000015SAI9YAO</t>
  </si>
  <si>
    <t>FLDT-01645</t>
  </si>
  <si>
    <t>FIELDTURF TARKETT</t>
  </si>
  <si>
    <t>FIELDTURF TARKETT</t>
  </si>
  <si>
    <t>001IV000015S2eDYAS</t>
  </si>
  <si>
    <t>FNLM-01536</t>
  </si>
  <si>
    <t>FINE LAME</t>
  </si>
  <si>
    <t>001IV000015S6a1YAC</t>
  </si>
  <si>
    <t>FLIP-01667</t>
  </si>
  <si>
    <t>FLIP</t>
  </si>
  <si>
    <t>FLIP SAS</t>
  </si>
  <si>
    <t>001IV000015S2ePYAS</t>
  </si>
  <si>
    <t>FMCF-01656</t>
  </si>
  <si>
    <t>GROUPE FMC</t>
  </si>
  <si>
    <t>FMC FRANCE</t>
  </si>
  <si>
    <t>001IV000015S2eSYAS</t>
  </si>
  <si>
    <t>FRCS-01805</t>
  </si>
  <si>
    <t>SISLEY INDUSTRIE</t>
  </si>
  <si>
    <t>FRANCOS - (SISLEY)</t>
  </si>
  <si>
    <t>001IV000015RyDwYAK</t>
  </si>
  <si>
    <t>FRST-01862</t>
  </si>
  <si>
    <t>FREUDENBERG SEALING TECHNOLOGIES SA</t>
  </si>
  <si>
    <t>FREUDENBERG SEALING TECHNOLOGIES sas</t>
  </si>
  <si>
    <t>001IV000015RyE1YAK</t>
  </si>
  <si>
    <t>GHSF-01558</t>
  </si>
  <si>
    <t>GEORGES HELFER</t>
  </si>
  <si>
    <t>001IV000015S50BYAS</t>
  </si>
  <si>
    <t>GCPS-01511</t>
  </si>
  <si>
    <t>COFIDIS GROUP</t>
  </si>
  <si>
    <t>GROUPE COFIDIS PARTICIPATIONS (SYNERGIE GEIE)</t>
  </si>
  <si>
    <t>001IV000015SAHRYA4</t>
  </si>
  <si>
    <t>GDFP-01797</t>
  </si>
  <si>
    <t>GROUPE DIFFUSION PLUS</t>
  </si>
  <si>
    <t>GROUPE DIFFUSION PLUS sas</t>
  </si>
  <si>
    <t>001IV000015S2SVYA0</t>
  </si>
  <si>
    <t>GRLD-01542</t>
  </si>
  <si>
    <t>LUCAY MAROQUINERIE</t>
  </si>
  <si>
    <t>GROUPE RIOLAND</t>
  </si>
  <si>
    <t>001IV000015S6a7YAC</t>
  </si>
  <si>
    <t>GRLN-01835</t>
  </si>
  <si>
    <t>GUERLAIN SA</t>
  </si>
  <si>
    <t>GUERLAIN sas</t>
  </si>
  <si>
    <t>001IV000015S2SRYA0</t>
  </si>
  <si>
    <t>HB76-01741</t>
  </si>
  <si>
    <t>HABITAT 76</t>
  </si>
  <si>
    <t>001IV000015SAI5YAO</t>
  </si>
  <si>
    <t>HSGH-01854</t>
  </si>
  <si>
    <t>HANSGROHE WASSELONNE</t>
  </si>
  <si>
    <t>HANSGROHE</t>
  </si>
  <si>
    <t>001IV000015RewGYAS</t>
  </si>
  <si>
    <t>HJHZ-01770</t>
  </si>
  <si>
    <t>HEINZ SAS</t>
  </si>
  <si>
    <t>HEINZ</t>
  </si>
  <si>
    <t>001IV000015RzTjYAK</t>
  </si>
  <si>
    <t>IESG-01562</t>
  </si>
  <si>
    <t>IESEG</t>
  </si>
  <si>
    <t>001IV000015S8ihYAC</t>
  </si>
  <si>
    <t>IMRS-01722</t>
  </si>
  <si>
    <t>SA IMERYS</t>
  </si>
  <si>
    <t>IMERYS SA</t>
  </si>
  <si>
    <t>001IV000015S2eLYAS</t>
  </si>
  <si>
    <t>ITFR-01800</t>
  </si>
  <si>
    <t>EDITIS INTERFORUM</t>
  </si>
  <si>
    <t>INTERFORUM</t>
  </si>
  <si>
    <t>001IV000015S8jAYAS</t>
  </si>
  <si>
    <t>IVCF-01793</t>
  </si>
  <si>
    <t>INVACARE France</t>
  </si>
  <si>
    <t>INVACARE FRANCE OPERATIONS</t>
  </si>
  <si>
    <t>001IV000015S2SUYA0</t>
  </si>
  <si>
    <t>JMBR-01728</t>
  </si>
  <si>
    <t>JM BRUNEAU</t>
  </si>
  <si>
    <t>001IV000015S85yYAC</t>
  </si>
  <si>
    <t>JMIH-01712</t>
  </si>
  <si>
    <t>JMI HOLDING</t>
  </si>
  <si>
    <t>JMI HOLDING - (CRUSTA C)</t>
  </si>
  <si>
    <t>001IV000015S2e9YAC</t>
  </si>
  <si>
    <t>KOYB-01814</t>
  </si>
  <si>
    <t>JTEKT BEARINGS FRANCE SAS</t>
  </si>
  <si>
    <t>KOYO BEARINGS - (JTEKT)</t>
  </si>
  <si>
    <t>001IV000015SAHnYAO</t>
  </si>
  <si>
    <t>KUHN-01670</t>
  </si>
  <si>
    <t>KUHN.</t>
  </si>
  <si>
    <t>KUHN</t>
  </si>
  <si>
    <t>001IV000015S8iuYAC</t>
  </si>
  <si>
    <t>LLPR-01579</t>
  </si>
  <si>
    <t>L AND L</t>
  </si>
  <si>
    <t>L&amp;L PRODUCTS</t>
  </si>
  <si>
    <t>001IV000015S50EYAS</t>
  </si>
  <si>
    <t>LRDT-01780</t>
  </si>
  <si>
    <t>LA REDOUTE</t>
  </si>
  <si>
    <t>001IV000015S8iWYAS</t>
  </si>
  <si>
    <t>LGRP-01496</t>
  </si>
  <si>
    <t>LAGRANGE PRODUCTION</t>
  </si>
  <si>
    <t>001IV000015SAHPYA4</t>
  </si>
  <si>
    <t>LTLM-01810</t>
  </si>
  <si>
    <t>GROUPE TELEGRAMME</t>
  </si>
  <si>
    <t>LE TELEGRAMME - MORLAIX</t>
  </si>
  <si>
    <t>001IV000015SAFjYAO</t>
  </si>
  <si>
    <t>LMNF-01593</t>
  </si>
  <si>
    <t>LEMOINE FRANCE</t>
  </si>
  <si>
    <t>001IV000015Rew6YAC</t>
  </si>
  <si>
    <t>LBSP-01837</t>
  </si>
  <si>
    <t>BIO SPRINGER</t>
  </si>
  <si>
    <t>LESAFFRE - BIO SPRINGER</t>
  </si>
  <si>
    <t>001IV000015S8j3YAC</t>
  </si>
  <si>
    <t>LHHX-01674</t>
  </si>
  <si>
    <t>LHH</t>
  </si>
  <si>
    <t>001IV000015S50PYAS</t>
  </si>
  <si>
    <t>LFDB-01525</t>
  </si>
  <si>
    <t>LISI AEROSPACE FORGES DE BOLOGNE</t>
  </si>
  <si>
    <t>LISI AEROSPACE (LES FORGES DE BOLOGNE)</t>
  </si>
  <si>
    <t>001IV000015S8iaYAC</t>
  </si>
  <si>
    <t>LMBG-01911</t>
  </si>
  <si>
    <t>LOC MARIA BISCUITS</t>
  </si>
  <si>
    <t>LOC MARIA BISCUITS (GROUPE)</t>
  </si>
  <si>
    <t>001IV000015SAHtYAO</t>
  </si>
  <si>
    <t>SMVC-01528</t>
  </si>
  <si>
    <t>MAVIC GROUP</t>
  </si>
  <si>
    <t>MAVIC GROUP</t>
  </si>
  <si>
    <t>001IV000015SAFaYAO</t>
  </si>
  <si>
    <t>MCBD-01903</t>
  </si>
  <si>
    <t>MCBRIDE S.A.S</t>
  </si>
  <si>
    <t>MC BRIDE SAS</t>
  </si>
  <si>
    <t>001IV000015RyE0YAK</t>
  </si>
  <si>
    <t>MDSX-01864</t>
  </si>
  <si>
    <t>MDS</t>
  </si>
  <si>
    <t>MDS sa</t>
  </si>
  <si>
    <t>001IV000015S86DYAS</t>
  </si>
  <si>
    <t>MRSN-01830</t>
  </si>
  <si>
    <t>MERSEN FRANCE</t>
  </si>
  <si>
    <t>MERSEN</t>
  </si>
  <si>
    <t>001IV000015SAI8YAO</t>
  </si>
  <si>
    <t>MTEF-01520</t>
  </si>
  <si>
    <t>METALOR TECHNOLOGIES</t>
  </si>
  <si>
    <t>001IV000015SAFcYAO</t>
  </si>
  <si>
    <t>MTSF-01652</t>
  </si>
  <si>
    <t>METSO FRANCE SAS</t>
  </si>
  <si>
    <t>001IV000015S50RYAS</t>
  </si>
  <si>
    <t>MMPP-01589</t>
  </si>
  <si>
    <t>MMP SAS</t>
  </si>
  <si>
    <t>MMP PACKETIS</t>
  </si>
  <si>
    <t>001IV000015S8ioYAC</t>
  </si>
  <si>
    <t>MTBL-01521</t>
  </si>
  <si>
    <t>MONT BLANC</t>
  </si>
  <si>
    <t>001IV000015S2eOYAS</t>
  </si>
  <si>
    <t>LMDV-01522</t>
  </si>
  <si>
    <t>MOULINS BOURGEOIS</t>
  </si>
  <si>
    <t>MOULINS BOURGEOIS (DE VERDELOT)</t>
  </si>
  <si>
    <t>001IV000015Rew9YAC</t>
  </si>
  <si>
    <t>NFBP-01498</t>
  </si>
  <si>
    <t>NEFAB</t>
  </si>
  <si>
    <t>NEFAB PACKAGING</t>
  </si>
  <si>
    <t>001IV000015RewAYAS</t>
  </si>
  <si>
    <t>NRCG-01620</t>
  </si>
  <si>
    <t>NORAC SA</t>
  </si>
  <si>
    <t>NORAC GROUPE</t>
  </si>
  <si>
    <t>001IV000015RxtaYAC</t>
  </si>
  <si>
    <t>NSTF-01804</t>
  </si>
  <si>
    <t>NYRSTAR</t>
  </si>
  <si>
    <t>NYRSTAR FRANCE</t>
  </si>
  <si>
    <t>001IV000015S8j2YAC</t>
  </si>
  <si>
    <t>OLCH-01706</t>
  </si>
  <si>
    <t>OLICHON</t>
  </si>
  <si>
    <t>OLICHON GROUPE (TSO ...)</t>
  </si>
  <si>
    <t>001IV000015S2eBYAS</t>
  </si>
  <si>
    <t>VPKC-01531</t>
  </si>
  <si>
    <t>ONDULYS (VPK Group)</t>
  </si>
  <si>
    <t>ONDULYS (VPK Group)</t>
  </si>
  <si>
    <t>001IV000015RewBYAS</t>
  </si>
  <si>
    <t>OECO-01733</t>
  </si>
  <si>
    <t>ORECO</t>
  </si>
  <si>
    <t>001IV000015S8iqYAC</t>
  </si>
  <si>
    <t>OTRF-01794</t>
  </si>
  <si>
    <t>O TERRA FRANCE COSSE</t>
  </si>
  <si>
    <t>OTERRA FRANCE</t>
  </si>
  <si>
    <t>001IV000015S8j9YAC</t>
  </si>
  <si>
    <t>PAPM-01628</t>
  </si>
  <si>
    <t>GROUPE PAPIN</t>
  </si>
  <si>
    <t>PAPIN GROUPE</t>
  </si>
  <si>
    <t>001IV000015S85iYAC</t>
  </si>
  <si>
    <t>PDGP-01507</t>
  </si>
  <si>
    <t>PDG Plastiques</t>
  </si>
  <si>
    <t>PDG PLASTIQUES</t>
  </si>
  <si>
    <t>001IV000015S6ZyYAK</t>
  </si>
  <si>
    <t>PRIF-01578</t>
  </si>
  <si>
    <t>PERNOD RICARD FRANCE</t>
  </si>
  <si>
    <t>001IV000015S8ieYAC</t>
  </si>
  <si>
    <t>PLJI-01563</t>
  </si>
  <si>
    <t>PILEJE SAS</t>
  </si>
  <si>
    <t>001IV000015S8ijYAC</t>
  </si>
  <si>
    <t>PLCH-01717</t>
  </si>
  <si>
    <t>PLACOPLATRE CHAMBERY</t>
  </si>
  <si>
    <t>001IV000015S8iwYAC</t>
  </si>
  <si>
    <t>BRGR-01509</t>
  </si>
  <si>
    <t>PRODUITS BERGER SAS</t>
  </si>
  <si>
    <t>001IV000015S8icYAC</t>
  </si>
  <si>
    <t>PMAF-01775</t>
  </si>
  <si>
    <t>PUMA</t>
  </si>
  <si>
    <t>PUMA FRANCE SAS</t>
  </si>
  <si>
    <t>001IV000015RyDlYAK</t>
  </si>
  <si>
    <t>RVMA-01671</t>
  </si>
  <si>
    <t>REVIMA</t>
  </si>
  <si>
    <t>001IV000015RyL0YAK</t>
  </si>
  <si>
    <t>RCHF-01548</t>
  </si>
  <si>
    <t>RICOH FRANCE</t>
  </si>
  <si>
    <t>001IV000015RzTVYA0</t>
  </si>
  <si>
    <t>RGIN-01658</t>
  </si>
  <si>
    <t>ROCHLING INDUSTRIAL</t>
  </si>
  <si>
    <t>ROCHLING INDUSTRIAL NANCY</t>
  </si>
  <si>
    <t>001IV000015RzTWYA0</t>
  </si>
  <si>
    <t>RSGN-01895</t>
  </si>
  <si>
    <t>GROUPE ROSSIGNOL</t>
  </si>
  <si>
    <t>ROSSIGNOL (GROUPE)</t>
  </si>
  <si>
    <t>001IV000015S86FYAS</t>
  </si>
  <si>
    <t>RVAL-01597</t>
  </si>
  <si>
    <t>ROVAL</t>
  </si>
  <si>
    <t>001IV000015RhU7YAK</t>
  </si>
  <si>
    <t>SNFW-01727</t>
  </si>
  <si>
    <t>SNF WATER SCIENCE</t>
  </si>
  <si>
    <t>SNF WATER</t>
  </si>
  <si>
    <t>001IV000015S8iVYAS</t>
  </si>
  <si>
    <t>SDLL-01546</t>
  </si>
  <si>
    <t>SODEL LISIEUX</t>
  </si>
  <si>
    <t>001IV000015SAFgYAO</t>
  </si>
  <si>
    <t>SCHB-01662</t>
  </si>
  <si>
    <t>SOUCHIER BOULLET</t>
  </si>
  <si>
    <t>SOUCHIER BOULLET GROUPE</t>
  </si>
  <si>
    <t>001IV000015RzTeYAK</t>
  </si>
  <si>
    <t>STKM-01512</t>
  </si>
  <si>
    <t>STOKOMANI</t>
  </si>
  <si>
    <t>001IV000015SAFdYAO</t>
  </si>
  <si>
    <t>TNFL-01732</t>
  </si>
  <si>
    <t>TECHNOFLEX</t>
  </si>
  <si>
    <t>001IV000015S8iSYAS</t>
  </si>
  <si>
    <t>TIES-01480</t>
  </si>
  <si>
    <t>TOYO INK EUROPE SPEC CHEMICALS</t>
  </si>
  <si>
    <t>TOYO INK EUROPE</t>
  </si>
  <si>
    <t>001IV000015S6ZvYAK</t>
  </si>
  <si>
    <t>UCOY-01702</t>
  </si>
  <si>
    <t>UNIVERSITE CATHOLIQUE OUEST</t>
  </si>
  <si>
    <t>UNIVERSITE CATHOLIQUE DE L'OUEST - (ASS ST-YVES - UCO)</t>
  </si>
  <si>
    <t>001IV000015S861YAC</t>
  </si>
  <si>
    <t>UPSA-01768</t>
  </si>
  <si>
    <t>UPSA SAS</t>
  </si>
  <si>
    <t>UPSA</t>
  </si>
  <si>
    <t>001IV000015RyL1YAK</t>
  </si>
  <si>
    <t>VRNT-01701</t>
  </si>
  <si>
    <t>VERNET</t>
  </si>
  <si>
    <t>001IV000015SAHxYAO</t>
  </si>
  <si>
    <t>VMDC-01524</t>
  </si>
  <si>
    <t>VIANT MEDICAL</t>
  </si>
  <si>
    <t>VIANT MEDICAL - (CHAUMONT)</t>
  </si>
  <si>
    <t>001IV000015S508YAC</t>
  </si>
  <si>
    <t>VWBK-01490</t>
  </si>
  <si>
    <t>VOLKSWAGEN BANK</t>
  </si>
  <si>
    <t>VW BANK</t>
  </si>
  <si>
    <t>001IV000015S1XOYA0</t>
  </si>
  <si>
    <t>WESR-01594</t>
  </si>
  <si>
    <t>WESER</t>
  </si>
  <si>
    <t>001IV000015S2eUYAS</t>
  </si>
  <si>
    <t>WRTF-01708</t>
  </si>
  <si>
    <t>WURTH FRANCE</t>
  </si>
  <si>
    <t>WURTH FRANCE SAS</t>
  </si>
  <si>
    <t>001IV000015S4lEYAS</t>
  </si>
  <si>
    <t>LGLF-01857</t>
  </si>
  <si>
    <t>LFB FRANCE</t>
  </si>
  <si>
    <t>LFB FRANCE (ex LENNOX ex LGL)</t>
  </si>
  <si>
    <t>001IV000015S869YAC</t>
  </si>
  <si>
    <t>NPPA-01898</t>
  </si>
  <si>
    <t>NESTLE PURINA</t>
  </si>
  <si>
    <t>NESTLE PURINA PETCARE AUBIGNY</t>
  </si>
  <si>
    <t>001IV000015RvVPYA0</t>
  </si>
  <si>
    <t>Semestrielle</t>
  </si>
  <si>
    <t>ABBF-01693</t>
  </si>
  <si>
    <t>ABB FRANCE</t>
  </si>
  <si>
    <t>001IV000015S8ixYAC</t>
  </si>
  <si>
    <t>AFCB-01660</t>
  </si>
  <si>
    <t>AMPHENOL FCI BESANCON</t>
  </si>
  <si>
    <t>AMPHENOL FCI</t>
  </si>
  <si>
    <t>001IV000015SAHqYAO</t>
  </si>
  <si>
    <t>ANTS-01879</t>
  </si>
  <si>
    <t>AGCE NAT DES TITRES SECURISES</t>
  </si>
  <si>
    <t>ANTS</t>
  </si>
  <si>
    <t>001IV000015S8izYAC</t>
  </si>
  <si>
    <t>AAAM-02046</t>
  </si>
  <si>
    <t>APERAM</t>
  </si>
  <si>
    <t>001IV00001OqxYmYAJ</t>
  </si>
  <si>
    <t>ARFR-02021</t>
  </si>
  <si>
    <t>ARAYMOND SARL</t>
  </si>
  <si>
    <t>ARAYMOND FRANCE</t>
  </si>
  <si>
    <t>001IV000015SAI2YAO</t>
  </si>
  <si>
    <t>ARCO-01885</t>
  </si>
  <si>
    <t>ARCO</t>
  </si>
  <si>
    <t>001IV000015S86EYAS</t>
  </si>
  <si>
    <t>01tIV00000GyVFpYAN</t>
  </si>
  <si>
    <t>Redevance d'utilisation - Tranche 25 ETP / EU canal indirect (facturation ETT) - Cas 1</t>
  </si>
  <si>
    <t>Facturation Adecco</t>
  </si>
  <si>
    <t>MBSA-01612</t>
  </si>
  <si>
    <t>Association MBS</t>
  </si>
  <si>
    <t>MBS ASSOCIATION</t>
  </si>
  <si>
    <t>001IV000015RewDYAS</t>
  </si>
  <si>
    <t>AUBI-01723</t>
  </si>
  <si>
    <t>AUBIN IMPRIMEUR</t>
  </si>
  <si>
    <t>001IV000015RewOYAS</t>
  </si>
  <si>
    <t>BPMD-01549</t>
  </si>
  <si>
    <t>BANQUE POPULAIRE MEDITERRANEE</t>
  </si>
  <si>
    <t>001IV000015SAFiYAO</t>
  </si>
  <si>
    <t>BASV-01744</t>
  </si>
  <si>
    <t>BARILLA FRANCE ST VULBAS</t>
  </si>
  <si>
    <t>BARILLA ST VULBAS</t>
  </si>
  <si>
    <t>001IV000015RewPYAS</t>
  </si>
  <si>
    <t>BBHA-01773</t>
  </si>
  <si>
    <t>BAUMER BOURDON HAENNI S.A.S</t>
  </si>
  <si>
    <t>BAUMER BOURDON HAENNI (PME)</t>
  </si>
  <si>
    <t>001IV000015S2SOYA0</t>
  </si>
  <si>
    <t>PRMS-01766</t>
  </si>
  <si>
    <t>BERRY BEAUTE MAROLLES</t>
  </si>
  <si>
    <t>BERRY GLOBAL - PROMENS - (EX PGI)</t>
  </si>
  <si>
    <t>001IV000015S867YAC</t>
  </si>
  <si>
    <t>BRDF-01782</t>
  </si>
  <si>
    <t>BRANDT France</t>
  </si>
  <si>
    <t>BRANDT FRANCE</t>
  </si>
  <si>
    <t>001IV000015RzTaYAK</t>
  </si>
  <si>
    <t>CEBF-01654</t>
  </si>
  <si>
    <t>CAISSE D'EPARGNE BOURGOGNE FRANCHE COMTE</t>
  </si>
  <si>
    <t>CAISSE D'EPARGNE BOURGOGNE FRANCHE COMTE (CEBFC)</t>
  </si>
  <si>
    <t>001IV000015S8ipYAC</t>
  </si>
  <si>
    <t>SHRP-01576</t>
  </si>
  <si>
    <t>CALIDA GROUP</t>
  </si>
  <si>
    <t>SHERPA LOGISTIQUE (CALIDA GROUP)</t>
  </si>
  <si>
    <t>001IV000015S8ilYAC</t>
  </si>
  <si>
    <t>CLGM-01513</t>
  </si>
  <si>
    <t>GROUPE CAMUS</t>
  </si>
  <si>
    <t>CAMUS</t>
  </si>
  <si>
    <t>001IV000015SAHQYA4</t>
  </si>
  <si>
    <t>CARG-01700</t>
  </si>
  <si>
    <t>CAREA GROUPE</t>
  </si>
  <si>
    <t>001IV000015RewNYAS</t>
  </si>
  <si>
    <t>CBNE-01515</t>
  </si>
  <si>
    <t>CHABANNE</t>
  </si>
  <si>
    <t>001IV000015S2eQYAS</t>
  </si>
  <si>
    <t>CHDF-01604</t>
  </si>
  <si>
    <t>CHEDDITE FRANCE</t>
  </si>
  <si>
    <t>CHEDDITE</t>
  </si>
  <si>
    <t>001IV000015RzTZYA0</t>
  </si>
  <si>
    <t>COFL-01630</t>
  </si>
  <si>
    <t>COFEL INDUSTRIES</t>
  </si>
  <si>
    <t>COFEL</t>
  </si>
  <si>
    <t>001IV000015S8inYAC</t>
  </si>
  <si>
    <t>CMTS-01666</t>
  </si>
  <si>
    <t>COMATELEC SCHREDER</t>
  </si>
  <si>
    <t>001IV000015RewIYAS</t>
  </si>
  <si>
    <t>CNDT-01518</t>
  </si>
  <si>
    <t>CONDAT</t>
  </si>
  <si>
    <t>001IV000015S6a0YAC</t>
  </si>
  <si>
    <t>CTLM-01607</t>
  </si>
  <si>
    <t>CONSTELLIUM MONTREUIL JUIGNE</t>
  </si>
  <si>
    <t>001IV000015S85pYAC</t>
  </si>
  <si>
    <t>CPCH-01648</t>
  </si>
  <si>
    <t>CORDEN PHARMA CHENOVE</t>
  </si>
  <si>
    <t>CORDEN PHARMA CHENOVE</t>
  </si>
  <si>
    <t>001IV000015RewKYAS</t>
  </si>
  <si>
    <t>CTVA-01725</t>
  </si>
  <si>
    <t>CORTEVA AGRISCIENCE</t>
  </si>
  <si>
    <t>CORTEVA (EX: DUPONT DE NEMOURS)</t>
  </si>
  <si>
    <t>001IV000015SAHyYAO</t>
  </si>
  <si>
    <t>CRBF-01913</t>
  </si>
  <si>
    <t>CROWN BEVCAN</t>
  </si>
  <si>
    <t>CROWN BEVCAN FRANCE</t>
  </si>
  <si>
    <t>001IV000015RzThYAK</t>
  </si>
  <si>
    <t>DMDC-01477</t>
  </si>
  <si>
    <t>D MEDICA</t>
  </si>
  <si>
    <t>001IV000015RhU3YAK</t>
  </si>
  <si>
    <t>DGRD-01933</t>
  </si>
  <si>
    <t>DAGARD</t>
  </si>
  <si>
    <t>001IV000015S8jIYAS</t>
  </si>
  <si>
    <t>DFOS-01629</t>
  </si>
  <si>
    <t>DANFOSS</t>
  </si>
  <si>
    <t>001IV000015S50OYAS</t>
  </si>
  <si>
    <t>DMTG-01817</t>
  </si>
  <si>
    <t>DIMOTRANS GROUP</t>
  </si>
  <si>
    <t>001IV000015S8jCYAS</t>
  </si>
  <si>
    <t>DPSB-01896</t>
  </si>
  <si>
    <t>DPS BEAUNE</t>
  </si>
  <si>
    <t>DPS BEAUNE (Groupe Dalloz)</t>
  </si>
  <si>
    <t>001IV000015RyE5YAK</t>
  </si>
  <si>
    <t>EDAG-02008</t>
  </si>
  <si>
    <t>EDA PLASTIQUES</t>
  </si>
  <si>
    <t>EDA - (Ets GEORGES DAVID)</t>
  </si>
  <si>
    <t>001IV000015S86CYAS</t>
  </si>
  <si>
    <t>EGDC-01517</t>
  </si>
  <si>
    <t>EGDC - GMR INVESTISSEMENT</t>
  </si>
  <si>
    <t>EGDC - (GMR INVESTISSEMENT)</t>
  </si>
  <si>
    <t>001IV000015S6a2YAC</t>
  </si>
  <si>
    <t>ELTP-01876</t>
  </si>
  <si>
    <t>ELECTROPOLI</t>
  </si>
  <si>
    <t>001IV000015RyE2YAK</t>
  </si>
  <si>
    <t>ELYC-01807</t>
  </si>
  <si>
    <t>ELYSEE COSMETIQUES</t>
  </si>
  <si>
    <t>001IV000015SADrYAO</t>
  </si>
  <si>
    <t>EOLC-01803</t>
  </si>
  <si>
    <t>GROUPE EOLIANCE</t>
  </si>
  <si>
    <t>EOLIANCE (ex : QUINOA GROUP SOTIS)</t>
  </si>
  <si>
    <t>001IV000015S8iyYAC</t>
  </si>
  <si>
    <t>ERDG-01704</t>
  </si>
  <si>
    <t>SOFLACOBAT</t>
  </si>
  <si>
    <t>ERIDIUM GROUPE - (SOFLACOBAT)</t>
  </si>
  <si>
    <t>001IV000015S6ZzYAK</t>
  </si>
  <si>
    <t>EGHF-01590</t>
  </si>
  <si>
    <t>ESTIVIN GROUPE</t>
  </si>
  <si>
    <t>ESTIVIN GROUPE (EGHF)</t>
  </si>
  <si>
    <t>001IV000015S8ibYAC</t>
  </si>
  <si>
    <t>ERLG-01836</t>
  </si>
  <si>
    <t>GROUPE EURALIS</t>
  </si>
  <si>
    <t>EURALIS GASTRONOMIE</t>
  </si>
  <si>
    <t>001IV000015SAHTYA4</t>
  </si>
  <si>
    <t>ABRT-01799</t>
  </si>
  <si>
    <t>SOCIETE EUREDEN</t>
  </si>
  <si>
    <t>EUREDEN (Société : AUBRET)</t>
  </si>
  <si>
    <t>001IV000015S2eMYAS</t>
  </si>
  <si>
    <t>EAPI-01880</t>
  </si>
  <si>
    <t>EUROAPI</t>
  </si>
  <si>
    <t>001IV000015SAHoYAO</t>
  </si>
  <si>
    <t>ERCT-01897</t>
  </si>
  <si>
    <t>SAINT-GOBAIN EUROCOUSTIC</t>
  </si>
  <si>
    <t>EUROCOUSTIC</t>
  </si>
  <si>
    <t>001IV000015RyE7YAK</t>
  </si>
  <si>
    <t>ESNK-01707</t>
  </si>
  <si>
    <t>EUROPE SNACKS</t>
  </si>
  <si>
    <t>EUROPE SNACKS - (FRANDEX)</t>
  </si>
  <si>
    <t>001IV000015S4lDYAS</t>
  </si>
  <si>
    <t>EUDC-01586</t>
  </si>
  <si>
    <t>EUROPEENNE DE CONDIMENTS</t>
  </si>
  <si>
    <t>001IV000015S2eVYAS</t>
  </si>
  <si>
    <t>EXCV-01801</t>
  </si>
  <si>
    <t>EXCELVISION</t>
  </si>
  <si>
    <t>001IV000015S2SQYA0</t>
  </si>
  <si>
    <t>FVTB-01760</t>
  </si>
  <si>
    <t>FAIVELEYTECH BOURGOIN</t>
  </si>
  <si>
    <t>FAIVELEY TECH BOURGOIN</t>
  </si>
  <si>
    <t>001IV000015S85uYAC</t>
  </si>
  <si>
    <t>FRMA-01643</t>
  </si>
  <si>
    <t>FARMEA</t>
  </si>
  <si>
    <t>001IV000015S85vYAC</t>
  </si>
  <si>
    <t>FDMG-01813</t>
  </si>
  <si>
    <t>FEDERAL MOGUL OPERATIONS FRANCE</t>
  </si>
  <si>
    <t>FEDERAL MOGUL OPERATIONS FRANCE</t>
  </si>
  <si>
    <t>001IV000015S8j7YAC</t>
  </si>
  <si>
    <t>FNTR-01676</t>
  </si>
  <si>
    <t>FENETREA</t>
  </si>
  <si>
    <t>001IV000015S863YAC</t>
  </si>
  <si>
    <t>FLWB-01860</t>
  </si>
  <si>
    <t>FLOWBIRD</t>
  </si>
  <si>
    <t>FLOWBIRD - (ex PARKEON)</t>
  </si>
  <si>
    <t>001IV000015S85wYAC</t>
  </si>
  <si>
    <t>FMGC-01539</t>
  </si>
  <si>
    <t>FMGC GROUPE</t>
  </si>
  <si>
    <t>FMGC Groupe</t>
  </si>
  <si>
    <t>001IV000015S6a6YAC</t>
  </si>
  <si>
    <t>FPTP-01644</t>
  </si>
  <si>
    <t>FPT POWERTRAIN TECHNOLOGIES FRANCE SAS</t>
  </si>
  <si>
    <t>FPT POWERTRAIN TECHNOLOGIES FRANCE</t>
  </si>
  <si>
    <t>001IV000015RzTbYAK</t>
  </si>
  <si>
    <t>FKFR-01839</t>
  </si>
  <si>
    <t>FRESENIUS</t>
  </si>
  <si>
    <t>001IV000015l3aLYAQ</t>
  </si>
  <si>
    <t>FDVH-01792</t>
  </si>
  <si>
    <t>FROMAGERIE DE VIHIERS</t>
  </si>
  <si>
    <t>001IV000015SADsYAO</t>
  </si>
  <si>
    <t>FPRT-01657</t>
  </si>
  <si>
    <t>FROMAGERIE PERREAULT SAS</t>
  </si>
  <si>
    <t>FROMAGERIE PERREAULT</t>
  </si>
  <si>
    <t>001IV000015RzTgYAK</t>
  </si>
  <si>
    <t>GTSF-01748</t>
  </si>
  <si>
    <t>GATES SAS</t>
  </si>
  <si>
    <t>001IV000015RewLYAS</t>
  </si>
  <si>
    <t>GGMN-01618</t>
  </si>
  <si>
    <t>SIROP MONIN</t>
  </si>
  <si>
    <t>GEORGES MONIN</t>
  </si>
  <si>
    <t>001IV000015S50HYAS</t>
  </si>
  <si>
    <t>GFLG-01781</t>
  </si>
  <si>
    <t>GROUPE GERFLOR</t>
  </si>
  <si>
    <t>GERFLOR GROUPE</t>
  </si>
  <si>
    <t>001IV000015SADtYAO</t>
  </si>
  <si>
    <t>GHMX-01757</t>
  </si>
  <si>
    <t>G. H. M.</t>
  </si>
  <si>
    <t>GHM</t>
  </si>
  <si>
    <t>001IV000015S2STYA0</t>
  </si>
  <si>
    <t>GDRG-01714</t>
  </si>
  <si>
    <t>GINDRE</t>
  </si>
  <si>
    <t>GINDRE GROUPE</t>
  </si>
  <si>
    <t>001IV000015S8nNYAS</t>
  </si>
  <si>
    <t>GDVS-01883</t>
  </si>
  <si>
    <t>GRANDVISION FRANCE</t>
  </si>
  <si>
    <t>GRANDVISION</t>
  </si>
  <si>
    <t>001IV000015S86BYAS</t>
  </si>
  <si>
    <t>GRFR-01718</t>
  </si>
  <si>
    <t>GREENYARD</t>
  </si>
  <si>
    <t>001IV000015S85qYAC</t>
  </si>
  <si>
    <t>AVRL-01832</t>
  </si>
  <si>
    <t>GROUPE AVRIL</t>
  </si>
  <si>
    <t>AVRIL GROUPE</t>
  </si>
  <si>
    <t>001IV000015S2SWYA0</t>
  </si>
  <si>
    <t>EREL-02007</t>
  </si>
  <si>
    <t>ETS ROLOT ET LEMASSON</t>
  </si>
  <si>
    <t>001IV000015S8j5YAC</t>
  </si>
  <si>
    <t>DUFM-01747</t>
  </si>
  <si>
    <t>D'AUCY FRANCE - Etablissement Locminé</t>
  </si>
  <si>
    <t>GROUPE D'AUCY UNION FERMIERE MORBIHANNAISE</t>
  </si>
  <si>
    <t>001IV000015RewQYAS</t>
  </si>
  <si>
    <t>GALD-01824</t>
  </si>
  <si>
    <t>GROUPE GALLAUD</t>
  </si>
  <si>
    <t>001IV000015S8iRYAS</t>
  </si>
  <si>
    <t>MNEG-01699</t>
  </si>
  <si>
    <t>GROUPE MAINE</t>
  </si>
  <si>
    <t>001IV000015RyDmYAK</t>
  </si>
  <si>
    <t>FRFM-01755</t>
  </si>
  <si>
    <t>Groupe SFPI</t>
  </si>
  <si>
    <t>001IV000015S868YAC</t>
  </si>
  <si>
    <t>SVGI-01508</t>
  </si>
  <si>
    <t>GROUPE SYLVAGREG</t>
  </si>
  <si>
    <t>GROUPE SYLVAGREG (ICARE)</t>
  </si>
  <si>
    <t>001IV000015S8iZYAS</t>
  </si>
  <si>
    <t>STDL-01577</t>
  </si>
  <si>
    <t>GROUPE STRADAL</t>
  </si>
  <si>
    <t>GROUPE STRADAL</t>
  </si>
  <si>
    <t>001IV000015SAFbYAO</t>
  </si>
  <si>
    <t>GPAV-01750</t>
  </si>
  <si>
    <t>ANTOLIN</t>
  </si>
  <si>
    <t>GRUPO ANTOLIN VOSGES</t>
  </si>
  <si>
    <t>001IV000015SAHvYAO</t>
  </si>
  <si>
    <t>HMLF-01709</t>
  </si>
  <si>
    <t>GROUPE HAMELIN</t>
  </si>
  <si>
    <t>HAMELIN GROUPE (FINHAM)</t>
  </si>
  <si>
    <t>001IV000015SAHzYAO</t>
  </si>
  <si>
    <t>HRBO-01873</t>
  </si>
  <si>
    <t>HARIBO UZES</t>
  </si>
  <si>
    <t>HARIBO</t>
  </si>
  <si>
    <t>001IV000015S86AYAS</t>
  </si>
  <si>
    <t>HBRM-01719</t>
  </si>
  <si>
    <t>HERBAROM</t>
  </si>
  <si>
    <t>001IV000015RyDpYAK</t>
  </si>
  <si>
    <t>HXCL-01874</t>
  </si>
  <si>
    <t>GROUPE HEXCEL</t>
  </si>
  <si>
    <t>HEXCEL</t>
  </si>
  <si>
    <t>001IV000015S8jGYAS</t>
  </si>
  <si>
    <t>HLCL-01977</t>
  </si>
  <si>
    <t>HM CLAUSE</t>
  </si>
  <si>
    <t>HM CLAUSE - (LIMAGRAIN GROUP)</t>
  </si>
  <si>
    <t>001IV000015SAI7YAO</t>
  </si>
  <si>
    <t>ITMA-02037</t>
  </si>
  <si>
    <t>ITRON SAS</t>
  </si>
  <si>
    <t>ITRON MASSY</t>
  </si>
  <si>
    <t>001IV000015SJXRYA4</t>
  </si>
  <si>
    <t>JLAR-01605</t>
  </si>
  <si>
    <t>JEAN LARNAUDIE</t>
  </si>
  <si>
    <t>001IV000015SAFfYAO</t>
  </si>
  <si>
    <t>JWUS-01519</t>
  </si>
  <si>
    <t>JELD WEN USSEL</t>
  </si>
  <si>
    <t>001IV000015S6ZwYAK</t>
  </si>
  <si>
    <t>JOUS-01678</t>
  </si>
  <si>
    <t>JOUSSEAU SAS</t>
  </si>
  <si>
    <t>JOUSSEAU</t>
  </si>
  <si>
    <t>001IV000015S864YAC</t>
  </si>
  <si>
    <t>KLAS-01738</t>
  </si>
  <si>
    <t>KELIAS</t>
  </si>
  <si>
    <t>KELIAS ( ex LACROIX CITY SAINT HERBLAIN)</t>
  </si>
  <si>
    <t>001IV000015S8ivYAC</t>
  </si>
  <si>
    <t>KSBS-01588</t>
  </si>
  <si>
    <t>KSB</t>
  </si>
  <si>
    <t>KSB CHATEAUROUX</t>
  </si>
  <si>
    <t>001IV000015S85hYAC</t>
  </si>
  <si>
    <t>KSBR-01791</t>
  </si>
  <si>
    <t>KSB LA ROCHE CHALAIS</t>
  </si>
  <si>
    <t>001IV000015S862YAC</t>
  </si>
  <si>
    <t>LCHV-01745</t>
  </si>
  <si>
    <t>LABORATOIRE CHAUVIN SAS</t>
  </si>
  <si>
    <t>LABORATOIRE CHAUVIN</t>
  </si>
  <si>
    <t>001IV000015S2eJYAS</t>
  </si>
  <si>
    <t>LFMM-01610</t>
  </si>
  <si>
    <t>LAFUMA MOBILIER</t>
  </si>
  <si>
    <t>LAFUMA MOBILIER (CALIDA GROUP)</t>
  </si>
  <si>
    <t>001IV000015S50MYAS</t>
  </si>
  <si>
    <t>Pas de code facture</t>
  </si>
  <si>
    <t>LECTRA</t>
  </si>
  <si>
    <t>LZLL-01763</t>
  </si>
  <si>
    <t>LES ZELLES</t>
  </si>
  <si>
    <t>001IV000015S85oYAC</t>
  </si>
  <si>
    <t>LDLF-01655</t>
  </si>
  <si>
    <t>LINDAL FRANCE SAS</t>
  </si>
  <si>
    <t>LINDAL FRANCE</t>
  </si>
  <si>
    <t>001IV000015RzTdYAK</t>
  </si>
  <si>
    <t>LDTS-01790</t>
  </si>
  <si>
    <t>LINDT</t>
  </si>
  <si>
    <t>LINDT ET SPRUNGLI</t>
  </si>
  <si>
    <t>001IV000015S4lCYAS</t>
  </si>
  <si>
    <t>SMLF-01510</t>
  </si>
  <si>
    <t>METALLURGIQUE LIOTARD FRERES</t>
  </si>
  <si>
    <t>LIOTARD</t>
  </si>
  <si>
    <t>001IV000015RzTUYA0</t>
  </si>
  <si>
    <t>LSIF-01703</t>
  </si>
  <si>
    <t>LIS FRANCE</t>
  </si>
  <si>
    <t>001IV000015S8iTYAS</t>
  </si>
  <si>
    <t>MCHP-01478</t>
  </si>
  <si>
    <t>CHAPOUTIER</t>
  </si>
  <si>
    <t>M. CHAPOUTIER</t>
  </si>
  <si>
    <t>001IV000015S6VVYA0</t>
  </si>
  <si>
    <t>CLBR-01663</t>
  </si>
  <si>
    <t>MAISON COLIBRI</t>
  </si>
  <si>
    <t>001IV000015RewFYAS</t>
  </si>
  <si>
    <t>MLDC-01599</t>
  </si>
  <si>
    <t>MAITRES LAITIERS COTENTIN</t>
  </si>
  <si>
    <t>MAITRES LAITIERS DU COTENTIN</t>
  </si>
  <si>
    <t>001IV000015S8idYAC</t>
  </si>
  <si>
    <t>MEWA-01592</t>
  </si>
  <si>
    <t>MEWA</t>
  </si>
  <si>
    <t>MEWA (C&amp;S)</t>
  </si>
  <si>
    <t>001IV000015S85jYAC</t>
  </si>
  <si>
    <t>MMGS-01617</t>
  </si>
  <si>
    <t>MILLET MOUNTAIN GROUP</t>
  </si>
  <si>
    <t>MILLET MOUNTAIN GROUP SAS</t>
  </si>
  <si>
    <t>001IV000015S50KYAS</t>
  </si>
  <si>
    <t>MOYP-01828</t>
  </si>
  <si>
    <t>MOY PARK FRANCE SAS</t>
  </si>
  <si>
    <t>MOY PARK</t>
  </si>
  <si>
    <t>001IV000015S8nKYAS</t>
  </si>
  <si>
    <t>MSSA-01622</t>
  </si>
  <si>
    <t>MSSA SAS</t>
  </si>
  <si>
    <t>001IV000015S85tYAC</t>
  </si>
  <si>
    <t>MWFR-01677</t>
  </si>
  <si>
    <t>MAGNETTO WHEELS FRANCE</t>
  </si>
  <si>
    <t>MW FRANCE</t>
  </si>
  <si>
    <t>001IV000015RyDoYAK</t>
  </si>
  <si>
    <t>NMRV-01867</t>
  </si>
  <si>
    <t>NEMERA SERVICES</t>
  </si>
  <si>
    <t>NEMERA</t>
  </si>
  <si>
    <t>001IV000015S8jFYAS</t>
  </si>
  <si>
    <t>NCMT-01595</t>
  </si>
  <si>
    <t>NICOMATIC</t>
  </si>
  <si>
    <t>001IV000015S50IYAS</t>
  </si>
  <si>
    <t>OSFP-01779</t>
  </si>
  <si>
    <t>ORANGINA SUNTORY FRANCE PRODUCTION</t>
  </si>
  <si>
    <t>ORANGINA SUNTORY FRANCE</t>
  </si>
  <si>
    <t>001IV000015S8j8YAC</t>
  </si>
  <si>
    <t>PSTC-01541</t>
  </si>
  <si>
    <t>PASTACORP</t>
  </si>
  <si>
    <t>PASTACORP (PACK C&amp;S)</t>
  </si>
  <si>
    <t>001IV000015SAFeYAO</t>
  </si>
  <si>
    <t>PFMG-01533</t>
  </si>
  <si>
    <t>PIERRE FABRE</t>
  </si>
  <si>
    <t>PIERRE FABRE</t>
  </si>
  <si>
    <t>001IV000015S2eAYAS</t>
  </si>
  <si>
    <t>PLVL-01764</t>
  </si>
  <si>
    <t>PLASTIVALOIRE</t>
  </si>
  <si>
    <t>001IV000015S8irYAC</t>
  </si>
  <si>
    <t>PIDF-01796</t>
  </si>
  <si>
    <t>POINT P IDF</t>
  </si>
  <si>
    <t>001IV000015RyDxYAK</t>
  </si>
  <si>
    <t>PSPK-01735</t>
  </si>
  <si>
    <t>POSSON PACKAGING</t>
  </si>
  <si>
    <t>001IV000015S866YAC</t>
  </si>
  <si>
    <t>PRDN-01556</t>
  </si>
  <si>
    <t>SECATEURS PRADINES</t>
  </si>
  <si>
    <t>PRADINES</t>
  </si>
  <si>
    <t>001IV000015S50AYAS</t>
  </si>
  <si>
    <t>QDTF-01724</t>
  </si>
  <si>
    <t>QUADIENT</t>
  </si>
  <si>
    <t>QUADIENT FRANCE</t>
  </si>
  <si>
    <t>001IV000015S2eIYAS</t>
  </si>
  <si>
    <t>QLFM-01771</t>
  </si>
  <si>
    <t>QUALIFORM</t>
  </si>
  <si>
    <t>001IV000015S2SPYA0</t>
  </si>
  <si>
    <t>RDAL-01691</t>
  </si>
  <si>
    <t>RADIALL</t>
  </si>
  <si>
    <t>001IV000015RyL2YAK</t>
  </si>
  <si>
    <t>KRDA-01493</t>
  </si>
  <si>
    <t>RD ANGERS</t>
  </si>
  <si>
    <t>RD ANGERS (ex KEOLIS ANGERS)</t>
  </si>
  <si>
    <t>001IV000015S2SJYA0</t>
  </si>
  <si>
    <t>RDDJ-01721</t>
  </si>
  <si>
    <t>REINE DE DIJON</t>
  </si>
  <si>
    <t>001IV000015S85lYAC</t>
  </si>
  <si>
    <t>RNRA-01573</t>
  </si>
  <si>
    <t>REYNAERS ALUMINIUM SAS</t>
  </si>
  <si>
    <t>REYNAERS ALUMINIUM</t>
  </si>
  <si>
    <t>001IV000015S2e8YAC</t>
  </si>
  <si>
    <t>RMRE-01538</t>
  </si>
  <si>
    <t>ROMAIRE</t>
  </si>
  <si>
    <t>001IV000015RewCYAS</t>
  </si>
  <si>
    <t>SABG-01649</t>
  </si>
  <si>
    <t>GROUPE SAB</t>
  </si>
  <si>
    <t>SAB GROUPE</t>
  </si>
  <si>
    <t>001IV000015SAHsYAO</t>
  </si>
  <si>
    <t>SACM-01587</t>
  </si>
  <si>
    <t>SACMI</t>
  </si>
  <si>
    <t>001IV000015S509YAC</t>
  </si>
  <si>
    <t>SAEM-01806</t>
  </si>
  <si>
    <t>SAEM ENERGIES</t>
  </si>
  <si>
    <t>SAEM ENERGIES</t>
  </si>
  <si>
    <t>001IV000015S2eFYAS</t>
  </si>
  <si>
    <t>STJI-01778</t>
  </si>
  <si>
    <t>SAINT JEAN INDUSTRIES</t>
  </si>
  <si>
    <t>001IV000015RzTLYA0</t>
  </si>
  <si>
    <t>STJN-01743</t>
  </si>
  <si>
    <t>SAINT JEAN SAS</t>
  </si>
  <si>
    <t>001IV000015RyDrYAK</t>
  </si>
  <si>
    <t>SLMP-01627</t>
  </si>
  <si>
    <t>SALOMON</t>
  </si>
  <si>
    <t>SALOMON MAVIC (PONTOON)</t>
  </si>
  <si>
    <t>001IV000015S2eWYAS</t>
  </si>
  <si>
    <t>SAMB-01819</t>
  </si>
  <si>
    <t>SAMB</t>
  </si>
  <si>
    <t>001IV000015SAHmYAO</t>
  </si>
  <si>
    <t>SMBS-01572</t>
  </si>
  <si>
    <t>SAMIBOIS</t>
  </si>
  <si>
    <t>SAMIBOIS SAS</t>
  </si>
  <si>
    <t>001IV000015SJKeYAO</t>
  </si>
  <si>
    <t>SMPL-01571</t>
  </si>
  <si>
    <t>SAMIPLAST</t>
  </si>
  <si>
    <t>SAMIPLAST SAS</t>
  </si>
  <si>
    <t>001IV000015S4lJYAS</t>
  </si>
  <si>
    <t>SRRL-01694</t>
  </si>
  <si>
    <t>SARREL</t>
  </si>
  <si>
    <t>001IV000015S2eXYAS</t>
  </si>
  <si>
    <t>SLDA-01904</t>
  </si>
  <si>
    <t>SEALED AIR SAS</t>
  </si>
  <si>
    <t>001IV000015S86GYAS</t>
  </si>
  <si>
    <t>SAES-01653</t>
  </si>
  <si>
    <t>SENIOR AEROSPACE ERMETO S.A.S</t>
  </si>
  <si>
    <t>SENIOR</t>
  </si>
  <si>
    <t>001IV000015S50LYAS</t>
  </si>
  <si>
    <t>SGGS-01596</t>
  </si>
  <si>
    <t>SGGSMI</t>
  </si>
  <si>
    <t>001IV000015S50JYAS</t>
  </si>
  <si>
    <t>SGVR-01822</t>
  </si>
  <si>
    <t>SIGVARIS</t>
  </si>
  <si>
    <t>001IV000015S865YAC</t>
  </si>
  <si>
    <t>SMTR-01650</t>
  </si>
  <si>
    <t>SOCIETE DE MECANIQUE DES TILLES</t>
  </si>
  <si>
    <t>SMT ROTAREX - (SOCIETE DE MECANIQUE DES TILLES)</t>
  </si>
  <si>
    <t>001IV000015S85zYAC</t>
  </si>
  <si>
    <t>SMWF-01900</t>
  </si>
  <si>
    <t>SMURFIT WESTROCK France</t>
  </si>
  <si>
    <t>SCMN-01574</t>
  </si>
  <si>
    <t>SOCAMAINE</t>
  </si>
  <si>
    <t>001IV000015S50DYAS</t>
  </si>
  <si>
    <t>SCML-01713</t>
  </si>
  <si>
    <t>SOCAMEL</t>
  </si>
  <si>
    <t>001IV000015S8j0YAC</t>
  </si>
  <si>
    <t>SGDT-01523</t>
  </si>
  <si>
    <t>SOCIETE GENERALE TECHNIQUE</t>
  </si>
  <si>
    <t>001IV000015S2e7YAC</t>
  </si>
  <si>
    <t>SDPE-01815</t>
  </si>
  <si>
    <t>SOC DE DISTRIB PRODUITS EDITION</t>
  </si>
  <si>
    <t>SODIS</t>
  </si>
  <si>
    <t>001IV000015RyL3YAK</t>
  </si>
  <si>
    <t>SMFG-01882</t>
  </si>
  <si>
    <t>SOMFY</t>
  </si>
  <si>
    <t>SOMFY GROUPE</t>
  </si>
  <si>
    <t>001IV000015S8jHYAS</t>
  </si>
  <si>
    <t>STRG-01661</t>
  </si>
  <si>
    <t>STREIT GROUPE SAS</t>
  </si>
  <si>
    <t>STREIT GROUPE</t>
  </si>
  <si>
    <t>001IV000015RzTYYA0</t>
  </si>
  <si>
    <t>SWSK-01633</t>
  </si>
  <si>
    <t>SWISS KRONO</t>
  </si>
  <si>
    <t>001IV000015S2eGYAS</t>
  </si>
  <si>
    <t>TAFS-01646</t>
  </si>
  <si>
    <t>TENNECO AUTOMOTIVE</t>
  </si>
  <si>
    <t>TENNECO AUTOMOTIVE FRANCE SAS</t>
  </si>
  <si>
    <t>001IV000015RyDiYAK</t>
  </si>
  <si>
    <t>TTPK-01534</t>
  </si>
  <si>
    <t>TETRAPAK</t>
  </si>
  <si>
    <t>001IV000015S2eCYAS</t>
  </si>
  <si>
    <t>TXLS-01877</t>
  </si>
  <si>
    <t>TEXELIS</t>
  </si>
  <si>
    <t>001IV000015S8jEYAS</t>
  </si>
  <si>
    <t>HUA-01777</t>
  </si>
  <si>
    <t>THUASNE</t>
  </si>
  <si>
    <t>TFEU-01827</t>
  </si>
  <si>
    <t>TORAY FILMS EUROPE SAS</t>
  </si>
  <si>
    <t>TORAY</t>
  </si>
  <si>
    <t>001IV000015S8jBYAS</t>
  </si>
  <si>
    <t>UCLA-01812</t>
  </si>
  <si>
    <t>UCELIA</t>
  </si>
  <si>
    <t>001IV000015RewEYAS</t>
  </si>
  <si>
    <t>URGO-01687</t>
  </si>
  <si>
    <t>URGO</t>
  </si>
  <si>
    <t>001IV000015RzTXYA0</t>
  </si>
  <si>
    <t>VISH-01526</t>
  </si>
  <si>
    <t>VISHAY</t>
  </si>
  <si>
    <t>001IV000015RKNcYAO</t>
  </si>
  <si>
    <t>VSKS-01621</t>
  </si>
  <si>
    <t>VISKASE</t>
  </si>
  <si>
    <t>VISKASE SAS</t>
  </si>
  <si>
    <t>001IV000015S85sYAC</t>
  </si>
  <si>
    <t>VSTP-01868</t>
  </si>
  <si>
    <t>VOESTALPINE</t>
  </si>
  <si>
    <t>001IV000015S2eKYAS</t>
  </si>
  <si>
    <t>WAVN-01785</t>
  </si>
  <si>
    <t>WAVIN SAS</t>
  </si>
  <si>
    <t>001IV000015S2SSYA0</t>
  </si>
  <si>
    <t>WTCF-01545</t>
  </si>
  <si>
    <t>WHAT'S COOKING FRANCE</t>
  </si>
  <si>
    <t>WHAT'S COOKING FRANCE (EX STEFANO TOSELLI)</t>
  </si>
  <si>
    <t>001IV000015S8igYAC</t>
  </si>
  <si>
    <t>WKWF-01826</t>
  </si>
  <si>
    <t>WKW FRANCE</t>
  </si>
  <si>
    <t>001IV000015RyDyYAK</t>
  </si>
  <si>
    <t>YBVN-01532</t>
  </si>
  <si>
    <t>SOCIETE NOUVELLE YABON</t>
  </si>
  <si>
    <t>YABON VERNEUIL</t>
  </si>
  <si>
    <t>001IV000015S6a3YAC</t>
  </si>
  <si>
    <t>GPAB-01761</t>
  </si>
  <si>
    <t>ANTOLIN BESANCON</t>
  </si>
  <si>
    <t>GRUPO ANTOLIN BESANCON</t>
  </si>
  <si>
    <t>001IV000015SAI1YAO</t>
  </si>
  <si>
    <t>AUTJ-01690</t>
  </si>
  <si>
    <t>AUTAJON FRANCE</t>
  </si>
  <si>
    <t>AUTAJON GROUPE</t>
  </si>
  <si>
    <t>001IV000015RhU6YAK</t>
  </si>
  <si>
    <t>BIAH-01615</t>
  </si>
  <si>
    <t>Boehringer Ingelheim</t>
  </si>
  <si>
    <t>BOEHRINGER INGELHEIM</t>
  </si>
  <si>
    <t>001IV000015RyKzYAK</t>
  </si>
  <si>
    <t>CBDY-01514</t>
  </si>
  <si>
    <t>CARBODY</t>
  </si>
  <si>
    <t>001IV000015S6a4YAC</t>
  </si>
  <si>
    <t>CNXH-01598</t>
  </si>
  <si>
    <t>CENEXI HSC</t>
  </si>
  <si>
    <t>001IV000015RewJYAS</t>
  </si>
  <si>
    <t>CHPR-01547</t>
  </si>
  <si>
    <t>CHARLES PERROUD</t>
  </si>
  <si>
    <t>CHARLES PERROUD</t>
  </si>
  <si>
    <t>001IV000015S8ifYAC</t>
  </si>
  <si>
    <t>MTXN-01685</t>
  </si>
  <si>
    <t>EUROLYSINE</t>
  </si>
  <si>
    <t>EUROLYSINE (ex METEX NOOVISTAGO)</t>
  </si>
  <si>
    <t>001IV000015S2eaYAC</t>
  </si>
  <si>
    <t>FNHM-01669</t>
  </si>
  <si>
    <t>FRENEHARD ET MICHAUX</t>
  </si>
  <si>
    <t>001IV000015SAHuYAO</t>
  </si>
  <si>
    <t>GPEP-01591</t>
  </si>
  <si>
    <t>GROUPE EUREDEN</t>
  </si>
  <si>
    <t>GROUPE EUREDEN - (ex GROUPE D'AUCY - PEP sas)</t>
  </si>
  <si>
    <t>001IV000015S2eEYAS</t>
  </si>
  <si>
    <t>MHCS-01808</t>
  </si>
  <si>
    <t>MHCS</t>
  </si>
  <si>
    <t>001IV000015RuolYAC</t>
  </si>
  <si>
    <t>RTNS-01679</t>
  </si>
  <si>
    <t>RESTONIS</t>
  </si>
  <si>
    <t>001IV000015S2SIYA0</t>
  </si>
  <si>
    <t>LLMD-01802</t>
  </si>
  <si>
    <t>SOCIETE LALLEMAND</t>
  </si>
  <si>
    <t>CALIDA GROUP (LALLEMAND)</t>
  </si>
  <si>
    <t>001IV000015RyDzYAK</t>
  </si>
  <si>
    <t>SPRN-01762</t>
  </si>
  <si>
    <t>SOPRONEM</t>
  </si>
  <si>
    <t>001IV000015S2eHYAS</t>
  </si>
  <si>
    <t>N\A</t>
  </si>
  <si>
    <t>TYCO ELECTRONICS</t>
  </si>
  <si>
    <t>FVCR-01570</t>
  </si>
  <si>
    <t>ALFA LAVAL GOLBEY</t>
  </si>
  <si>
    <t>ALFA LAVAL GOLBEY (ex : FIVES CRYO)</t>
  </si>
  <si>
    <t>001IV000015S8ikYAC</t>
  </si>
  <si>
    <t>MIPS-01611</t>
  </si>
  <si>
    <t>CUMMINS</t>
  </si>
  <si>
    <t>MERITOR INDUSTRIAL PRODUCTS SAINT-ETIENNE</t>
  </si>
  <si>
    <t>001IV000015S50GYAS</t>
  </si>
  <si>
    <t>HNSY-01809</t>
  </si>
  <si>
    <t>HENNESSY</t>
  </si>
  <si>
    <t>001IV000015RuomYAC</t>
  </si>
  <si>
    <t>ADOS-01769</t>
  </si>
  <si>
    <t>ADECCO OUTSOURCING COURBEVOIE</t>
  </si>
  <si>
    <t>ADECCO OUTSOURCING</t>
  </si>
  <si>
    <t>001IV000015RewRYAS</t>
  </si>
  <si>
    <t>AGLH-01754</t>
  </si>
  <si>
    <t>AGH HOLDING</t>
  </si>
  <si>
    <t>AGH ALAIN GLON HOLDING</t>
  </si>
  <si>
    <t>001IV000015S9GHYA0</t>
  </si>
  <si>
    <t>AKWL-01902</t>
  </si>
  <si>
    <t>AKWEL SA</t>
  </si>
  <si>
    <t>AKWEL</t>
  </si>
  <si>
    <t>001IV000015RzTNYA0</t>
  </si>
  <si>
    <t>ASTZ-01930</t>
  </si>
  <si>
    <t>ASTRAZENECA</t>
  </si>
  <si>
    <t>001IV000015RzTQYA0</t>
  </si>
  <si>
    <t>BCRT-01784</t>
  </si>
  <si>
    <t>BACCARAT</t>
  </si>
  <si>
    <t>001IV000015SAI6YAO</t>
  </si>
  <si>
    <t>BAPF-01716</t>
  </si>
  <si>
    <t>BALL AEROSOL PACKAGING</t>
  </si>
  <si>
    <t>BALL AEROSOL PACKAGING</t>
  </si>
  <si>
    <t>001IV000015S2eYYAS</t>
  </si>
  <si>
    <t>CFGO-01905</t>
  </si>
  <si>
    <t>COFIGEO</t>
  </si>
  <si>
    <t>COFIGEO sas</t>
  </si>
  <si>
    <t>001IV000015RzTOYA0</t>
  </si>
  <si>
    <t>CLBS-01946</t>
  </si>
  <si>
    <t>COLUMBIA SPORTSWEAR COMPANY</t>
  </si>
  <si>
    <t>COLUMBIA SPORTSWEAR</t>
  </si>
  <si>
    <t>001IV000015RyE3YAK</t>
  </si>
  <si>
    <t>CNGP-02009</t>
  </si>
  <si>
    <t>CORNING POUYET SAS</t>
  </si>
  <si>
    <t>001IV000015RzTMYA0</t>
  </si>
  <si>
    <t>DLTD-01907</t>
  </si>
  <si>
    <t>DELTA DORE</t>
  </si>
  <si>
    <t>001IV000015S86HYAS</t>
  </si>
  <si>
    <t>KLTA-01751</t>
  </si>
  <si>
    <t>KALISTRUT AEROSPACE</t>
  </si>
  <si>
    <t>001IV000015S85nYAC</t>
  </si>
  <si>
    <t>MNTB-01936</t>
  </si>
  <si>
    <t>MINITUBES</t>
  </si>
  <si>
    <t>001IV000015RzTRYA0</t>
  </si>
  <si>
    <t>PKHF-01901</t>
  </si>
  <si>
    <t>PARKER HANNIFIN FRANCE SAS</t>
  </si>
  <si>
    <t>PARKER HANNIFIN MANUFACTURING FRANCE SAS</t>
  </si>
  <si>
    <t>001IV000015RyE9YAK</t>
  </si>
  <si>
    <t>THUA-01777</t>
  </si>
  <si>
    <t>001IV000015SADqYAO</t>
  </si>
  <si>
    <t>CEPR-01818</t>
  </si>
  <si>
    <t>CAISSE D'EPARGNE RHONE ALPES</t>
  </si>
  <si>
    <t>CAISSE D'EPARGNE RHONE ALPES - (C&amp;S)</t>
  </si>
  <si>
    <t>001IV000015S8jDYAS</t>
  </si>
  <si>
    <t>CSNB-01935</t>
  </si>
  <si>
    <t>CONSTELLIUM NEUF BRISACH</t>
  </si>
  <si>
    <t>001IV000015RyEBYA0</t>
  </si>
  <si>
    <t>DASC-01928</t>
  </si>
  <si>
    <t>DEVILLE GROUPE</t>
  </si>
  <si>
    <t>001IV000015RyDuYAK</t>
  </si>
  <si>
    <t>ELAU-01915</t>
  </si>
  <si>
    <t>ELECTRICFIL AUTOMOTIVE</t>
  </si>
  <si>
    <t>001IV000015SAGoYAO</t>
  </si>
  <si>
    <t>FLDR-01955</t>
  </si>
  <si>
    <t>FLANDRIA</t>
  </si>
  <si>
    <t>001IV000015RyDvYAK</t>
  </si>
  <si>
    <t>FSLG-01516</t>
  </si>
  <si>
    <t>FOSSIL FRANCE</t>
  </si>
  <si>
    <t>FOSSIL GROUP</t>
  </si>
  <si>
    <t>001IV000015S507YAC</t>
  </si>
  <si>
    <t>MHKG-01892</t>
  </si>
  <si>
    <t>GROUPE MARINE HARVEST KRITSEN - MOWI</t>
  </si>
  <si>
    <t>MOWI BOULOGNE (MARINE HARVEST KRITSEN GROUPE )</t>
  </si>
  <si>
    <t>001IV000015S2eTYAS</t>
  </si>
  <si>
    <t>INEA-01968</t>
  </si>
  <si>
    <t>INEOS AUTOMOTIVE</t>
  </si>
  <si>
    <t>INEOS AUTOMOTIVE S.A.S</t>
  </si>
  <si>
    <t>001IV000015S8jKYAS</t>
  </si>
  <si>
    <t>MCCN-01956</t>
  </si>
  <si>
    <t>MC CAIN</t>
  </si>
  <si>
    <t>001IV000015SAI0YAO</t>
  </si>
  <si>
    <t>NBLP-01736</t>
  </si>
  <si>
    <t>NOBEL AUTOMOTIVE</t>
  </si>
  <si>
    <t>NOBEL PLASTIQUES</t>
  </si>
  <si>
    <t>001IV000015RyDsYAK</t>
  </si>
  <si>
    <t>NTST-01982</t>
  </si>
  <si>
    <t>NUTRISET</t>
  </si>
  <si>
    <t>001IV000015RzTiYAK</t>
  </si>
  <si>
    <t>STBF-01668</t>
  </si>
  <si>
    <t>SATEBA</t>
  </si>
  <si>
    <t>SATEBA sa</t>
  </si>
  <si>
    <t>001IV000015S860YAC</t>
  </si>
  <si>
    <t>SAVM-01984</t>
  </si>
  <si>
    <t>SAVOY MOULAGE</t>
  </si>
  <si>
    <t>001IV000015SAIAYA4</t>
  </si>
  <si>
    <t>SECM-01683</t>
  </si>
  <si>
    <t>SECMAIR</t>
  </si>
  <si>
    <t>001IV000015RyDkYAK</t>
  </si>
  <si>
    <t>SEPR-01931</t>
  </si>
  <si>
    <t>SEPR</t>
  </si>
  <si>
    <t>001IV000015RyE6YAK</t>
  </si>
  <si>
    <t>SPFB-01616</t>
  </si>
  <si>
    <t>SPS</t>
  </si>
  <si>
    <t>SPS FRANCE &amp; BENELUX</t>
  </si>
  <si>
    <t>001IV000015SAHSYA4</t>
  </si>
  <si>
    <t>VWGF-01967</t>
  </si>
  <si>
    <t>VOLKSWAGEN GROUP FRANCE</t>
  </si>
  <si>
    <t>001IV000015S8j6YAC</t>
  </si>
  <si>
    <t>ARFC-01739</t>
  </si>
  <si>
    <t>ARAYMOND FLUID CONNECT FRANCE</t>
  </si>
  <si>
    <t>ARAYMOND FLUID CONNECTION</t>
  </si>
  <si>
    <t>001IV000015SAI3YAO</t>
  </si>
  <si>
    <t>ARLF-01737</t>
  </si>
  <si>
    <t>ARAYMOND LIFE</t>
  </si>
  <si>
    <t>ARAYMOND LIFE</t>
  </si>
  <si>
    <t>001IV000015SAI4YAO</t>
  </si>
  <si>
    <t>DELPHARM (GAILLARD)</t>
  </si>
  <si>
    <t>SNDM-01975</t>
  </si>
  <si>
    <t>SNCF DOMAINE MATERIEL</t>
  </si>
  <si>
    <t>001IV000015S541YAC</t>
  </si>
  <si>
    <t>DRKP-01908</t>
  </si>
  <si>
    <t>DIRICKX</t>
  </si>
  <si>
    <t>DIRICKX - (PICOT)</t>
  </si>
  <si>
    <t>001IV000015RzTPYA0</t>
  </si>
  <si>
    <t>NCRD-01934</t>
  </si>
  <si>
    <t>NESTLE PURINA CENTRE R&amp;D</t>
  </si>
  <si>
    <t>001IV000015SJXYYA4</t>
  </si>
  <si>
    <t>LFBM-01866</t>
  </si>
  <si>
    <t>LFB BIOMEDICAMENTS (GROUPE)</t>
  </si>
  <si>
    <t>001IV000015S8j1YAC</t>
  </si>
  <si>
    <t>CHVP-01985</t>
  </si>
  <si>
    <t>CHEMVIRON PARENTIS</t>
  </si>
  <si>
    <t>CHEMVIRON PARENTIS SAS</t>
  </si>
  <si>
    <t>001IV000015RyECYA0</t>
  </si>
  <si>
    <t>BERRY BRAMLAGE</t>
  </si>
  <si>
    <t>Redevance pas facturé en 2025</t>
  </si>
  <si>
    <t>LIEBHERR FRANCE</t>
  </si>
  <si>
    <t>REMY MARTIN</t>
  </si>
  <si>
    <t>COINTREAU</t>
  </si>
  <si>
    <t>IKEA</t>
  </si>
  <si>
    <t>LATECOERE (Clic)</t>
  </si>
  <si>
    <t>GOODYEAR DUNLOP TIRES France</t>
  </si>
  <si>
    <t>PPE ? Voir avec équipe Projet (créer offre C&amp;S pour ce client ) - Facturation Adecc</t>
  </si>
  <si>
    <t>Ne pas facturer</t>
  </si>
  <si>
    <t>PARAGON WESTERN EUROPE</t>
  </si>
  <si>
    <t>B BRAUN MEDICAL</t>
  </si>
  <si>
    <t>PROCTER &amp; GAMBLE AMIENS</t>
  </si>
  <si>
    <t>PROCTER &amp; GAMBLE BLOIS</t>
  </si>
  <si>
    <t>CHVR-01881 CHEMVIRON sas</t>
  </si>
  <si>
    <t>01tIV00000GOfPAYA1</t>
  </si>
  <si>
    <t xml:space="preserve">Licence BI - Consultation </t>
  </si>
  <si>
    <t>Produit annexe</t>
  </si>
  <si>
    <t>FKFR-01839 FRESENIUS KABI FRANCE</t>
  </si>
  <si>
    <t>FRESENIUS KABI FRANCE</t>
  </si>
  <si>
    <t>01tIV00000GOfPFYA1</t>
  </si>
  <si>
    <t>Maintenance SSO</t>
  </si>
  <si>
    <t>HENNESSY - (LVMH)</t>
  </si>
  <si>
    <t>HLCL-01977 HM CLAUSE - (LIMAGRAIN GROUP)</t>
  </si>
  <si>
    <t>LINDT ET SPRUNGLI</t>
  </si>
  <si>
    <t>MHCS - (LVMH)</t>
  </si>
  <si>
    <t>Line description</t>
  </si>
  <si>
    <t>Billing schedule</t>
  </si>
  <si>
    <t>Terme</t>
  </si>
  <si>
    <t>Billling start date</t>
  </si>
  <si>
    <t>End date</t>
  </si>
  <si>
    <t>Activity</t>
  </si>
  <si>
    <t>Offer</t>
  </si>
  <si>
    <t>Closing Date</t>
  </si>
  <si>
    <t>Legacy ID</t>
  </si>
  <si>
    <t>VAT Number</t>
  </si>
  <si>
    <t>Registration number</t>
  </si>
  <si>
    <t>Invoice sending method</t>
  </si>
  <si>
    <t>Send invoice to</t>
  </si>
  <si>
    <t>Payment method</t>
  </si>
  <si>
    <t>Charge map type</t>
  </si>
  <si>
    <t>Billing Business Name</t>
  </si>
  <si>
    <t>Billing Department</t>
  </si>
  <si>
    <t xml:space="preserve">Billing Street </t>
  </si>
  <si>
    <t>Billing City</t>
  </si>
  <si>
    <t>Billing Postal code</t>
  </si>
  <si>
    <t>Billing instruction</t>
  </si>
  <si>
    <t>Billing conditions</t>
  </si>
  <si>
    <t xml:space="preserve">PO Required? </t>
  </si>
  <si>
    <t>PO Reference</t>
  </si>
  <si>
    <t>PO Request Date</t>
  </si>
  <si>
    <t>Shipping Business Name</t>
  </si>
  <si>
    <t>Shipping Department</t>
  </si>
  <si>
    <t>Shipping street</t>
  </si>
  <si>
    <t>Shipping City</t>
  </si>
  <si>
    <t>Billing Contact ID</t>
  </si>
  <si>
    <t>Billing Contact</t>
  </si>
  <si>
    <t>Cash collection ID</t>
  </si>
  <si>
    <t>Cash collection Contact</t>
  </si>
  <si>
    <t>Annual</t>
  </si>
  <si>
    <t>In advance</t>
  </si>
  <si>
    <t>Pixid France</t>
  </si>
  <si>
    <t>Pack C&amp;S</t>
  </si>
  <si>
    <t>Email</t>
  </si>
  <si>
    <t>Transfer</t>
  </si>
  <si>
    <t>Renewal</t>
  </si>
  <si>
    <t>Redevance 2026</t>
  </si>
  <si>
    <t>Paper</t>
  </si>
  <si>
    <t>YES</t>
  </si>
  <si>
    <t>Facture originale électronique à</t>
  </si>
  <si>
    <t>alexandragrossat@berryglobal.com</t>
  </si>
  <si>
    <t>01100</t>
  </si>
  <si>
    <t>FR52759200454</t>
  </si>
  <si>
    <t>PROMENS SA</t>
  </si>
  <si>
    <t>5 Rue Castellion</t>
  </si>
  <si>
    <t>BELLIGNAT</t>
  </si>
  <si>
    <t>.</t>
  </si>
  <si>
    <t>003IV000010su8aYAA</t>
  </si>
  <si>
    <t>Alexandra GROSSAT</t>
  </si>
  <si>
    <t>automotive.compta@ineos.com</t>
  </si>
  <si>
    <t>Direct debit</t>
  </si>
  <si>
    <t>ceap.invoices@moypark.com</t>
  </si>
  <si>
    <t>Biannual</t>
  </si>
  <si>
    <t>001IV000015MBzIYAW</t>
  </si>
  <si>
    <t>RMCG-01886</t>
  </si>
  <si>
    <t>REMY COINTREAU GROUPE</t>
  </si>
  <si>
    <t>001IV000015SAHpYAO</t>
  </si>
  <si>
    <t>001SZ00000EqlR5YAJ</t>
  </si>
  <si>
    <t>FR63775563323</t>
  </si>
  <si>
    <t>fournisseurs.remymartin@remyècointreau.com</t>
  </si>
  <si>
    <t>E.Remy Martin &amp; C°</t>
  </si>
  <si>
    <t>1208 avenue de la Grande Champagne</t>
  </si>
  <si>
    <t>COGNAC</t>
  </si>
  <si>
    <t>E.Remy Martin &amp; Cie sasu</t>
  </si>
  <si>
    <t>003IV000010t6sEYAQ</t>
  </si>
  <si>
    <t>Angélique RAITON</t>
  </si>
  <si>
    <t xml:space="preserve">Facturé </t>
  </si>
  <si>
    <t>South city delivery</t>
  </si>
  <si>
    <t>CORK</t>
  </si>
  <si>
    <t>APERAM ALLOYS AMILLY</t>
  </si>
  <si>
    <t>https://pixid-crm.lightning.force.com/lightning/r/Account/001IV000015S9HNYA0/view</t>
  </si>
  <si>
    <t>001IV000015S542YAC</t>
  </si>
  <si>
    <t>001IV000015SCZCYA4</t>
  </si>
  <si>
    <t>Id</t>
  </si>
  <si>
    <t>Name</t>
  </si>
  <si>
    <t>Commande_obligatoire__c</t>
  </si>
  <si>
    <t>0012p00004NeCnVAAV</t>
  </si>
  <si>
    <t>0012p00004OLnMyAAL</t>
  </si>
  <si>
    <t>0012p00004PIzW3AAL</t>
  </si>
  <si>
    <t>0012p00004RDXHiAAP</t>
  </si>
  <si>
    <t>0012p00004RfoNdAAJ</t>
  </si>
  <si>
    <t>0012p00004Rfp1kAAB</t>
  </si>
  <si>
    <t>0012p00004RmilzAAB</t>
  </si>
  <si>
    <t>EUROLYSINE (ex METEX NOOVISTAGO)</t>
  </si>
  <si>
    <t>0012p00004SxGjuAAF</t>
  </si>
  <si>
    <t>0012p00004SxcYeAAJ</t>
  </si>
  <si>
    <t>0012p00004U0MCtAAN</t>
  </si>
  <si>
    <t>0012p00004UpS9pAAF</t>
  </si>
  <si>
    <t>001SZ000000lJNPYA2</t>
  </si>
  <si>
    <t>001SZ000001A8i6YAC</t>
  </si>
  <si>
    <t>001SZ000001Abp0YAC</t>
  </si>
  <si>
    <t>001SZ000001s7vFYAQ</t>
  </si>
  <si>
    <t>001SZ00000259uNYAQ</t>
  </si>
  <si>
    <t>IMERYS SA</t>
  </si>
  <si>
    <t>001SZ000002LasDYAS</t>
  </si>
  <si>
    <t>001SZ000002LdTRYA0</t>
  </si>
  <si>
    <t>001SZ000002N4pnYAC</t>
  </si>
  <si>
    <t>001SZ000002Sv8iYAC</t>
  </si>
  <si>
    <t>001SZ0000037tcLYAQ</t>
  </si>
  <si>
    <t>001SZ0000038L0jYAE</t>
  </si>
  <si>
    <t>001SZ000003WtXqYAK</t>
  </si>
  <si>
    <t>001SZ000003YcdpYAC</t>
  </si>
  <si>
    <t>001SZ000003ZJXVYA4</t>
  </si>
  <si>
    <t>001SZ000003f5qIYAQ</t>
  </si>
  <si>
    <t>001SZ000003vEuKYAU</t>
  </si>
  <si>
    <t>001SZ000004SHTRYA4</t>
  </si>
  <si>
    <t>001SZ000004Sn8MYAS</t>
  </si>
  <si>
    <t>001SZ000004So1BYAS</t>
  </si>
  <si>
    <t>001SZ000004j6uzYAA</t>
  </si>
  <si>
    <t>001SZ000004oTSjYAM</t>
  </si>
  <si>
    <t>001SZ000005HETVYA4</t>
  </si>
  <si>
    <t>001SZ000006AiVvYAK</t>
  </si>
  <si>
    <t>001SZ000006pfldYAA</t>
  </si>
  <si>
    <t>001SZ000008J7IzYAK</t>
  </si>
  <si>
    <t>001SZ000009KynfYAC</t>
  </si>
  <si>
    <t>001SZ000009sKnoYAE</t>
  </si>
  <si>
    <t>CORNING POUYET</t>
  </si>
  <si>
    <t>001SZ00000BFAySYAX</t>
  </si>
  <si>
    <t>001SZ00000EaK55YAF</t>
  </si>
  <si>
    <t>REMY COINTREAU GROUPE (Compte principal)</t>
  </si>
  <si>
    <t>001SZ00000EtFxgYAF</t>
  </si>
  <si>
    <t>001SZ00000GK58rYAD</t>
  </si>
  <si>
    <t>001SZ00000HOhrdYAD</t>
  </si>
  <si>
    <t>001SZ00000ITty7YAD</t>
  </si>
  <si>
    <t>001SZ00000LN8X6YAL</t>
  </si>
  <si>
    <t>001SZ00000Lspr7YAB</t>
  </si>
  <si>
    <t>001SZ00000OpZArYAN</t>
  </si>
  <si>
    <t>001SZ00000PZ6aTYAT</t>
  </si>
  <si>
    <t>001SZ00000YI0h9YAD</t>
  </si>
  <si>
    <t>BillingBusinessName__c</t>
  </si>
  <si>
    <t>BillingCity</t>
  </si>
  <si>
    <t>BillingCountry</t>
  </si>
  <si>
    <t>BillingDepartment__c</t>
  </si>
  <si>
    <t>BillingPostalCode</t>
  </si>
  <si>
    <t>BillingState</t>
  </si>
  <si>
    <t>BillingStreet</t>
  </si>
  <si>
    <t>LegacyId__c</t>
  </si>
  <si>
    <t>Num_Compte__c</t>
  </si>
  <si>
    <t>RegistrationNumber__c</t>
  </si>
  <si>
    <t>ShippingBusinessName__c</t>
  </si>
  <si>
    <t>ShippingCity</t>
  </si>
  <si>
    <t>ShippingCountry</t>
  </si>
  <si>
    <t>ShippingDepartment__c</t>
  </si>
  <si>
    <t>ShippingPostalCode</t>
  </si>
  <si>
    <t>ShippingState</t>
  </si>
  <si>
    <t>ShippingStreet</t>
  </si>
  <si>
    <t>VATNumber__c</t>
  </si>
  <si>
    <t>X</t>
  </si>
  <si>
    <t>PAPETERIES DE DIJON snc</t>
  </si>
  <si>
    <t>LONGVIC</t>
  </si>
  <si>
    <t>France</t>
  </si>
  <si>
    <t>21600</t>
  </si>
  <si>
    <t>3 rue Romelet</t>
  </si>
  <si>
    <t>0012p00004OKNMCAA5</t>
  </si>
  <si>
    <t>1 715 028 500 066</t>
  </si>
  <si>
    <t>144.accountspayable@ap.tetrapak.com</t>
  </si>
  <si>
    <t>FR30017150285</t>
  </si>
  <si>
    <t>REVIMA sasu</t>
  </si>
  <si>
    <t>RIVES-EN-SEINE</t>
  </si>
  <si>
    <t>76490</t>
  </si>
  <si>
    <t>1 Avenue du Latham 47</t>
  </si>
  <si>
    <t>0012p00004THFNVAA5</t>
  </si>
  <si>
    <t>54 207 132 900 024</t>
  </si>
  <si>
    <t>account.payable@revima.fr</t>
  </si>
  <si>
    <t>FR75542071329</t>
  </si>
  <si>
    <t>ANNECY LE VIEUX CEDEX</t>
  </si>
  <si>
    <t>74943</t>
  </si>
  <si>
    <t>21 rue du Pré Faucon</t>
  </si>
  <si>
    <t>0012p00004RDYqlAAH</t>
  </si>
  <si>
    <t>40 031 331 800 026</t>
  </si>
  <si>
    <t>Facture original électronique à</t>
  </si>
  <si>
    <t>accounting.millet@milletmountaingroup.com</t>
  </si>
  <si>
    <t>FR38400313318</t>
  </si>
  <si>
    <t>AMPHENOL FCI BESANCON sas</t>
  </si>
  <si>
    <t>BESANCON</t>
  </si>
  <si>
    <t>25000</t>
  </si>
  <si>
    <t>2 Rue Lafayette</t>
  </si>
  <si>
    <t>0012p00004ReLR9AAN</t>
  </si>
  <si>
    <t>38 863 689 600 010</t>
  </si>
  <si>
    <t>accounts-payable.besancon@fci.com</t>
  </si>
  <si>
    <t>FR91388636896</t>
  </si>
  <si>
    <t>SAINT BERTHEVIN</t>
  </si>
  <si>
    <t>53940</t>
  </si>
  <si>
    <t>ZA des Giraumeries</t>
  </si>
  <si>
    <t>0012p00004TGrjrAAD</t>
  </si>
  <si>
    <t>55 545 007 100 041</t>
  </si>
  <si>
    <t>AccountsPayableFrance@Tenneco.com</t>
  </si>
  <si>
    <t>FR29555450071</t>
  </si>
  <si>
    <t>EXCELVISION sas</t>
  </si>
  <si>
    <t>ANNONAY</t>
  </si>
  <si>
    <t>7100</t>
  </si>
  <si>
    <t>27 Rue de la Lombardière</t>
  </si>
  <si>
    <t>0012p00004UJG6aAAH</t>
  </si>
  <si>
    <t>33 582 068 400 033</t>
  </si>
  <si>
    <t>accueilfactures.excelvision@fareva.com</t>
  </si>
  <si>
    <t>FR82335820684</t>
  </si>
  <si>
    <t>LALLEMAND SAS</t>
  </si>
  <si>
    <t>VIEU D'IZENAVE</t>
  </si>
  <si>
    <t>1430</t>
  </si>
  <si>
    <t>Le Balmay</t>
  </si>
  <si>
    <t>001SZ000005Od72YAC</t>
  </si>
  <si>
    <t>77 320 110 800 018</t>
  </si>
  <si>
    <t>adminlallemand@lafuma-mobilier.fr</t>
  </si>
  <si>
    <t>FR44773201108</t>
  </si>
  <si>
    <t>KSB SAS</t>
  </si>
  <si>
    <t>CHATEAUROUX</t>
  </si>
  <si>
    <t>36000</t>
  </si>
  <si>
    <t>Allée de Sagan</t>
  </si>
  <si>
    <t>0012p00004RmixTAAR</t>
  </si>
  <si>
    <t>56 980 189 700 103</t>
  </si>
  <si>
    <t>alexandra.rongy@ksb.com</t>
  </si>
  <si>
    <t>FR20569801897</t>
  </si>
  <si>
    <t>DANFOSS COMMERCIAL COMPRESSORS sa</t>
  </si>
  <si>
    <t>TREVOUX</t>
  </si>
  <si>
    <t>Comptabilité</t>
  </si>
  <si>
    <t>1600</t>
  </si>
  <si>
    <t>ZI de Reyrieux - BP331</t>
  </si>
  <si>
    <t>71 378 027 800 030</t>
  </si>
  <si>
    <t>amelie.chesneau@danfoss.com</t>
  </si>
  <si>
    <t>FR80713780278</t>
  </si>
  <si>
    <t>FRANCOS sasu</t>
  </si>
  <si>
    <t>BLOIS</t>
  </si>
  <si>
    <t>41000</t>
  </si>
  <si>
    <t>1 Rue des Mardeaux</t>
  </si>
  <si>
    <t>001SZ000004b5HnYAI</t>
  </si>
  <si>
    <t>45 098 234 300 011</t>
  </si>
  <si>
    <t>amelie.rousselot@francos.fr</t>
  </si>
  <si>
    <t>FR62450982343</t>
  </si>
  <si>
    <t>VOESTALPINE AUTOMOTIVE COMPONENTS FONTAINE sa</t>
  </si>
  <si>
    <t>FONTAINE</t>
  </si>
  <si>
    <t>90150</t>
  </si>
  <si>
    <t>Zac de l'Aéroparc</t>
  </si>
  <si>
    <t>001SZ000001pKNXYA2</t>
  </si>
  <si>
    <t>53 552 031 600 014</t>
  </si>
  <si>
    <t>andrea.cametti@voestalpine.com</t>
  </si>
  <si>
    <t>FR12535520316</t>
  </si>
  <si>
    <t>BIO SPRINGER sa</t>
  </si>
  <si>
    <t>MAISONS-ALFORT</t>
  </si>
  <si>
    <t>Ressources Humaines</t>
  </si>
  <si>
    <t>94700</t>
  </si>
  <si>
    <t>103 Rue Jean Jaurès</t>
  </si>
  <si>
    <t>54 209 199 600 026</t>
  </si>
  <si>
    <t>ap.biospringer@lesaffre.com</t>
  </si>
  <si>
    <t>FR93542091996</t>
  </si>
  <si>
    <t>NEMERA LA VERPILIERE sas</t>
  </si>
  <si>
    <t>LA VERPILLIERE</t>
  </si>
  <si>
    <t>38290</t>
  </si>
  <si>
    <t>20 Avenue de la Gare</t>
  </si>
  <si>
    <t>38 805 696 200 029</t>
  </si>
  <si>
    <t>ap.invoicesnemeralaverpilliere@nemera.net</t>
  </si>
  <si>
    <t>FR81388056962</t>
  </si>
  <si>
    <t>GENNEVILLIERS</t>
  </si>
  <si>
    <t>Comptabilité fournisseurs</t>
  </si>
  <si>
    <t>92230</t>
  </si>
  <si>
    <t>4 Allée des Barbanniers</t>
  </si>
  <si>
    <t>0012p00004UIt7LAAT</t>
  </si>
  <si>
    <t>56 980 189 700 632</t>
  </si>
  <si>
    <t>ap_invoices_fr@ksb.com</t>
  </si>
  <si>
    <t>INVACARE FRANCE OPERATIONS SAS</t>
  </si>
  <si>
    <t>FONDETTES</t>
  </si>
  <si>
    <t>37230</t>
  </si>
  <si>
    <t>Route de Saint- Roch</t>
  </si>
  <si>
    <t>001SZ0000059VWTYA2</t>
  </si>
  <si>
    <t>34 841 873 200 049</t>
  </si>
  <si>
    <t>ap3110ivcfranceoperations@invacare.com</t>
  </si>
  <si>
    <t>FR19348418732</t>
  </si>
  <si>
    <t>CHEMVRION PARENTIS SAS</t>
  </si>
  <si>
    <t>PARIS</t>
  </si>
  <si>
    <t>75017</t>
  </si>
  <si>
    <t>58 Avenue de Wagram</t>
  </si>
  <si>
    <t>93 026 705 900 028</t>
  </si>
  <si>
    <t>apchemvironparentis.ccc@kuraray.com</t>
  </si>
  <si>
    <t>FR27930267059</t>
  </si>
  <si>
    <t>ASTRA ZENECA DUNKERQUE PRODUCTION scs</t>
  </si>
  <si>
    <t>DUNKERQUE</t>
  </si>
  <si>
    <t>59640</t>
  </si>
  <si>
    <t>224 Avenue de la Dordogne</t>
  </si>
  <si>
    <t>44 813 963 400 019</t>
  </si>
  <si>
    <t>Facture originale électronique à:</t>
  </si>
  <si>
    <t>apinvoicesdunkerque@astrazeneca.com</t>
  </si>
  <si>
    <t>FR78448139634</t>
  </si>
  <si>
    <t>BALL PACKAGING EUROPE FRANCE sasu</t>
  </si>
  <si>
    <t>BIERNE</t>
  </si>
  <si>
    <t>59380</t>
  </si>
  <si>
    <t>Zone d'Entreprises de Bergues</t>
  </si>
  <si>
    <t>0012p00004MygGUAAZ</t>
  </si>
  <si>
    <t>34 951 600 500 015</t>
  </si>
  <si>
    <t>apinvoicesfr@ball.com</t>
  </si>
  <si>
    <t>FR46349516005</t>
  </si>
  <si>
    <t>PLASTIQUES DU VAL DE LOIRE sa</t>
  </si>
  <si>
    <t>LANGEAIS</t>
  </si>
  <si>
    <t>Comptabilité &amp; ressources Humaines</t>
  </si>
  <si>
    <t>37130</t>
  </si>
  <si>
    <t>1 route de la Retaudière - E.I. Nord - BP 38</t>
  </si>
  <si>
    <t>0012p00004Sfc9aAAB</t>
  </si>
  <si>
    <t>64 480 016 100 015</t>
  </si>
  <si>
    <t>compta.groupe@plastivaloire.com</t>
  </si>
  <si>
    <t>FR14644800161</t>
  </si>
  <si>
    <t>CHARLES RIVER LABORATORIES FRANCE - C.R.L.F. sasu</t>
  </si>
  <si>
    <t>SAINT GERMAIN NUELLES</t>
  </si>
  <si>
    <t>COMPTABILITE</t>
  </si>
  <si>
    <t>69210</t>
  </si>
  <si>
    <t>327 Impasse du Domaine Rozier</t>
  </si>
  <si>
    <t>0012p00004UHMmUAAX</t>
  </si>
  <si>
    <t>8 665 004 100 022</t>
  </si>
  <si>
    <t>ARBCOMPTACRF@crl.com</t>
  </si>
  <si>
    <t>FR29086650041</t>
  </si>
  <si>
    <t>RESTONIS sasu</t>
  </si>
  <si>
    <t>IVRY SUR SEINE</t>
  </si>
  <si>
    <t>94200</t>
  </si>
  <si>
    <t>12 rue Jean Marie Poulmarch</t>
  </si>
  <si>
    <t>0012p00004MRAVrAAP</t>
  </si>
  <si>
    <t>53 117 081 900 019</t>
  </si>
  <si>
    <t>ass.gestion@restonis.fr</t>
  </si>
  <si>
    <t>FR58531170819</t>
  </si>
  <si>
    <t>NYRSTAR FRANCE sasu</t>
  </si>
  <si>
    <t>AUBY</t>
  </si>
  <si>
    <t>59950</t>
  </si>
  <si>
    <t>Rue Jean Jacques Rousseau</t>
  </si>
  <si>
    <t>001SZ000002xEQqYAM</t>
  </si>
  <si>
    <t>49 083 728 300 020</t>
  </si>
  <si>
    <t>auby.comptafactures@nyrstar.com</t>
  </si>
  <si>
    <t>FR63490837283</t>
  </si>
  <si>
    <t>INEOS AUTOMOTIVE SAS</t>
  </si>
  <si>
    <t>HAMBACH</t>
  </si>
  <si>
    <t>Service comptabilité</t>
  </si>
  <si>
    <t>57913</t>
  </si>
  <si>
    <t>Europôle de Sarreguemines</t>
  </si>
  <si>
    <t>40 311 943 100 027</t>
  </si>
  <si>
    <t>FR38403119431</t>
  </si>
  <si>
    <t>1100</t>
  </si>
  <si>
    <t>75 920 045 400 156</t>
  </si>
  <si>
    <t>alexandraGrossat@berryglobal.com</t>
  </si>
  <si>
    <t>CAREA FACADE sasu</t>
  </si>
  <si>
    <t>OMBREE D'ANJOU</t>
  </si>
  <si>
    <t>49520</t>
  </si>
  <si>
    <t>ZA DE BEL AIR
 Bel-Air-de-Combrée - COMBREE</t>
  </si>
  <si>
    <t>0012p00004UHRUgAAP</t>
  </si>
  <si>
    <t>33 408 975 200 102</t>
  </si>
  <si>
    <t>bcouet@carea.fr</t>
  </si>
  <si>
    <t>FR84334089752</t>
  </si>
  <si>
    <t>OTERRA FRANCE SAS</t>
  </si>
  <si>
    <t>COSSE-LE-VIVIEN</t>
  </si>
  <si>
    <t>53230</t>
  </si>
  <si>
    <t>Rue Ambroise Paré</t>
  </si>
  <si>
    <t>89 070 836 500 030</t>
  </si>
  <si>
    <t>beatrice.chretien@oterra.com</t>
  </si>
  <si>
    <t>FR50890708365</t>
  </si>
  <si>
    <t>GROUPE RIOLAND sas</t>
  </si>
  <si>
    <t>BAUDRES</t>
  </si>
  <si>
    <t>36110</t>
  </si>
  <si>
    <t>24 La Barre</t>
  </si>
  <si>
    <t>0012p00004OML8JAAX</t>
  </si>
  <si>
    <t>3 375 447 200 051</t>
  </si>
  <si>
    <t>benoit.pinon@grouperioland.fr</t>
  </si>
  <si>
    <t>FR53337544720</t>
  </si>
  <si>
    <t>DPS BEAUNE sas</t>
  </si>
  <si>
    <t>BEAUNE</t>
  </si>
  <si>
    <t>21200</t>
  </si>
  <si>
    <t>156 Route de Dijon</t>
  </si>
  <si>
    <t>001SZ00000CP6rMYAT</t>
  </si>
  <si>
    <t>83 969 459 300 014</t>
  </si>
  <si>
    <t>besma.ammari@dps-beaune.com</t>
  </si>
  <si>
    <t>FR96839694593</t>
  </si>
  <si>
    <t>SHERPA LOGISTIQUE sas</t>
  </si>
  <si>
    <t>ST RAMBERT D'ALBON</t>
  </si>
  <si>
    <t>26140</t>
  </si>
  <si>
    <t>ZI du Cappa</t>
  </si>
  <si>
    <t>0012p00004QckxBAAR</t>
  </si>
  <si>
    <t>43 953 100 500 015</t>
  </si>
  <si>
    <t>bjumelart@sherpa-logistique.fr</t>
  </si>
  <si>
    <t>FR53439531005</t>
  </si>
  <si>
    <t>SOCIETE DE MECANIQUE DES TILLES sas</t>
  </si>
  <si>
    <t>GENLIS</t>
  </si>
  <si>
    <t>21110</t>
  </si>
  <si>
    <t>5 Rue de Labergement</t>
  </si>
  <si>
    <t>0012p00004TnExuAAF</t>
  </si>
  <si>
    <t>71 204 754 700 021</t>
  </si>
  <si>
    <t>bon.nathalie@rotarex.com</t>
  </si>
  <si>
    <t>FR20712047547</t>
  </si>
  <si>
    <t>J.C. BONNEFOY sas</t>
  </si>
  <si>
    <t>SAONE</t>
  </si>
  <si>
    <t>25660</t>
  </si>
  <si>
    <t>ZI- 14 Rue de l'Industrie - BP28</t>
  </si>
  <si>
    <t>0012p00004QdCmrAAF</t>
  </si>
  <si>
    <t>30 142 262 200 029</t>
  </si>
  <si>
    <t>bonnefoy.achats@groupe-bonnefoy.fr</t>
  </si>
  <si>
    <t>FR25301422622</t>
  </si>
  <si>
    <t>VIANT CHAUMONT SAS</t>
  </si>
  <si>
    <t>CHAUMONT</t>
  </si>
  <si>
    <t>Finance</t>
  </si>
  <si>
    <t>52000</t>
  </si>
  <si>
    <t>4 rue Renée et Louis Landanger</t>
  </si>
  <si>
    <t>0012p00004NgQ3uAAF</t>
  </si>
  <si>
    <t>49 923 501 800 011</t>
  </si>
  <si>
    <t>bruno.gratas@viantmedical.com</t>
  </si>
  <si>
    <t>FR40499235018</t>
  </si>
  <si>
    <t>AGENCE NATIONALE POUR LA GARANTIE DES DROITS DES MINEURS - ANGDM</t>
  </si>
  <si>
    <t>NOYELLES SOUS LENS</t>
  </si>
  <si>
    <t>CENTRE DE GESTION</t>
  </si>
  <si>
    <t>62221</t>
  </si>
  <si>
    <t>110 Avenue de la fosse 23</t>
  </si>
  <si>
    <t>0012p00004TzX0NAAV</t>
  </si>
  <si>
    <t>18 009 253 800 024</t>
  </si>
  <si>
    <t>bureau.formation@angdm.fr</t>
  </si>
  <si>
    <t>FR42180092538</t>
  </si>
  <si>
    <t>SOCAMEL TECHNOLOGIES sas</t>
  </si>
  <si>
    <t>RENAGE</t>
  </si>
  <si>
    <t>38140</t>
  </si>
  <si>
    <t>Descente Allivet</t>
  </si>
  <si>
    <t>001SZ0000021G4qYAE</t>
  </si>
  <si>
    <t>7 050 301 600 035</t>
  </si>
  <si>
    <t>c.latil@socamel.com</t>
  </si>
  <si>
    <t>FR75070503016</t>
  </si>
  <si>
    <t>H.J. HEINZ FRANCE sasu</t>
  </si>
  <si>
    <t>SECLIN</t>
  </si>
  <si>
    <t>59113</t>
  </si>
  <si>
    <t>18 Rue Marx Dormoy</t>
  </si>
  <si>
    <t>48 300 532 800 040</t>
  </si>
  <si>
    <t>camille.meurin@kraftheinz.com</t>
  </si>
  <si>
    <t>FR23483005328</t>
  </si>
  <si>
    <t>MMP PACKETIS SAS</t>
  </si>
  <si>
    <t>CHAZELLES</t>
  </si>
  <si>
    <t>16380</t>
  </si>
  <si>
    <t>Treille</t>
  </si>
  <si>
    <t>0012p00004QwpRfAAJ</t>
  </si>
  <si>
    <t>40 322 193 000 023</t>
  </si>
  <si>
    <t>carole.tardieu@mm.group</t>
  </si>
  <si>
    <t>FR45403221930</t>
  </si>
  <si>
    <t>MOY PARK FRANCE sas</t>
  </si>
  <si>
    <t>HENIN-BEAUMONT</t>
  </si>
  <si>
    <t>72110</t>
  </si>
  <si>
    <t>712 Chemin de Noyelles</t>
  </si>
  <si>
    <t>001SZ000008DnhTYAS</t>
  </si>
  <si>
    <t>44 457 512 000 019</t>
  </si>
  <si>
    <t>ceap.invoices@moypar</t>
  </si>
  <si>
    <t>FR10444575120</t>
  </si>
  <si>
    <t>BANQUE POPULAIRE MEDITERRANEE sa</t>
  </si>
  <si>
    <t>NICE</t>
  </si>
  <si>
    <t>6200</t>
  </si>
  <si>
    <t>457 Promenade des Anglais - BP 241</t>
  </si>
  <si>
    <t>0012p00004Ovfx1AAB</t>
  </si>
  <si>
    <t>5 880 148 101 264</t>
  </si>
  <si>
    <t>cecile.geoffroy@bpmed.fr</t>
  </si>
  <si>
    <t>FR61058801481</t>
  </si>
  <si>
    <t>CAISSE D'EPARGNE ET DE PREVOYANCE DE BOURGOGNE FRANCHE-COMTE sa - CEBFC</t>
  </si>
  <si>
    <t>DIJON</t>
  </si>
  <si>
    <t>21000</t>
  </si>
  <si>
    <t>1 Rond Point de la Nation</t>
  </si>
  <si>
    <t>0012p00004RLlIQAA1</t>
  </si>
  <si>
    <t>35 248 334 100 017</t>
  </si>
  <si>
    <t>cecile.pencole-lehaut@cebfc.caisse-epargne.fr</t>
  </si>
  <si>
    <t>FR73352483341</t>
  </si>
  <si>
    <t>THUASNE sas</t>
  </si>
  <si>
    <t>SAINT-ETIENNE Cedex 2</t>
  </si>
  <si>
    <t>42100</t>
  </si>
  <si>
    <t>27 Rue de la Jomayere</t>
  </si>
  <si>
    <t>001SZ000003NGlbYAG</t>
  </si>
  <si>
    <t>54 209 118 600 040</t>
  </si>
  <si>
    <t>celine.champion@thuasne.fr</t>
  </si>
  <si>
    <t>FR88542091186</t>
  </si>
  <si>
    <t>FONDERIE ET MECANIQUE GENERALE CASTELBRIANTAISE sa - FMGC</t>
  </si>
  <si>
    <t>SOUDAN</t>
  </si>
  <si>
    <t>44110</t>
  </si>
  <si>
    <t>ZI Hochepie</t>
  </si>
  <si>
    <t>0012p00004OLmuHAAT</t>
  </si>
  <si>
    <t>86 680 121 000 026</t>
  </si>
  <si>
    <t>celine.chevrel@fmgc.net</t>
  </si>
  <si>
    <t>FR94866801210</t>
  </si>
  <si>
    <t>VERNET sas</t>
  </si>
  <si>
    <t>ARPAJON Cedex</t>
  </si>
  <si>
    <t>91291</t>
  </si>
  <si>
    <t>21-27 route d'Arpajon</t>
  </si>
  <si>
    <t>001SZ000001N3caYAC</t>
  </si>
  <si>
    <t>30 852 882 700 022</t>
  </si>
  <si>
    <t>Facture originale electronique à</t>
  </si>
  <si>
    <t>cerutti@vernet.fr</t>
  </si>
  <si>
    <t>FR77308528827</t>
  </si>
  <si>
    <t>DAGARD sas</t>
  </si>
  <si>
    <t>BOUSSAC</t>
  </si>
  <si>
    <t>23600</t>
  </si>
  <si>
    <t>Route du Stade</t>
  </si>
  <si>
    <t>001SZ00000Oced1YAB</t>
  </si>
  <si>
    <t>99 575 028 800 012</t>
  </si>
  <si>
    <t>cfournisseurs@dagard.com</t>
  </si>
  <si>
    <t>FR76995750288</t>
  </si>
  <si>
    <t>REINE DE DIJON sas</t>
  </si>
  <si>
    <t>FLEUREY-SUR-OUCHE</t>
  </si>
  <si>
    <t>21410</t>
  </si>
  <si>
    <t>1 Rue des Combets</t>
  </si>
  <si>
    <t>0012p00004S28b2AAB</t>
  </si>
  <si>
    <t>39 425 627 500 022</t>
  </si>
  <si>
    <t>cguichard@reinededijon.fr</t>
  </si>
  <si>
    <t>FR16394256275</t>
  </si>
  <si>
    <t>PEP sasu</t>
  </si>
  <si>
    <t>PLOERMEL</t>
  </si>
  <si>
    <t>56800</t>
  </si>
  <si>
    <t>ZI de Camagnon</t>
  </si>
  <si>
    <t>0012p00004RB7pqAAD</t>
  </si>
  <si>
    <t>42 080 049 200 027</t>
  </si>
  <si>
    <t>charline.leberrigaud@eureden.com</t>
  </si>
  <si>
    <t>FR32420800492</t>
  </si>
  <si>
    <t>TEXELIS sasu</t>
  </si>
  <si>
    <t>LIMOGES CEDEX 1</t>
  </si>
  <si>
    <t>87011</t>
  </si>
  <si>
    <t>72 Route du Palais</t>
  </si>
  <si>
    <t>001SZ000009VR6pYAG</t>
  </si>
  <si>
    <t>50 169 841 900 022</t>
  </si>
  <si>
    <t>charlotte.maillard@texelis.com</t>
  </si>
  <si>
    <t>FR07501698419</t>
  </si>
  <si>
    <t>CORDEN PHARMA CHENOVE sasu</t>
  </si>
  <si>
    <t>CHENOVE</t>
  </si>
  <si>
    <t>21300</t>
  </si>
  <si>
    <t>47 rue de Longvic</t>
  </si>
  <si>
    <t>0012p00004TGasWAAT</t>
  </si>
  <si>
    <t>42 118 181 900 010</t>
  </si>
  <si>
    <t>chenove.comptabilite@cordenpharma.com</t>
  </si>
  <si>
    <t>FR92421181819</t>
  </si>
  <si>
    <t>REYNAERS ALUMINIUM sasu</t>
  </si>
  <si>
    <t>HAM</t>
  </si>
  <si>
    <t>80400</t>
  </si>
  <si>
    <t>Route de Brouchy</t>
  </si>
  <si>
    <t>0012p00004NeUaTAAV</t>
  </si>
  <si>
    <t>39 922 726 300 072</t>
  </si>
  <si>
    <t>chm@reynaers.com</t>
  </si>
  <si>
    <t>FR06399227263</t>
  </si>
  <si>
    <t>001IV000015S9HBYA0</t>
  </si>
  <si>
    <t>SMURFIT WESTROCK FRANCE</t>
  </si>
  <si>
    <t>SMURFIT WESTROCK FRANCE sas</t>
  </si>
  <si>
    <t>SAINT MANDE</t>
  </si>
  <si>
    <t>Christophe BARON</t>
  </si>
  <si>
    <t>94160</t>
  </si>
  <si>
    <t>5 avenue du général de Gaulle</t>
  </si>
  <si>
    <t>001SZ000009ueaJYAQ</t>
  </si>
  <si>
    <t>49 325 490 800 020</t>
  </si>
  <si>
    <t>christophe.baron@smurfitwestrock.fr</t>
  </si>
  <si>
    <t>FR54493254908</t>
  </si>
  <si>
    <t>EURIAL ULTRA FRAIS sasu</t>
  </si>
  <si>
    <t>CHATEAU SALINS</t>
  </si>
  <si>
    <t>57170</t>
  </si>
  <si>
    <t>Avenue des Saulniers</t>
  </si>
  <si>
    <t>0012p00004Rel0OAAR</t>
  </si>
  <si>
    <t>70 558 010 800 102</t>
  </si>
  <si>
    <t>christophe.renoncial@eurial.eu</t>
  </si>
  <si>
    <t>FR31705580108</t>
  </si>
  <si>
    <t>CHARTRES</t>
  </si>
  <si>
    <t>28000</t>
  </si>
  <si>
    <t>4 Avenue Gustave Eiffel</t>
  </si>
  <si>
    <t>001SZ000001Eu4zYAC</t>
  </si>
  <si>
    <t>58 202 226 500 224</t>
  </si>
  <si>
    <t>clanotte@guerlain.fr</t>
  </si>
  <si>
    <t>FR71582022265</t>
  </si>
  <si>
    <t>FAIVELEY TECH BOURGOIN sasu</t>
  </si>
  <si>
    <t>BOURGOIN JALLIEU</t>
  </si>
  <si>
    <t>38307</t>
  </si>
  <si>
    <t>107 allée de Chardillonnay - 
 Maubec - CS 51001</t>
  </si>
  <si>
    <t>0012p00004SzOBnAAN</t>
  </si>
  <si>
    <t>38 955 376 900 040</t>
  </si>
  <si>
    <t>compta.bourgoin@faiveley.fr</t>
  </si>
  <si>
    <t>FR81389553769</t>
  </si>
  <si>
    <t>FLOWBIRD sasu</t>
  </si>
  <si>
    <t>6 Rue Isaac Newton</t>
  </si>
  <si>
    <t>0012p00004TmXQzAAN</t>
  </si>
  <si>
    <t>44 471 927 200 148</t>
  </si>
  <si>
    <t>compta.factures.fournisseurs@flowbird.group</t>
  </si>
  <si>
    <t>FR40444719272</t>
  </si>
  <si>
    <t>AUBRET sasu</t>
  </si>
  <si>
    <t>VALLONS-DE-L'ERDRE</t>
  </si>
  <si>
    <t>44540</t>
  </si>
  <si>
    <t>ZI BP12 - Saint- Mars La Jaille</t>
  </si>
  <si>
    <t>001SZ000005MYg6YAG</t>
  </si>
  <si>
    <t>78 818 295 400 024</t>
  </si>
  <si>
    <t>compta.fournisseur@euroden.com</t>
  </si>
  <si>
    <t>FR50788182954</t>
  </si>
  <si>
    <t>JEAN LARNAUDIE snc</t>
  </si>
  <si>
    <t>FIGEAC</t>
  </si>
  <si>
    <t>46100</t>
  </si>
  <si>
    <t>76 rue des Artisans</t>
  </si>
  <si>
    <t>0012p00004Nh9b2AAB</t>
  </si>
  <si>
    <t>41 025 258 900 024</t>
  </si>
  <si>
    <t>compta.fournisseur@larnaudie.com</t>
  </si>
  <si>
    <t>FR51410252589</t>
  </si>
  <si>
    <t>CARBODY sas</t>
  </si>
  <si>
    <t>WITRY LES REIMS</t>
  </si>
  <si>
    <t>51420</t>
  </si>
  <si>
    <t>17 rue du moulin Florent</t>
  </si>
  <si>
    <t>0012p00004NhQTFAA3</t>
  </si>
  <si>
    <t>57 204 050 900 067</t>
  </si>
  <si>
    <t>compta.fournisseurs@carbody.eu</t>
  </si>
  <si>
    <t>FR61572040509</t>
  </si>
  <si>
    <t>DOURDAN</t>
  </si>
  <si>
    <t>91410</t>
  </si>
  <si>
    <t>22 Rue Robert Benoist</t>
  </si>
  <si>
    <t>001SZ00000AKbAeYAL</t>
  </si>
  <si>
    <t>34 422 476 100 025</t>
  </si>
  <si>
    <t>compta.fournisseurs@mdsfrance.fr</t>
  </si>
  <si>
    <t>FR73344224761</t>
  </si>
  <si>
    <t>SOUCHIER - BOULLET sas</t>
  </si>
  <si>
    <t>HERICOURT</t>
  </si>
  <si>
    <t>70400</t>
  </si>
  <si>
    <t>11 Rue du 47ème Régiment d'Artillerie</t>
  </si>
  <si>
    <t>0012p00004UIiDrAAL</t>
  </si>
  <si>
    <t>66 201 466 100 067</t>
  </si>
  <si>
    <t>compta.fournisseurs@souchier-boullet.com</t>
  </si>
  <si>
    <t>FR35662014661</t>
  </si>
  <si>
    <t>WESER sas</t>
  </si>
  <si>
    <t>MAZIERES DE TOURAINE</t>
  </si>
  <si>
    <t>1 Route de Cléré</t>
  </si>
  <si>
    <t>0012p00004RJUKLAA5</t>
  </si>
  <si>
    <t>65 480 102 600 018</t>
  </si>
  <si>
    <t>compta.fournisseurs@weser.fr</t>
  </si>
  <si>
    <t>FR24654801026</t>
  </si>
  <si>
    <t>SAEM sas</t>
  </si>
  <si>
    <t>CUSSET</t>
  </si>
  <si>
    <t>3300</t>
  </si>
  <si>
    <t>2 Boulevard Jean Lafaure</t>
  </si>
  <si>
    <t>0012p00004RBJMwAAP</t>
  </si>
  <si>
    <t>80 133 952 400 010</t>
  </si>
  <si>
    <t>compta.saem@engie.com</t>
  </si>
  <si>
    <t>FR72801339524</t>
  </si>
  <si>
    <t>BONGARD sas</t>
  </si>
  <si>
    <t>HOLTZHEIM</t>
  </si>
  <si>
    <t>67810</t>
  </si>
  <si>
    <t>32 route de Wolfisheim</t>
  </si>
  <si>
    <t>0012p00004MRCLYAA5</t>
  </si>
  <si>
    <t>58 295 030 900 051</t>
  </si>
  <si>
    <t>compta@afebakery.fr</t>
  </si>
  <si>
    <t>FR12582950309</t>
  </si>
  <si>
    <t>SAMB sasu</t>
  </si>
  <si>
    <t>LE BLANC</t>
  </si>
  <si>
    <t>36300</t>
  </si>
  <si>
    <t>18 Allée Gaspard Monge - 
 ZI des Daubourgs</t>
  </si>
  <si>
    <t>0012p00004SiWGTAA3</t>
  </si>
  <si>
    <t>31 349 840 400 067</t>
  </si>
  <si>
    <t>compta@atelier36.fr</t>
  </si>
  <si>
    <t>FR26505317172</t>
  </si>
  <si>
    <t>CHARLES PERROUD sas</t>
  </si>
  <si>
    <t>LENTILLY</t>
  </si>
  <si>
    <t>173 route de Chapernay</t>
  </si>
  <si>
    <t>0012p00004ONPiSAAX</t>
  </si>
  <si>
    <t>30 116 613 800 034</t>
  </si>
  <si>
    <t>compta@charles-perroud.com</t>
  </si>
  <si>
    <t>FR74301166138</t>
  </si>
  <si>
    <t>ELECTROPOLI FRANCE sarl</t>
  </si>
  <si>
    <t>ISIGNY LE BUAT</t>
  </si>
  <si>
    <t>Service Comptabilité</t>
  </si>
  <si>
    <t>50540</t>
  </si>
  <si>
    <t>Le Grand Chemin</t>
  </si>
  <si>
    <t>001SZ000009hKuUYAU</t>
  </si>
  <si>
    <t>42 045 417 500 035</t>
  </si>
  <si>
    <t>compta@electropoli.com</t>
  </si>
  <si>
    <t>FR48420454175</t>
  </si>
  <si>
    <t>LABORATOIRES URGO sasu</t>
  </si>
  <si>
    <t>Comptabilité Fournisseurs</t>
  </si>
  <si>
    <t>42 rue de Longvic</t>
  </si>
  <si>
    <t>43 384 204 400 052</t>
  </si>
  <si>
    <t>compta@fr.urgo.com</t>
  </si>
  <si>
    <t>FR29433842044</t>
  </si>
  <si>
    <t>HERBAROM LABORATOIRE sas</t>
  </si>
  <si>
    <t>VALENCE</t>
  </si>
  <si>
    <t>RH</t>
  </si>
  <si>
    <t>26000</t>
  </si>
  <si>
    <t>31 Avenue de Lautagne</t>
  </si>
  <si>
    <t>001SZ000001IBfbYAG</t>
  </si>
  <si>
    <t>39 428 026 700 037</t>
  </si>
  <si>
    <t>compta@herbarom-laboratoire.com</t>
  </si>
  <si>
    <t>FR18394280267</t>
  </si>
  <si>
    <t>SAS JOUSSEAU</t>
  </si>
  <si>
    <t>VIRE</t>
  </si>
  <si>
    <t>71260</t>
  </si>
  <si>
    <t>32 rue du 19 mars 1962</t>
  </si>
  <si>
    <t>001SZ0000012WT4YAM</t>
  </si>
  <si>
    <t>48 010 893 500 010</t>
  </si>
  <si>
    <t>compta@jousseau.com</t>
  </si>
  <si>
    <t>FR07480108935</t>
  </si>
  <si>
    <t>ETABLISSEMENTS ROMAIRE sasu</t>
  </si>
  <si>
    <t>ARNAS</t>
  </si>
  <si>
    <t>69400</t>
  </si>
  <si>
    <t>1032 Avenue de Joux</t>
  </si>
  <si>
    <t>0012p00004ONxyqAAD</t>
  </si>
  <si>
    <t>30 003 122 600 016</t>
  </si>
  <si>
    <t>compta@romaire-sa.fr</t>
  </si>
  <si>
    <t>FR38300031226</t>
  </si>
  <si>
    <t>ROVAL sas</t>
  </si>
  <si>
    <t>FLERS</t>
  </si>
  <si>
    <t>61100</t>
  </si>
  <si>
    <t>Rue des Sports</t>
  </si>
  <si>
    <t>0012p00004SN179AAD</t>
  </si>
  <si>
    <t>31 186 620 600 064</t>
  </si>
  <si>
    <t>compta@roval.fr</t>
  </si>
  <si>
    <t>FR68311866206</t>
  </si>
  <si>
    <t>SAMIBOIS sasu</t>
  </si>
  <si>
    <t>COËX</t>
  </si>
  <si>
    <t>85220</t>
  </si>
  <si>
    <t>Pôle Technique Odyssée - 
 6 rue Denis Papin</t>
  </si>
  <si>
    <t>0012p00004Ng9V2AAJ</t>
  </si>
  <si>
    <t>92 132 271 500 019</t>
  </si>
  <si>
    <t>compta@samibois.com</t>
  </si>
  <si>
    <t>FR08921322715</t>
  </si>
  <si>
    <t>SAMIPLAST sasu</t>
  </si>
  <si>
    <t>LA CHAIZE GIRAUD</t>
  </si>
  <si>
    <t>Route de Saint Julien des Landes</t>
  </si>
  <si>
    <t>0012p00004Ng8goAAB</t>
  </si>
  <si>
    <t>83 422 168 100 036</t>
  </si>
  <si>
    <t>compta@samiplast.fr</t>
  </si>
  <si>
    <t>FR65834221681</t>
  </si>
  <si>
    <t>SECMAIR sas</t>
  </si>
  <si>
    <t>COSSE LE VIVIEN</t>
  </si>
  <si>
    <t>53203</t>
  </si>
  <si>
    <t>Rue des Frères Lumières</t>
  </si>
  <si>
    <t>0012p00004UHSybAAH</t>
  </si>
  <si>
    <t>38 097 212 500 013</t>
  </si>
  <si>
    <t>compta@secmair.fayat.com</t>
  </si>
  <si>
    <t>FR16380972125</t>
  </si>
  <si>
    <t>SODEL sas</t>
  </si>
  <si>
    <t>LISIEUX</t>
  </si>
  <si>
    <t>14100</t>
  </si>
  <si>
    <t>190 rue René Barthelemy</t>
  </si>
  <si>
    <t>0012p00004Ns98wAAB</t>
  </si>
  <si>
    <t>62 715 010 500 070</t>
  </si>
  <si>
    <t>compta@sodel-sa.eu</t>
  </si>
  <si>
    <t>FR12627150105</t>
  </si>
  <si>
    <t>SOCIETE DE PRODUCTION DE NEMOURS "SOPRONEM" sasu</t>
  </si>
  <si>
    <t>SAINT-PIERRE-LES-NEMOURS</t>
  </si>
  <si>
    <t>77140</t>
  </si>
  <si>
    <t>2 Rue des Etangs</t>
  </si>
  <si>
    <t>0012p00004RgyEoAAJ</t>
  </si>
  <si>
    <t>81 476 254 800 026</t>
  </si>
  <si>
    <t>compta@sopronem.com</t>
  </si>
  <si>
    <t>FR79814762548</t>
  </si>
  <si>
    <t>MSSA sasu</t>
  </si>
  <si>
    <t>SAINT MARCEL</t>
  </si>
  <si>
    <t>73600</t>
  </si>
  <si>
    <t>111 rue de la Volta Pomblière</t>
  </si>
  <si>
    <t>0012p00004Sz9g9AAB</t>
  </si>
  <si>
    <t>41 021 904 200 026</t>
  </si>
  <si>
    <t>compta_fournisseur@metauxspeciaux.fr</t>
  </si>
  <si>
    <t>FR96410219042</t>
  </si>
  <si>
    <t>SYNERGIE Geie</t>
  </si>
  <si>
    <t>VILLENEUVE D'ASCQ</t>
  </si>
  <si>
    <t>Service comptabilité fournisseurs</t>
  </si>
  <si>
    <t>59650</t>
  </si>
  <si>
    <t>Parc de la Haute Borne 61 avenue Halley</t>
  </si>
  <si>
    <t>0012p00004NeCR0AAN</t>
  </si>
  <si>
    <t>75 110 899 400 011</t>
  </si>
  <si>
    <t>compta_fraisgeneraux@cofidis-group.com</t>
  </si>
  <si>
    <t>FR19751108994</t>
  </si>
  <si>
    <t>PAPIN MANAGEMENT sas</t>
  </si>
  <si>
    <t>SAINT-FULGENT</t>
  </si>
  <si>
    <t>85250</t>
  </si>
  <si>
    <t>ZI rue du Stade</t>
  </si>
  <si>
    <t>0012p00004RmkIaAAJ</t>
  </si>
  <si>
    <t>79 936 310 600 011</t>
  </si>
  <si>
    <t>compta-achats@groupe-papin.fr</t>
  </si>
  <si>
    <t>FR40799363106</t>
  </si>
  <si>
    <t>VERALLIA FRANCE</t>
  </si>
  <si>
    <t>VERALLIA FRANCE sas</t>
  </si>
  <si>
    <t>COURBEVOIE</t>
  </si>
  <si>
    <t>92400</t>
  </si>
  <si>
    <t>31 Place des Corolles</t>
  </si>
  <si>
    <t>001SZ00000VsYE9YAN</t>
  </si>
  <si>
    <t>72 203 459 200 278</t>
  </si>
  <si>
    <t>comptabilite.fournisseurs.vf@verallia.com</t>
  </si>
  <si>
    <t>FR86722034592</t>
  </si>
  <si>
    <t>FRANDEX sas</t>
  </si>
  <si>
    <t>SAINT DENIS LA CHEVASSE</t>
  </si>
  <si>
    <t>85170</t>
  </si>
  <si>
    <t>ZI Saint Denis les Lucs</t>
  </si>
  <si>
    <t>001SZ000001KulTYAS</t>
  </si>
  <si>
    <t>41 168 360 000 018</t>
  </si>
  <si>
    <t>comptabilite.fournisseurs@europesnacks.com</t>
  </si>
  <si>
    <t>FR58411683600</t>
  </si>
  <si>
    <t>SIGVARIS sasu</t>
  </si>
  <si>
    <t>SAINT-JUST-SAINT-RAMBERT</t>
  </si>
  <si>
    <t>42170</t>
  </si>
  <si>
    <t>ZI Sud d'Andrézieux - 
 Rue Barthélémy Thimonnier</t>
  </si>
  <si>
    <t>38 413 785 700 031</t>
  </si>
  <si>
    <t>comptabilite.fournisseurs@sigvaris.com</t>
  </si>
  <si>
    <t>FR39384137857</t>
  </si>
  <si>
    <t>SOMFY ACTIVITES SA</t>
  </si>
  <si>
    <t>CLUSES</t>
  </si>
  <si>
    <t>74300</t>
  </si>
  <si>
    <t>50 Avenue du Nouveau Monde</t>
  </si>
  <si>
    <t>30 397 023 000 122</t>
  </si>
  <si>
    <t>comptabilite.fournisseurs@somfy.com</t>
  </si>
  <si>
    <t>FR25303970230</t>
  </si>
  <si>
    <t>LFB FRANCE sas</t>
  </si>
  <si>
    <t>MIONS</t>
  </si>
  <si>
    <t>69780</t>
  </si>
  <si>
    <t>Rue des Albatros - 
 ZI Les Meurières</t>
  </si>
  <si>
    <t>30 952 811 500 061</t>
  </si>
  <si>
    <t>comptabilite.fr@lennoxemea.com</t>
  </si>
  <si>
    <t>FR59309528115</t>
  </si>
  <si>
    <t>MW FRANCE sas</t>
  </si>
  <si>
    <t>TERGNIER</t>
  </si>
  <si>
    <t>2700</t>
  </si>
  <si>
    <t>33 Boulevard du 32ème R.I. - 
 ZI les Certels</t>
  </si>
  <si>
    <t>001SZ0000015EBSYA2</t>
  </si>
  <si>
    <t>33 026 394 800 011</t>
  </si>
  <si>
    <t>comptabilite@fr.mw.gruppocln.com</t>
  </si>
  <si>
    <t>FR03330263948</t>
  </si>
  <si>
    <t>SAINT JEAN sas</t>
  </si>
  <si>
    <t>ROMANS-SUR-ISERE</t>
  </si>
  <si>
    <t>26100</t>
  </si>
  <si>
    <t>44 Avenue des Allobroges</t>
  </si>
  <si>
    <t>001SZ000001rZISYA2</t>
  </si>
  <si>
    <t>31 182 126 800 027</t>
  </si>
  <si>
    <t>comptabilite@saint-jean.fr</t>
  </si>
  <si>
    <t>FR84311821268</t>
  </si>
  <si>
    <t>SATEBA FRANCE s.a.</t>
  </si>
  <si>
    <t>PARIS LA DEFENSE CEDEX</t>
  </si>
  <si>
    <t>92040</t>
  </si>
  <si>
    <t>Tour CB21 - 16 Place de l'Iris</t>
  </si>
  <si>
    <t>0012p00004Txs6jAAB</t>
  </si>
  <si>
    <t>57 202 403 200 102</t>
  </si>
  <si>
    <t>comptabilite@sateba.com</t>
  </si>
  <si>
    <t>FR03572024032</t>
  </si>
  <si>
    <t>BACCARAT sa</t>
  </si>
  <si>
    <t>54120</t>
  </si>
  <si>
    <t>20 Rue des Cristalleries</t>
  </si>
  <si>
    <t>001SZ000004kQ5GYAU</t>
  </si>
  <si>
    <t>76 080 006 000 013</t>
  </si>
  <si>
    <t>FR86760800060</t>
  </si>
  <si>
    <t>HEXCEL FIBERS sasu</t>
  </si>
  <si>
    <t>SAINT-MAURICE-L'EXIL</t>
  </si>
  <si>
    <t>38556</t>
  </si>
  <si>
    <t>Rue Gaston Monmousseau - 
 ROUSSILLON - CS 50032</t>
  </si>
  <si>
    <t>001SZ00000Cz13VYAR</t>
  </si>
  <si>
    <t>49 366 383 500 012</t>
  </si>
  <si>
    <t>comptabilite63@hexcel.com</t>
  </si>
  <si>
    <t>FR76493663835</t>
  </si>
  <si>
    <t>BLANCHON sas</t>
  </si>
  <si>
    <t>SAINT PRIEST</t>
  </si>
  <si>
    <t>69800</t>
  </si>
  <si>
    <t>50 8ème Rue - Cité Berliet</t>
  </si>
  <si>
    <t>0012p00004UHNJUAA5</t>
  </si>
  <si>
    <t>39 011 288 600 085</t>
  </si>
  <si>
    <t>comptabilite-fournisseur@blanchon.com</t>
  </si>
  <si>
    <t>FR11390112886</t>
  </si>
  <si>
    <t>DOKA FRANCE sasu</t>
  </si>
  <si>
    <t>LE PERRAY EN YVELINES</t>
  </si>
  <si>
    <t>78610</t>
  </si>
  <si>
    <t>3 chemin des Iles</t>
  </si>
  <si>
    <t>0012p00004MXS8cAAH</t>
  </si>
  <si>
    <t>34 068 542 900 052</t>
  </si>
  <si>
    <t>comptabilitefournisseurs@doka.com</t>
  </si>
  <si>
    <t>FR85340685429</t>
  </si>
  <si>
    <t>NORMANVILLE</t>
  </si>
  <si>
    <t>27930</t>
  </si>
  <si>
    <t>22 Rue des Ombres</t>
  </si>
  <si>
    <t>001SZ000005GLqRYAW</t>
  </si>
  <si>
    <t>33 350 034 600 031</t>
  </si>
  <si>
    <t>comptabilite-fournisseurs@groupediffusionplus.fr</t>
  </si>
  <si>
    <t>FR79333500346</t>
  </si>
  <si>
    <t>HANSGROHE WASSELONNE sas</t>
  </si>
  <si>
    <t>WASSELONNE CEDEX</t>
  </si>
  <si>
    <t>67319</t>
  </si>
  <si>
    <t>Parc d'Activités "les Pins"</t>
  </si>
  <si>
    <t>0012p00004Rep83AAB</t>
  </si>
  <si>
    <t>39 461 944 900 041</t>
  </si>
  <si>
    <t>comptabilite-wasselonne@hansgrohe.fr</t>
  </si>
  <si>
    <t>FR34394619449</t>
  </si>
  <si>
    <t>ORGANISATION ECONOMIQUE DU COGNAC sa - ORECO</t>
  </si>
  <si>
    <t>16100</t>
  </si>
  <si>
    <t>44 Boulevard Oscar Planat</t>
  </si>
  <si>
    <t>0012p00004RdvjLAAR</t>
  </si>
  <si>
    <t>90 572 055 300 015</t>
  </si>
  <si>
    <t>compta-finance@oreco.fr</t>
  </si>
  <si>
    <t>FR96905720553</t>
  </si>
  <si>
    <t>EURALIS HOLDING sa</t>
  </si>
  <si>
    <t>LESCAR</t>
  </si>
  <si>
    <t>64230</t>
  </si>
  <si>
    <t>Avenue Gaston Phoebus</t>
  </si>
  <si>
    <t>0012p00004NhW3CAAV</t>
  </si>
  <si>
    <t>38 787 999 200 015</t>
  </si>
  <si>
    <t>comptafour.siege@euralis.com</t>
  </si>
  <si>
    <t>FR52387879992</t>
  </si>
  <si>
    <t>STRASBOURG</t>
  </si>
  <si>
    <t>67000</t>
  </si>
  <si>
    <t>4A Place Adrien Zeller</t>
  </si>
  <si>
    <t>0012p00004UqvMeAAJ</t>
  </si>
  <si>
    <t>57 850 410 200 455</t>
  </si>
  <si>
    <t>compta-fournisseurs.fr@puma.com</t>
  </si>
  <si>
    <t>FR55578504102</t>
  </si>
  <si>
    <t>CHABANNE sas</t>
  </si>
  <si>
    <t>CHAMBOEUF</t>
  </si>
  <si>
    <t>42330</t>
  </si>
  <si>
    <t>La Grange - Route de Rivas</t>
  </si>
  <si>
    <t>0012p00004NuB2PAAV</t>
  </si>
  <si>
    <t>42 197 147 400 018</t>
  </si>
  <si>
    <t>compta-fournisseurs@chabanne.com</t>
  </si>
  <si>
    <t>FR26421971474</t>
  </si>
  <si>
    <t>SAINT ETIENNE DE SAINT GEOIRS</t>
  </si>
  <si>
    <t>38590</t>
  </si>
  <si>
    <t>127 Avenue Louis Bleriot</t>
  </si>
  <si>
    <t>001SZ000007iWoDYAU</t>
  </si>
  <si>
    <t>38 806 279 600 080</t>
  </si>
  <si>
    <t>acano@elydan.eu</t>
  </si>
  <si>
    <t>FR26388062796</t>
  </si>
  <si>
    <t>ETABLISSEMENTS ROLOT ET LEMASSON sasu</t>
  </si>
  <si>
    <t>001SZ000003pR9PYAU</t>
  </si>
  <si>
    <t>51 552 052 600 010</t>
  </si>
  <si>
    <t>comptafournisseurs@rolot.com</t>
  </si>
  <si>
    <t>FR89515520526</t>
  </si>
  <si>
    <t>GEORGES MONIN SAS</t>
  </si>
  <si>
    <t>BOURGES</t>
  </si>
  <si>
    <t>18000</t>
  </si>
  <si>
    <t>5 rue Ferdinand de Lesseps</t>
  </si>
  <si>
    <t>0012p00004QxSMFAA3</t>
  </si>
  <si>
    <t>57 372 137 000 050</t>
  </si>
  <si>
    <t>compta-frais2@monin.com</t>
  </si>
  <si>
    <t>FR02573721370</t>
  </si>
  <si>
    <t>PILEJE INDUSTRIE sas</t>
  </si>
  <si>
    <t>SAINT BONNET DE ROCHEFORT</t>
  </si>
  <si>
    <t>3800</t>
  </si>
  <si>
    <t>Les chemins des Ttiolans</t>
  </si>
  <si>
    <t>0012p00004Q6XHUAA3</t>
  </si>
  <si>
    <t>38 416 910 800 022</t>
  </si>
  <si>
    <t>comptafrs@pileje-industrie.com</t>
  </si>
  <si>
    <t>FR90384169108</t>
  </si>
  <si>
    <t>ISSY-LES-MOULINEAUX</t>
  </si>
  <si>
    <t>92130</t>
  </si>
  <si>
    <t>2 Rue du Docteur Lombard</t>
  </si>
  <si>
    <t>001SZ00000IY37lYAD</t>
  </si>
  <si>
    <t>54 207 663 300 123</t>
  </si>
  <si>
    <t>comptagenerale@cofigeo.fr</t>
  </si>
  <si>
    <t>FR79542076633</t>
  </si>
  <si>
    <t>LAFUMA MOBILIER S.A.S</t>
  </si>
  <si>
    <t>ANNEYRON</t>
  </si>
  <si>
    <t>6 rue Victoria Lafuma</t>
  </si>
  <si>
    <t>0012p00004RKFI5AAP</t>
  </si>
  <si>
    <t>79 868 925 300 010</t>
  </si>
  <si>
    <t>comptamob-frs@lafuma-mobilier.fr</t>
  </si>
  <si>
    <t>FR58798689253</t>
  </si>
  <si>
    <t>ELECTRIFIL AUTOMOTIVE sas</t>
  </si>
  <si>
    <t>MIRIBEL CEDEX</t>
  </si>
  <si>
    <t>1708</t>
  </si>
  <si>
    <t>ZI Ouest Beynost -
 77 allée des Grandes Combes</t>
  </si>
  <si>
    <t>32 343 851 500 021</t>
  </si>
  <si>
    <t>compta-tiers.efi@efiautomotive.com</t>
  </si>
  <si>
    <t>FR16323438515</t>
  </si>
  <si>
    <t>PDG PLASTIQUES sas</t>
  </si>
  <si>
    <t>MALESHERBES</t>
  </si>
  <si>
    <t>Baptiste VILLEVALOIS</t>
  </si>
  <si>
    <t>45330</t>
  </si>
  <si>
    <t>31 Route de Sermaises - ZI Secteur 2</t>
  </si>
  <si>
    <t>0012p00004NLHuzAAH</t>
  </si>
  <si>
    <t>33 146 822 300 028</t>
  </si>
  <si>
    <t>compta@pdg-plastiques.com</t>
  </si>
  <si>
    <t>FR63331468223</t>
  </si>
  <si>
    <t>SOCIETE CHARENTAISE DE DECOR sasu</t>
  </si>
  <si>
    <t>GENSAC LA PALLUE</t>
  </si>
  <si>
    <t>16130</t>
  </si>
  <si>
    <t>1 route des Grands Champs</t>
  </si>
  <si>
    <t>0012p00004O5X1OAAV</t>
  </si>
  <si>
    <t>35 372 671 400 028</t>
  </si>
  <si>
    <t>coralie.rouye@verallia.com</t>
  </si>
  <si>
    <t>FR57353726714</t>
  </si>
  <si>
    <t>SOCIETE DE DISTRIBUTION DE PRODUITS DE L'EDITION sas</t>
  </si>
  <si>
    <t>LAGNY-SUR-MARNE</t>
  </si>
  <si>
    <t>77400</t>
  </si>
  <si>
    <t>128 Avenue du Maréchal de Lattre de Tassigny</t>
  </si>
  <si>
    <t>001SZ000006LuzpYAC</t>
  </si>
  <si>
    <t>70 204 471 000 029</t>
  </si>
  <si>
    <t>corinne.ponton@sodis.fr</t>
  </si>
  <si>
    <t>FR11702044710</t>
  </si>
  <si>
    <t>CHEVRON ORONITE sasu</t>
  </si>
  <si>
    <t>LE HAVRE</t>
  </si>
  <si>
    <t>Usine de Gonfreville l'Orcher</t>
  </si>
  <si>
    <t>76600</t>
  </si>
  <si>
    <t>Route du Pont 8</t>
  </si>
  <si>
    <t>0012p00004Qu5XhAAJ</t>
  </si>
  <si>
    <t>56 206 163 000 025</t>
  </si>
  <si>
    <t>cosasaccountspayable@chevron.com</t>
  </si>
  <si>
    <t>FR49562061630</t>
  </si>
  <si>
    <t>CAILLAU sas</t>
  </si>
  <si>
    <t>ROMORANTIN-LANTHENAY</t>
  </si>
  <si>
    <t>Direction des Ressources Humaines</t>
  </si>
  <si>
    <t>41200</t>
  </si>
  <si>
    <t>1 Avenue Gustave Eiffel</t>
  </si>
  <si>
    <t>0012p00004SgjmsAAB</t>
  </si>
  <si>
    <t>55 207 574 900 101</t>
  </si>
  <si>
    <t>cphilibert@caillau.com</t>
  </si>
  <si>
    <t>FR80552075749</t>
  </si>
  <si>
    <t>AVRIL sca</t>
  </si>
  <si>
    <t>75008</t>
  </si>
  <si>
    <t>11 rue de Monceau</t>
  </si>
  <si>
    <t>79 940 305 000 013</t>
  </si>
  <si>
    <t>csp-fournisseurs@groupeavril.com</t>
  </si>
  <si>
    <t>FR77799403050</t>
  </si>
  <si>
    <t>LAGRANGE PRODUCTION sasu</t>
  </si>
  <si>
    <t>LA MAGDELAINE SUR TARN</t>
  </si>
  <si>
    <t>31340</t>
  </si>
  <si>
    <t>2 route de Montauban</t>
  </si>
  <si>
    <t>0012p00004MzXeGAAV</t>
  </si>
  <si>
    <t>72 080 309 700 016</t>
  </si>
  <si>
    <t>cspli.lagrange@lapeyre.fr</t>
  </si>
  <si>
    <t>FR40720803097</t>
  </si>
  <si>
    <t>MERITOR INDUSTRIAL PRODUCTS SAINT-ETIENNE sasu</t>
  </si>
  <si>
    <t>SAINT-ETIENNE</t>
  </si>
  <si>
    <t>42000</t>
  </si>
  <si>
    <t>4 rue Jean Servanton</t>
  </si>
  <si>
    <t>0012p00004QupPeAAJ</t>
  </si>
  <si>
    <t>33 533 944 600 015</t>
  </si>
  <si>
    <t>dany.incardona@cummins.com</t>
  </si>
  <si>
    <t>FR19335339446</t>
  </si>
  <si>
    <t>SECATEURS PRADINES sasu</t>
  </si>
  <si>
    <t>BAUGE EN ANJOU</t>
  </si>
  <si>
    <t>49150</t>
  </si>
  <si>
    <t>1 rue Roger Deville</t>
  </si>
  <si>
    <t>0012p00004PZeRuAAL</t>
  </si>
  <si>
    <t>84 485 602 100 010</t>
  </si>
  <si>
    <t>delphine.bannier@snapon.com</t>
  </si>
  <si>
    <t>FR76844856021</t>
  </si>
  <si>
    <t>POSSON PACKAGING sasu</t>
  </si>
  <si>
    <t>LOUAILLES</t>
  </si>
  <si>
    <t>72300</t>
  </si>
  <si>
    <t>134 Rue d'Italie</t>
  </si>
  <si>
    <t>001SZ000001Z3IcYAK</t>
  </si>
  <si>
    <t>57 725 008 700 035</t>
  </si>
  <si>
    <t>demat@posson.fr</t>
  </si>
  <si>
    <t>FR58577250087</t>
  </si>
  <si>
    <t>CORTEVA AGRISCIENCE FRANCE SAS</t>
  </si>
  <si>
    <t>GUYANCOURT</t>
  </si>
  <si>
    <t>78280</t>
  </si>
  <si>
    <t>1 bis Avenue du 8 Mai 1945</t>
  </si>
  <si>
    <t>001SZ000001uLsPYAU</t>
  </si>
  <si>
    <t>95 041 749 300 273</t>
  </si>
  <si>
    <t>denise.m.feder@corteva.com</t>
  </si>
  <si>
    <t>FR56950417493</t>
  </si>
  <si>
    <t>DIANA sasu</t>
  </si>
  <si>
    <t>SAINT NOLFF</t>
  </si>
  <si>
    <t>56250</t>
  </si>
  <si>
    <t>10 Rue de la Ferme de Talhouet</t>
  </si>
  <si>
    <t>001SZ000003ZYbbYAG</t>
  </si>
  <si>
    <t>49 841 930 800 024</t>
  </si>
  <si>
    <t>dianasas.accounting@symrise.com</t>
  </si>
  <si>
    <t>FR26498419308</t>
  </si>
  <si>
    <t>TORAY FILMS EUROPE sasu</t>
  </si>
  <si>
    <t>SAINT-MAURICE-DE-BEYNOST</t>
  </si>
  <si>
    <t>1700</t>
  </si>
  <si>
    <t>Place d’Arménie</t>
  </si>
  <si>
    <t>50 245 404 400 012</t>
  </si>
  <si>
    <t>e.supplierinvoice@torayfilms.eu</t>
  </si>
  <si>
    <t>FR89502454044</t>
  </si>
  <si>
    <t>ELYSEE COSMETIQUES sasu</t>
  </si>
  <si>
    <t>FORBACH</t>
  </si>
  <si>
    <t>57600</t>
  </si>
  <si>
    <t>Zac Technopole Sud</t>
  </si>
  <si>
    <t>001SZ000003m67wYAA</t>
  </si>
  <si>
    <t>39 488 210 400 026</t>
  </si>
  <si>
    <t>ec.invoice@maxim-gruppe.de</t>
  </si>
  <si>
    <t>FR68394882104</t>
  </si>
  <si>
    <t>ACIAL sas</t>
  </si>
  <si>
    <t>SAINT AIGNAN</t>
  </si>
  <si>
    <t>41110</t>
  </si>
  <si>
    <t>14 avenue du Blanc</t>
  </si>
  <si>
    <t>0012p00004Tmp63AAB</t>
  </si>
  <si>
    <t>59 582 037 400 014</t>
  </si>
  <si>
    <t>efact.fournisseur@acial.com</t>
  </si>
  <si>
    <t>FR36595820374</t>
  </si>
  <si>
    <t>FOSSIL FRANCE sas</t>
  </si>
  <si>
    <t>MONSWILLER</t>
  </si>
  <si>
    <t>67700</t>
  </si>
  <si>
    <t>Rue du Martelberg</t>
  </si>
  <si>
    <t>0012p00004NKtd3AAD</t>
  </si>
  <si>
    <t>42 512 288 400 025</t>
  </si>
  <si>
    <t>eggstaett-ssc_ap_fr_invoices@fossil.com</t>
  </si>
  <si>
    <t>FR54425122884</t>
  </si>
  <si>
    <t>EURO-INFORMATION - Européenne de Traitement de l'Information sas</t>
  </si>
  <si>
    <t>4 Rue Frédéric-Guillaume Raiffeisen</t>
  </si>
  <si>
    <t>0012p00004Q7pIGAAZ</t>
  </si>
  <si>
    <t>31 273 067 400 016</t>
  </si>
  <si>
    <t>EICOMPTABILITE@e-i.com</t>
  </si>
  <si>
    <t>FR80312730674</t>
  </si>
  <si>
    <t>FREUDENBERG JOINTS PLATS sas</t>
  </si>
  <si>
    <t>CHAMBORET</t>
  </si>
  <si>
    <t>87140</t>
  </si>
  <si>
    <t>2 Route de Nantiat - Le Betout</t>
  </si>
  <si>
    <t>001SZ000009X6hPYAS</t>
  </si>
  <si>
    <t>75 950 056 400 043</t>
  </si>
  <si>
    <t>einvoice-fr@fst.com</t>
  </si>
  <si>
    <t>FR28759500564</t>
  </si>
  <si>
    <t>M. CHAPOUTIER sa</t>
  </si>
  <si>
    <t>TAIN L'HERMITAGE</t>
  </si>
  <si>
    <t>26600</t>
  </si>
  <si>
    <t>18 Avenue du Docteur Paul Durand</t>
  </si>
  <si>
    <t>0012p00004MUNbhAAH</t>
  </si>
  <si>
    <t>43 558 047 700 014</t>
  </si>
  <si>
    <t>ekasbarian@chapoutier.com</t>
  </si>
  <si>
    <t>FR26435580477</t>
  </si>
  <si>
    <t>BIC RASOIRS sasu</t>
  </si>
  <si>
    <t>LONGUEIL SAINTE MARIE</t>
  </si>
  <si>
    <t>60126</t>
  </si>
  <si>
    <t>422 rue du Port Salut</t>
  </si>
  <si>
    <t>0012p00004PmyC7AAJ</t>
  </si>
  <si>
    <t>92 582 007 800 010</t>
  </si>
  <si>
    <t>elodie.linet@bicworld.com</t>
  </si>
  <si>
    <t>FR76925820078</t>
  </si>
  <si>
    <t>VISKASE sas</t>
  </si>
  <si>
    <t>THAON-LES-VOSGES</t>
  </si>
  <si>
    <t>88150</t>
  </si>
  <si>
    <t>9 Rue pierre de Coubertin</t>
  </si>
  <si>
    <t>0012p00004SyCoPAAV</t>
  </si>
  <si>
    <t>54 203 685 000 056</t>
  </si>
  <si>
    <t>Factures originale électronique à</t>
  </si>
  <si>
    <t>Elodie.martinerie@viskase.com</t>
  </si>
  <si>
    <t>FR40542036850</t>
  </si>
  <si>
    <t>WHAT'S COOKING FRANCE sas</t>
  </si>
  <si>
    <t>MEZIDON VALLEE D'AUGE</t>
  </si>
  <si>
    <t>14270</t>
  </si>
  <si>
    <t>ZI espace Zuckermann</t>
  </si>
  <si>
    <t>0012p00004OY9eSAAT</t>
  </si>
  <si>
    <t>32 230 419 700 021</t>
  </si>
  <si>
    <t>elodie.saudain@whatscooking.group</t>
  </si>
  <si>
    <t>FR16322304197</t>
  </si>
  <si>
    <t>EARLY MAKERS GROUP sa</t>
  </si>
  <si>
    <t>ECULLY</t>
  </si>
  <si>
    <t>69130</t>
  </si>
  <si>
    <t>23 Avenue Guy de Collonge</t>
  </si>
  <si>
    <t>84 189 203 700 018</t>
  </si>
  <si>
    <t>em-earlymakers@factures.epithete.com</t>
  </si>
  <si>
    <t>FR17841892037</t>
  </si>
  <si>
    <t>PONTCHATEAU</t>
  </si>
  <si>
    <t>44160</t>
  </si>
  <si>
    <t>1 Rue Gutenberg</t>
  </si>
  <si>
    <t>62 202 434 300 047</t>
  </si>
  <si>
    <t>emeartpinv@corning.com</t>
  </si>
  <si>
    <t>FR10642024343</t>
  </si>
  <si>
    <t>ROCHLING INDUSTRIAL NANCY sas</t>
  </si>
  <si>
    <t>MAXEVILLE</t>
  </si>
  <si>
    <t>54320</t>
  </si>
  <si>
    <t>8 Rue André Fruchard</t>
  </si>
  <si>
    <t>0012p00004RfghDAAR</t>
  </si>
  <si>
    <t>34 234 075 900 030</t>
  </si>
  <si>
    <t>epique@roechling.com</t>
  </si>
  <si>
    <t>FR63342340759</t>
  </si>
  <si>
    <t>CENTRES DE RECHERCHE ET DEVELOPPEMENT NESTLE sas</t>
  </si>
  <si>
    <t>AUBIGNY</t>
  </si>
  <si>
    <t>80800</t>
  </si>
  <si>
    <t>Rue de l'Europe - BP 47</t>
  </si>
  <si>
    <t>72 204 555 600 163</t>
  </si>
  <si>
    <t>etienne.outrequin@rdam.nestle.com</t>
  </si>
  <si>
    <t>FR95722045556</t>
  </si>
  <si>
    <t>VOLKSWAGEN BANK GESELLSCHAFT MIT BESCHRAENKTER HAFTUNG</t>
  </si>
  <si>
    <t>ROISSY EN FRANCE</t>
  </si>
  <si>
    <t>Service RH</t>
  </si>
  <si>
    <t>95700</t>
  </si>
  <si>
    <t>15 avenue de la Demi-Lune</t>
  </si>
  <si>
    <t>0012p00004MyR02AAF</t>
  </si>
  <si>
    <t>45 161 890 400 051</t>
  </si>
  <si>
    <t>VOLKSWAGEN BANK GMBH</t>
  </si>
  <si>
    <t>extern.melanie.suc@vwfs.com</t>
  </si>
  <si>
    <t>FR09451618904</t>
  </si>
  <si>
    <t>FRENEHARD ET MICHAUX HOLDING sas</t>
  </si>
  <si>
    <t>SAINT SYMPHORIEN DES BRUYERES</t>
  </si>
  <si>
    <t>61300</t>
  </si>
  <si>
    <t>Z.A. Les Bredollières</t>
  </si>
  <si>
    <t>001SZ000000kMNKYA2</t>
  </si>
  <si>
    <t>53 545 005 000 120</t>
  </si>
  <si>
    <t>f.gosselin@frenehard.com</t>
  </si>
  <si>
    <t>FR92535450050</t>
  </si>
  <si>
    <t>FROMAGERIE DE VIHIERS sasu</t>
  </si>
  <si>
    <t>LYS HAUT LAYON</t>
  </si>
  <si>
    <t>49310</t>
  </si>
  <si>
    <t>2 Route de Niort Saint-Hilaire du Bois</t>
  </si>
  <si>
    <t>001SZ000003vhMhYAI</t>
  </si>
  <si>
    <t>35 054 671 900 013</t>
  </si>
  <si>
    <t>fabienne.richou@fromarsac.fr</t>
  </si>
  <si>
    <t>FR22350546719</t>
  </si>
  <si>
    <t>ALAIN GLON HOLDING sa</t>
  </si>
  <si>
    <t>PONTIVY</t>
  </si>
  <si>
    <t>56300</t>
  </si>
  <si>
    <t>2 Rue Colonel Felix Robo</t>
  </si>
  <si>
    <t>001SZ000003ZKzrYAG</t>
  </si>
  <si>
    <t>51 424 257 700 070</t>
  </si>
  <si>
    <t>fact.edi@aghfrance.com</t>
  </si>
  <si>
    <t>FR70514242577</t>
  </si>
  <si>
    <t>COMATELEC SCHREDER sas</t>
  </si>
  <si>
    <t>VILLEPINTE</t>
  </si>
  <si>
    <t>Département RH</t>
  </si>
  <si>
    <t>93420</t>
  </si>
  <si>
    <t>10 Allée des Cascades</t>
  </si>
  <si>
    <t>0012p00004Rh0S2AAJ</t>
  </si>
  <si>
    <t>57 820 069 300 070</t>
  </si>
  <si>
    <t>facturation.fournisseur@comatelec.fr</t>
  </si>
  <si>
    <t>FR76578200693</t>
  </si>
  <si>
    <t>FROMAGERIES PERREAULT sas</t>
  </si>
  <si>
    <t>AHUN</t>
  </si>
  <si>
    <t>23150</t>
  </si>
  <si>
    <t>Busseau-sur-Creuse</t>
  </si>
  <si>
    <t>0012p00004UJEQjAAP</t>
  </si>
  <si>
    <t>31 608 562 000 052</t>
  </si>
  <si>
    <t>facture.fournisseur@perrault.fr</t>
  </si>
  <si>
    <t>FR04316085620</t>
  </si>
  <si>
    <t>EUROLYSINE sasu</t>
  </si>
  <si>
    <t>AMIENS Cedex 2</t>
  </si>
  <si>
    <t>80084</t>
  </si>
  <si>
    <t>60 Rue de Vaux - CS 18018</t>
  </si>
  <si>
    <t>92 884 312 700 020</t>
  </si>
  <si>
    <t>facture@dig.eurolysine.com</t>
  </si>
  <si>
    <t>FR14928843127</t>
  </si>
  <si>
    <t>NUTRISET sas</t>
  </si>
  <si>
    <t>MALAUNAY</t>
  </si>
  <si>
    <t>76770</t>
  </si>
  <si>
    <t>Route du Bois Ricard</t>
  </si>
  <si>
    <t>001SZ000000rMTqYAM</t>
  </si>
  <si>
    <t>33 798 679 800 029</t>
  </si>
  <si>
    <t>facture@nutriset.fr</t>
  </si>
  <si>
    <t>FR06337986798</t>
  </si>
  <si>
    <t>ADECCO</t>
  </si>
  <si>
    <t>ADECCO FRANCE</t>
  </si>
  <si>
    <t>LYON Cedex</t>
  </si>
  <si>
    <t>Service fournisseurs - Code analytique DSI</t>
  </si>
  <si>
    <t>69307</t>
  </si>
  <si>
    <t>TSA 80010</t>
  </si>
  <si>
    <t>001200000027VD7AAM</t>
  </si>
  <si>
    <t>ADCO-00001</t>
  </si>
  <si>
    <t>99882350406396</t>
  </si>
  <si>
    <t>facturefournisseur.pdf@adeccogroup.com</t>
  </si>
  <si>
    <t>FR68998823504</t>
  </si>
  <si>
    <t>ADECCO OUTSOURCING sasu</t>
  </si>
  <si>
    <t>VILLEURBANNE</t>
  </si>
  <si>
    <t>G010</t>
  </si>
  <si>
    <t>69100</t>
  </si>
  <si>
    <t>2 Rue Henri Legay</t>
  </si>
  <si>
    <t>001SZ000004LSLbYAO</t>
  </si>
  <si>
    <t>32 733 601 200 189</t>
  </si>
  <si>
    <t>FR30327336012</t>
  </si>
  <si>
    <t>PONTOON sasu</t>
  </si>
  <si>
    <t>LYON CEDEX 07</t>
  </si>
  <si>
    <t>Comptabilité Fournisseur    Code analytique: A03</t>
  </si>
  <si>
    <t>69407</t>
  </si>
  <si>
    <t>TSA 30014</t>
  </si>
  <si>
    <t>0012p00004RLmOTAA1</t>
  </si>
  <si>
    <t>32 582 075 100 080</t>
  </si>
  <si>
    <t>PONTOON sasu - Comptabilité Fournisseur</t>
  </si>
  <si>
    <t>FR26323962092</t>
  </si>
  <si>
    <t>AUBIN IMPRIMEUR sasu</t>
  </si>
  <si>
    <t>LIGUGE</t>
  </si>
  <si>
    <t>86240</t>
  </si>
  <si>
    <t>Chemin des 2 Croix</t>
  </si>
  <si>
    <t>001SZ000002KhKgYAK</t>
  </si>
  <si>
    <t>42 301 000 800 013</t>
  </si>
  <si>
    <t>facturefournisseur@aubinimprimeur.fr</t>
  </si>
  <si>
    <t>FR85423010008</t>
  </si>
  <si>
    <t>BRANDT FRANCE sas</t>
  </si>
  <si>
    <t>RUEIL-MALMAISON</t>
  </si>
  <si>
    <t>92500</t>
  </si>
  <si>
    <t>89-91 Boulevard Franklin Roosevelt - 
 CS 30002</t>
  </si>
  <si>
    <t>0012p00004Tlp6NAAR</t>
  </si>
  <si>
    <t>80 125 053 100 028</t>
  </si>
  <si>
    <t>facturefournisseur@groupebrandt.com</t>
  </si>
  <si>
    <t>FR37801250531</t>
  </si>
  <si>
    <t>VOLKSWAGEN GROUP FRANCE sasu</t>
  </si>
  <si>
    <t>VILLIERS- COTTERETS</t>
  </si>
  <si>
    <t>2600</t>
  </si>
  <si>
    <t>11 Avenue de Boursone</t>
  </si>
  <si>
    <t>001SZ000003pop3YAA</t>
  </si>
  <si>
    <t>83 227 737 000 017</t>
  </si>
  <si>
    <t>facture-fournisseur@volkswagengroup.fr</t>
  </si>
  <si>
    <t>FR33832277370</t>
  </si>
  <si>
    <t>VPK CORRUGATING sasu</t>
  </si>
  <si>
    <t>SAINT QUENTIN</t>
  </si>
  <si>
    <t>2315</t>
  </si>
  <si>
    <t>ZI Rouvroy Morcourt</t>
  </si>
  <si>
    <t>0012p00004OKIFnAAP</t>
  </si>
  <si>
    <t>32 015 361 200 074</t>
  </si>
  <si>
    <t>factures.corrugating@vpkgroup.com</t>
  </si>
  <si>
    <t>FR22320153612</t>
  </si>
  <si>
    <t>ICARE sas</t>
  </si>
  <si>
    <t>LOMME</t>
  </si>
  <si>
    <t>59160</t>
  </si>
  <si>
    <t>137 rue de l'Egalité</t>
  </si>
  <si>
    <t>0012p00004MUTl1AAH</t>
  </si>
  <si>
    <t>40 129 439 200 022</t>
  </si>
  <si>
    <t>factures.demat@groupesylvagreg.fr</t>
  </si>
  <si>
    <t>FR86401294392</t>
  </si>
  <si>
    <t>GHM sasu</t>
  </si>
  <si>
    <t>SOMMEVOIRE</t>
  </si>
  <si>
    <t>52220</t>
  </si>
  <si>
    <t>Rue Antoine Durenne</t>
  </si>
  <si>
    <t>001SZ000003nGUvYAM</t>
  </si>
  <si>
    <t>52 890 204 200 027</t>
  </si>
  <si>
    <t>factures.fournisseurs@ghm.fr</t>
  </si>
  <si>
    <t>FR23528902042</t>
  </si>
  <si>
    <t>GROUPE MAINE sasu</t>
  </si>
  <si>
    <t>AMBRIERES-LES-VALLEES</t>
  </si>
  <si>
    <t>53300</t>
  </si>
  <si>
    <t>13 Rue du Pas</t>
  </si>
  <si>
    <t>001SZ0000010xfSYAQ</t>
  </si>
  <si>
    <t>73 625 007 700 012</t>
  </si>
  <si>
    <t>factures.fournisseurs@groupe-maine.com</t>
  </si>
  <si>
    <t>FR06736250077</t>
  </si>
  <si>
    <t>PIERRE FABRE MEDICAMENT sas</t>
  </si>
  <si>
    <t>GAILLAC</t>
  </si>
  <si>
    <t>81600</t>
  </si>
  <si>
    <t>16 Rue Jean Rostand</t>
  </si>
  <si>
    <t>0012p00004Ns8DaAAJ</t>
  </si>
  <si>
    <t>32 611 850 200 136</t>
  </si>
  <si>
    <t>factures.fournisseurs@pierre-fabre.com</t>
  </si>
  <si>
    <t>FR35326118502</t>
  </si>
  <si>
    <t>ABB FRANCE sas</t>
  </si>
  <si>
    <t>Service Comptable</t>
  </si>
  <si>
    <t>324 Rue du Chat Botté - CS20400 BEYNOST</t>
  </si>
  <si>
    <t>33 514 631 200 509</t>
  </si>
  <si>
    <t>factures.fournisseursabb@ironmountain.fr</t>
  </si>
  <si>
    <t>FR95335146312</t>
  </si>
  <si>
    <t>INTERFORUM sas</t>
  </si>
  <si>
    <t>75013</t>
  </si>
  <si>
    <t>92 Avenue de France</t>
  </si>
  <si>
    <t>001SZ000005J0EQYA0</t>
  </si>
  <si>
    <t>61 203 907 300 400</t>
  </si>
  <si>
    <t>factures.interforum@interforum.fr</t>
  </si>
  <si>
    <t>FR60612039073</t>
  </si>
  <si>
    <t>RD ANGERS sasu</t>
  </si>
  <si>
    <t>SAINT-BARTHÉLEMY-D'ANJOU CEDEX</t>
  </si>
  <si>
    <t>49180</t>
  </si>
  <si>
    <t>6 rue du Bois Rinier</t>
  </si>
  <si>
    <t>0012p00004MSGzvAAH</t>
  </si>
  <si>
    <t>84 972 616 100 029</t>
  </si>
  <si>
    <t>factures.irigo@ratpdev.com</t>
  </si>
  <si>
    <t>FR65849726161</t>
  </si>
  <si>
    <t>SKIS ROSSIGNOL - CLUB ROSSIGNOL sasu</t>
  </si>
  <si>
    <t>SAINT-JEAN-DE-MOIRANS</t>
  </si>
  <si>
    <t>38430</t>
  </si>
  <si>
    <t>98 Rue Louis Barran</t>
  </si>
  <si>
    <t>001SZ00000F7jSnYAJ</t>
  </si>
  <si>
    <t>5 650 295 800 095</t>
  </si>
  <si>
    <t>factures.rossignol@rossignol.com</t>
  </si>
  <si>
    <t>FR28056502958</t>
  </si>
  <si>
    <t>CHEDDITE FRANCE sa</t>
  </si>
  <si>
    <t>BOURG-LES-VALENCE</t>
  </si>
  <si>
    <t>26500</t>
  </si>
  <si>
    <t>99 Avenue de Lyon</t>
  </si>
  <si>
    <t>0012p00004RmmCBAAZ</t>
  </si>
  <si>
    <t>31 920 072 100 011</t>
  </si>
  <si>
    <t>factures@cheddite.com</t>
  </si>
  <si>
    <t>FR36319200721</t>
  </si>
  <si>
    <t>SOCIETE FINANCIERE GALLAUD sas</t>
  </si>
  <si>
    <t>ARGENTON SUR CREUSE</t>
  </si>
  <si>
    <t>36200</t>
  </si>
  <si>
    <t>Zone Industrielle Les Narrons</t>
  </si>
  <si>
    <t>0012p00004SfzWLAAZ</t>
  </si>
  <si>
    <t>40 363 004 900 027</t>
  </si>
  <si>
    <t>factures@gallaud.com</t>
  </si>
  <si>
    <t>FR68403630049</t>
  </si>
  <si>
    <t>PRODUITS BERGER sasu</t>
  </si>
  <si>
    <t>GRAND-BOURGTHEROULDE</t>
  </si>
  <si>
    <t>27520</t>
  </si>
  <si>
    <t>1342 rue d'Elbeuf - 
 Bourgtheroulde-Infreville</t>
  </si>
  <si>
    <t>0012p00004NeUmlAAF</t>
  </si>
  <si>
    <t>55 208 777 700 033</t>
  </si>
  <si>
    <t>factures@maisonberger.fr</t>
  </si>
  <si>
    <t>FR80552087777</t>
  </si>
  <si>
    <t>NORAC sas</t>
  </si>
  <si>
    <t>RENNES</t>
  </si>
  <si>
    <t>35000</t>
  </si>
  <si>
    <t>2 et 3 place Hoche</t>
  </si>
  <si>
    <t>0012p00004TGJy0AAH</t>
  </si>
  <si>
    <t>47 904 228 500 029</t>
  </si>
  <si>
    <t>factures@norac.fr</t>
  </si>
  <si>
    <t>FR87479042285</t>
  </si>
  <si>
    <t>SNF SA - WATER SCIENCE</t>
  </si>
  <si>
    <t>ANDREZIEUX</t>
  </si>
  <si>
    <t>42163</t>
  </si>
  <si>
    <t>ZAC de Milieux, Rue Adrienne Bolland</t>
  </si>
  <si>
    <t>001SZ0000026yGWYAY</t>
  </si>
  <si>
    <t>43 000 664 300 034</t>
  </si>
  <si>
    <t>factures@snf.com</t>
  </si>
  <si>
    <t>FR63430006643</t>
  </si>
  <si>
    <t>PICOT sasu</t>
  </si>
  <si>
    <t>CONGRIER</t>
  </si>
  <si>
    <t>53800</t>
  </si>
  <si>
    <t>Le Bas Rocher</t>
  </si>
  <si>
    <t>001SZ00000Is7a1YAB</t>
  </si>
  <si>
    <t>83 092 268 800 015</t>
  </si>
  <si>
    <t>factures_picot@dirickx.com</t>
  </si>
  <si>
    <t>FR93830922688</t>
  </si>
  <si>
    <t>APPLICATION TRAVAUX SPECIAUX - A.T.S. sas</t>
  </si>
  <si>
    <t>BALLAN MIRE</t>
  </si>
  <si>
    <t>Madame Virginie PAUL</t>
  </si>
  <si>
    <t>37510</t>
  </si>
  <si>
    <t>4 impasse de la Briaudière</t>
  </si>
  <si>
    <t>0012p00004MW9ZbAAL</t>
  </si>
  <si>
    <t>38 310 234 000 023</t>
  </si>
  <si>
    <t>facturesats@ats-centre.fr</t>
  </si>
  <si>
    <t>FR10383102340</t>
  </si>
  <si>
    <t>CRUSTA C sas</t>
  </si>
  <si>
    <t>L'ISLE JOURDAIN</t>
  </si>
  <si>
    <t>32600</t>
  </si>
  <si>
    <t>Route de Toulouse - Z.I. Buconis</t>
  </si>
  <si>
    <t>0012p00004NhTIRAA3</t>
  </si>
  <si>
    <t>45 035 178 800 010</t>
  </si>
  <si>
    <t>service-fournisseurs@crustac.fr</t>
  </si>
  <si>
    <t>FR91450351788</t>
  </si>
  <si>
    <t>ETABLISSEMENTS GEORGES DAVID sas</t>
  </si>
  <si>
    <t>OYONNAX</t>
  </si>
  <si>
    <t>36-40 Rue des Carmes</t>
  </si>
  <si>
    <t>001SZ000008v6tjYAA</t>
  </si>
  <si>
    <t>76 520 081 100 014</t>
  </si>
  <si>
    <t>factures-fourn@groupe-eda.com</t>
  </si>
  <si>
    <t>FR57765200811</t>
  </si>
  <si>
    <t>POINT. P S.A.S.</t>
  </si>
  <si>
    <t>BRIE COMTE ROBERT</t>
  </si>
  <si>
    <t>IDF - BCR</t>
  </si>
  <si>
    <t>77170</t>
  </si>
  <si>
    <t>9 rue Chappe Gessalin</t>
  </si>
  <si>
    <t>001SZ000004rtaLYAQ</t>
  </si>
  <si>
    <t>69 568 010 802 753</t>
  </si>
  <si>
    <t>NANTES</t>
  </si>
  <si>
    <t>44100</t>
  </si>
  <si>
    <t>4 Boulevard Jean Moulin - 
 CS10429</t>
  </si>
  <si>
    <t>FR73695680108</t>
  </si>
  <si>
    <t>AKWEL sa</t>
  </si>
  <si>
    <t>CHAMPFROMIER</t>
  </si>
  <si>
    <t>1410</t>
  </si>
  <si>
    <t>975 Route des Burgondes</t>
  </si>
  <si>
    <t>34 484 499 800 023</t>
  </si>
  <si>
    <t>facturesfrs.france@akwel-automotive.com</t>
  </si>
  <si>
    <t>FR33344844998</t>
  </si>
  <si>
    <t>GERFLOR sasu</t>
  </si>
  <si>
    <t>SAINT PAUL TROIS CHATEAUX</t>
  </si>
  <si>
    <t>Comptabilité Fournisseur -Centre de Service Partagé</t>
  </si>
  <si>
    <t>26130</t>
  </si>
  <si>
    <t>ZI du bois des lots - BP6</t>
  </si>
  <si>
    <t>72 658 015 200 155</t>
  </si>
  <si>
    <t>facturesgerflorsas@gerflor.com</t>
  </si>
  <si>
    <t>FR21726580152</t>
  </si>
  <si>
    <t>FIVES CRYO sas</t>
  </si>
  <si>
    <t>GOLBEY</t>
  </si>
  <si>
    <t>88190</t>
  </si>
  <si>
    <t>25 rue du Fort</t>
  </si>
  <si>
    <t>0012p00004Q988TAAR</t>
  </si>
  <si>
    <t>33 496 194 300 019</t>
  </si>
  <si>
    <t>fcryo.factures@fivesgroup.com</t>
  </si>
  <si>
    <t>FR82334961943</t>
  </si>
  <si>
    <t>FINANCIERE DIMOTRANS sasu</t>
  </si>
  <si>
    <t>PUSIGNAN</t>
  </si>
  <si>
    <t>69282</t>
  </si>
  <si>
    <t>Chemin du bois des Aies</t>
  </si>
  <si>
    <t>001SZ000006i9oxYAA</t>
  </si>
  <si>
    <t>49 931 817 800 021</t>
  </si>
  <si>
    <t>FINANCIERE DIMOTRANS sas</t>
  </si>
  <si>
    <t>fgfin@dimotrans-group.com</t>
  </si>
  <si>
    <t>FR36499318178</t>
  </si>
  <si>
    <t>FARMEA sasu</t>
  </si>
  <si>
    <t>ANGERS</t>
  </si>
  <si>
    <t>49007</t>
  </si>
  <si>
    <t>10 rue Bouché Thomas</t>
  </si>
  <si>
    <t>0012p00004TGvUGAA1</t>
  </si>
  <si>
    <t>48 838 591 500 027</t>
  </si>
  <si>
    <t>finance.farmea@fareva.com</t>
  </si>
  <si>
    <t>FR14488385915</t>
  </si>
  <si>
    <t>GRANDVISION FRANCE sasu</t>
  </si>
  <si>
    <t>NOUAN-LE-FUZELIER</t>
  </si>
  <si>
    <t>41600</t>
  </si>
  <si>
    <t>Rue du Four à Chaux - ZA DES LOUAITIERES</t>
  </si>
  <si>
    <t>001SZ000007aM4TYAU</t>
  </si>
  <si>
    <t>49 278 795 700 041</t>
  </si>
  <si>
    <t>camille.niquet@grandvision.fr</t>
  </si>
  <si>
    <t>FR75492787957</t>
  </si>
  <si>
    <t>WAVIN FRANCE sasu</t>
  </si>
  <si>
    <t>VARENNES SUR ALLIER</t>
  </si>
  <si>
    <t>3150</t>
  </si>
  <si>
    <t>1 ZI La Feuillouse</t>
  </si>
  <si>
    <t>83 715 042 400 039</t>
  </si>
  <si>
    <t>finance.fr@wavin.com</t>
  </si>
  <si>
    <t>FR34837150424</t>
  </si>
  <si>
    <t>BISCHHEIM</t>
  </si>
  <si>
    <t>67800</t>
  </si>
  <si>
    <t>18 Rue de la Robertsau</t>
  </si>
  <si>
    <t>55 850 395 900 022</t>
  </si>
  <si>
    <t>financefr@csmingredients.com</t>
  </si>
  <si>
    <t>FR43558503959</t>
  </si>
  <si>
    <t>FRESENIUS KABI FRANCE sas</t>
  </si>
  <si>
    <t>SEVRES CEDEX</t>
  </si>
  <si>
    <t>Centre de coût 1N0308</t>
  </si>
  <si>
    <t>92316</t>
  </si>
  <si>
    <t>5 PLACE DU MARIVEL</t>
  </si>
  <si>
    <t>001SZ0000092rCqYAI</t>
  </si>
  <si>
    <t>41 987 578 600 032</t>
  </si>
  <si>
    <t>fk_france@fresenius-kabi.com</t>
  </si>
  <si>
    <t>FR17419875786</t>
  </si>
  <si>
    <t>FMC FRANCE sasu</t>
  </si>
  <si>
    <t>LYON</t>
  </si>
  <si>
    <t>69002</t>
  </si>
  <si>
    <t>11 bis Quai Perrache</t>
  </si>
  <si>
    <t>0012p00004RASj4AAH</t>
  </si>
  <si>
    <t>35 232 027 900 073</t>
  </si>
  <si>
    <t>fmcfr.ap@fmc.com</t>
  </si>
  <si>
    <t>FR58352320279</t>
  </si>
  <si>
    <t>FEDERAL MOGUL OPERATIONS FRANCE SAS</t>
  </si>
  <si>
    <t>ST JEAN DE LA RUELLE</t>
  </si>
  <si>
    <t>45140</t>
  </si>
  <si>
    <t>13 Place Paul Bert</t>
  </si>
  <si>
    <t>001SZ000003spJyYAI</t>
  </si>
  <si>
    <t>43 390 774 800 019</t>
  </si>
  <si>
    <t>fmof_stjean.invoices@tenneco.com</t>
  </si>
  <si>
    <t>FR37433907748</t>
  </si>
  <si>
    <t>MBS association</t>
  </si>
  <si>
    <t>MONTPELLIER</t>
  </si>
  <si>
    <t>Montpellier Business School</t>
  </si>
  <si>
    <t>34185</t>
  </si>
  <si>
    <t>2300, Avenue des Moulins</t>
  </si>
  <si>
    <t>0012p00004QeRmPAAV</t>
  </si>
  <si>
    <t>79 026 124 200 016</t>
  </si>
  <si>
    <t>fournisseurs.compta@montpellier-bs.com</t>
  </si>
  <si>
    <t>FR45790261242</t>
  </si>
  <si>
    <t>ABRISUD sasu</t>
  </si>
  <si>
    <t>ZI du Pont Peyrin</t>
  </si>
  <si>
    <t>0012p00004NKVGbAAP</t>
  </si>
  <si>
    <t>39 790 993 800 136</t>
  </si>
  <si>
    <t>fournisseurs@abrisud.fr</t>
  </si>
  <si>
    <t>FR05397909938</t>
  </si>
  <si>
    <t>LOC MARIA BISCUITS sasu</t>
  </si>
  <si>
    <t>LANVALLAY</t>
  </si>
  <si>
    <t>22100</t>
  </si>
  <si>
    <t>1 rue de Pélineuc</t>
  </si>
  <si>
    <t>0012p00004UIjdcAAD</t>
  </si>
  <si>
    <t>48 310 030 100 033</t>
  </si>
  <si>
    <t>fournisseurs@locmaria.fr</t>
  </si>
  <si>
    <t>FR53483100301</t>
  </si>
  <si>
    <t>ASSOCIATION SAINT-YVES (UCO)</t>
  </si>
  <si>
    <t>ANGERS CEDEX 1</t>
  </si>
  <si>
    <t>49008</t>
  </si>
  <si>
    <t>3 place André Leroy - BP 10808</t>
  </si>
  <si>
    <t>0012p00004U0KYmAAN</t>
  </si>
  <si>
    <t>78 611 668 100 010</t>
  </si>
  <si>
    <t>fournisseurs@styves.uco.fr</t>
  </si>
  <si>
    <t>FR16786116681</t>
  </si>
  <si>
    <t>PARKER HANNIFIN FRANCE sasu</t>
  </si>
  <si>
    <t>ANNEMASSE CEDEX</t>
  </si>
  <si>
    <t>74112</t>
  </si>
  <si>
    <t>17 Rue des Bûchillons
 CS80524 Ville la Grand</t>
  </si>
  <si>
    <t>001SZ00000IGD0iYAH</t>
  </si>
  <si>
    <t>77 811 603 800 010</t>
  </si>
  <si>
    <t>frap@parker.com</t>
  </si>
  <si>
    <t>FR58778116038</t>
  </si>
  <si>
    <t>ITRON FRANCE</t>
  </si>
  <si>
    <t>MASSY CEDEX</t>
  </si>
  <si>
    <t>91301</t>
  </si>
  <si>
    <t>15 Avenue du Maréchal Juin CS 35002</t>
  </si>
  <si>
    <t>001SZ000006BHIJYA4</t>
  </si>
  <si>
    <t>43 402 724 900 235</t>
  </si>
  <si>
    <t>SOUTH CITY DELIVERY CORK</t>
  </si>
  <si>
    <t>Ireland</t>
  </si>
  <si>
    <t>PO BOX 886</t>
  </si>
  <si>
    <t>FR28434027249</t>
  </si>
  <si>
    <t>CHEMVIRON FRANCE SAS</t>
  </si>
  <si>
    <t>0012p00004Rejx5AAB</t>
  </si>
  <si>
    <t>82 145 331 300 016</t>
  </si>
  <si>
    <t>frsaccountspayable.ccc@kuraray.com</t>
  </si>
  <si>
    <t>FR67821453313</t>
  </si>
  <si>
    <t>COLUMBIA SPORTSWEAR DISTRIBUTION sas</t>
  </si>
  <si>
    <t>RAILLENCOURT-SAINTE-OLLE</t>
  </si>
  <si>
    <t>59554</t>
  </si>
  <si>
    <t>1542 avenue des Deux Vallées - 
 Parc d'activité Actipole de l'A2</t>
  </si>
  <si>
    <t>001SZ000009sklTYAQ</t>
  </si>
  <si>
    <t>43 830 738 100 030</t>
  </si>
  <si>
    <t>frsapservices@columbia.com</t>
  </si>
  <si>
    <t>FR49438307381</t>
  </si>
  <si>
    <t>SWISS KRONO SAS</t>
  </si>
  <si>
    <t>SULLY SUR LOIRE</t>
  </si>
  <si>
    <t>Service Comptabilité fournisseurs</t>
  </si>
  <si>
    <t>45600</t>
  </si>
  <si>
    <t>Route de Cerdon</t>
  </si>
  <si>
    <t>0012p00004RJ0z9AAD</t>
  </si>
  <si>
    <t>33 949 483 300 025</t>
  </si>
  <si>
    <t>frsu.compta.fournisseurs@swisskrono.com</t>
  </si>
  <si>
    <t>FR31339494833</t>
  </si>
  <si>
    <t>GROUPE TELEGRAMME SERVICES sasu</t>
  </si>
  <si>
    <t>MORLAIX</t>
  </si>
  <si>
    <t>29600</t>
  </si>
  <si>
    <t>7 Voie d'accès au Port</t>
  </si>
  <si>
    <t>0012p00004PnMdVAAV</t>
  </si>
  <si>
    <t>81 538 783 200 018</t>
  </si>
  <si>
    <t>g.paugam@groupe-telegramme-services.fr</t>
  </si>
  <si>
    <t>FR48815387832</t>
  </si>
  <si>
    <t>LINDAL FRANCE sas</t>
  </si>
  <si>
    <t>VAL DE BRIEY</t>
  </si>
  <si>
    <t>54150</t>
  </si>
  <si>
    <t>4 rue Gustave Eiffel</t>
  </si>
  <si>
    <t>0012p00004UHmPUAA1</t>
  </si>
  <si>
    <t>6 820 114 400 026</t>
  </si>
  <si>
    <t>g_lfr_comptabilite@lindalgroup.com</t>
  </si>
  <si>
    <t>FR43682011440</t>
  </si>
  <si>
    <t>BALL AEROSOL PACKAGING FRANCE S.A.S</t>
  </si>
  <si>
    <t>VALSERHONE</t>
  </si>
  <si>
    <t>1200</t>
  </si>
  <si>
    <t>105 imp de la Valserine, Chatillon en Michaille</t>
  </si>
  <si>
    <t>0012p00004RejP0AAJ</t>
  </si>
  <si>
    <t>39 924 000 100 046</t>
  </si>
  <si>
    <t>gabriel.dalin@ball.com</t>
  </si>
  <si>
    <t>FR02399240001</t>
  </si>
  <si>
    <t>SAINT JEAN INDUSTRIES sas</t>
  </si>
  <si>
    <t>SAINT JEAN D'ARDIERES</t>
  </si>
  <si>
    <t>69220</t>
  </si>
  <si>
    <t>ZAC Des Gouchoux, BP186</t>
  </si>
  <si>
    <t>001SZ000004I86UYAS</t>
  </si>
  <si>
    <t>39 504 742 600 014</t>
  </si>
  <si>
    <t>gaelle.demeule@st-ji.com</t>
  </si>
  <si>
    <t>FR73395047426</t>
  </si>
  <si>
    <t>CROWN BEVCAN FRANCE SAS</t>
  </si>
  <si>
    <t>CUSTINES</t>
  </si>
  <si>
    <t>54670</t>
  </si>
  <si>
    <t>203 Boulevard de Finland Parc Eiffel - 
 Energie BP 18</t>
  </si>
  <si>
    <t>001SZ000000nFZ1YAM</t>
  </si>
  <si>
    <t>32 720 537 300 027</t>
  </si>
  <si>
    <t>gbr-wantage.frssc-ap@eur.crowncork.com</t>
  </si>
  <si>
    <t>FR90327205373</t>
  </si>
  <si>
    <t>DOLE</t>
  </si>
  <si>
    <t>39100</t>
  </si>
  <si>
    <t>2 Rue Berthollet</t>
  </si>
  <si>
    <t>64 204 437 400 501</t>
  </si>
  <si>
    <t>gfaucher@littelfuse.com</t>
  </si>
  <si>
    <t>FR60642044374</t>
  </si>
  <si>
    <t>ESTIVIN GROUPE HOLDING FINANCE sas - EGHF</t>
  </si>
  <si>
    <t>TOURS</t>
  </si>
  <si>
    <t>37000</t>
  </si>
  <si>
    <t>Avenue Vatel</t>
  </si>
  <si>
    <t>0012p00004NKu78AAD</t>
  </si>
  <si>
    <t>38 366 955 300 018</t>
  </si>
  <si>
    <t>helene.valaize@estivin.fr</t>
  </si>
  <si>
    <t>FR75383669553</t>
  </si>
  <si>
    <t>HM CLAUSE sas</t>
  </si>
  <si>
    <t>PORTES-LES-VALENCE</t>
  </si>
  <si>
    <t>26800</t>
  </si>
  <si>
    <t>83 Rue Louis de Saillant</t>
  </si>
  <si>
    <t>001SZ000006QSV4YAO</t>
  </si>
  <si>
    <t>43 548 054 600 108</t>
  </si>
  <si>
    <t>hmcinvoices@hmclause.com</t>
  </si>
  <si>
    <t>FR60435480546</t>
  </si>
  <si>
    <t>SARREL sas</t>
  </si>
  <si>
    <t>MAROLLES LES BRAULTS</t>
  </si>
  <si>
    <t>72260</t>
  </si>
  <si>
    <t>38 Rue Paul Chevalier</t>
  </si>
  <si>
    <t>0012p00004ReP31AAF</t>
  </si>
  <si>
    <t>5 950 050 400 044</t>
  </si>
  <si>
    <t>i.leroy@sarrel.com</t>
  </si>
  <si>
    <t>FR87059500504</t>
  </si>
  <si>
    <t>BASF AGRI PRODUCTION SAS</t>
  </si>
  <si>
    <t>ECULLY CEDEX</t>
  </si>
  <si>
    <t>21 Chemin de la Sauvegarde</t>
  </si>
  <si>
    <t>34 397 909 200 040</t>
  </si>
  <si>
    <t>ice_1296@basf.com</t>
  </si>
  <si>
    <t>FR72343979092</t>
  </si>
  <si>
    <t>COFEL INDUSTRIES sasu</t>
  </si>
  <si>
    <t>BOULOGNE BILLANCOURT</t>
  </si>
  <si>
    <t>92100</t>
  </si>
  <si>
    <t>57 rue Yves Kermen</t>
  </si>
  <si>
    <t>0012p00004QgLCNAA3</t>
  </si>
  <si>
    <t>44 368 190 300 094</t>
  </si>
  <si>
    <t>industries.fact@cofel.biz</t>
  </si>
  <si>
    <t>FR81443681903</t>
  </si>
  <si>
    <t>SARL MEWA</t>
  </si>
  <si>
    <t>AVERMES</t>
  </si>
  <si>
    <t>3000</t>
  </si>
  <si>
    <t>Rue Gebauer</t>
  </si>
  <si>
    <t>0012p00004RnNE1AAN</t>
  </si>
  <si>
    <t>31 345 554 500 118</t>
  </si>
  <si>
    <t>invoice.0070@mewa.fr</t>
  </si>
  <si>
    <t>FR50313455545</t>
  </si>
  <si>
    <t>MAVIC GROUP sasu</t>
  </si>
  <si>
    <t>CHAVANOD</t>
  </si>
  <si>
    <t>74650</t>
  </si>
  <si>
    <t>44 rue Saturne</t>
  </si>
  <si>
    <t>0012p00004MUTjIAAX</t>
  </si>
  <si>
    <t>88 766 916 600 043</t>
  </si>
  <si>
    <t>invoice@mavic.com</t>
  </si>
  <si>
    <t>FR65887669166</t>
  </si>
  <si>
    <t>MINITUBES sas</t>
  </si>
  <si>
    <t>GRENOBLE</t>
  </si>
  <si>
    <t>38100</t>
  </si>
  <si>
    <t>21 Rue Jean Vaujany</t>
  </si>
  <si>
    <t>42 145 405 900 047</t>
  </si>
  <si>
    <t>invoice@minitubes.com</t>
  </si>
  <si>
    <t>FR72421454059</t>
  </si>
  <si>
    <t>INTERNATIONAL PAPER SAINT-AMAND SAS</t>
  </si>
  <si>
    <t>SAINT AMAND VILLAGES</t>
  </si>
  <si>
    <t>50160</t>
  </si>
  <si>
    <t>Avenue de la Gare</t>
  </si>
  <si>
    <t>0012p00004O5US8AAN</t>
  </si>
  <si>
    <t>31 723 800 400 012</t>
  </si>
  <si>
    <t>facture originale électronique à</t>
  </si>
  <si>
    <t>invoice.france@ipaper.com</t>
  </si>
  <si>
    <t>FR76317238004</t>
  </si>
  <si>
    <t>SACMI sas</t>
  </si>
  <si>
    <t>GILLY SUR ISERE</t>
  </si>
  <si>
    <t>SOCIETE SAVOYARDE DE CONSTRUCTION     ET DE MATERIEL INDUSTRIEL sas</t>
  </si>
  <si>
    <t>73200</t>
  </si>
  <si>
    <t>396 route des Chênes</t>
  </si>
  <si>
    <t>0012p00004O61ZVAAZ</t>
  </si>
  <si>
    <t>74 602 036 100 034</t>
  </si>
  <si>
    <t>invoice@sacmi.fr</t>
  </si>
  <si>
    <t>FR746020361</t>
  </si>
  <si>
    <t>MILLY LA FORET</t>
  </si>
  <si>
    <t>91490</t>
  </si>
  <si>
    <t>6 Boulevard du Maréchal Joffre</t>
  </si>
  <si>
    <t>0012p00004UHU45AAH</t>
  </si>
  <si>
    <t>96 420 229 500 017</t>
  </si>
  <si>
    <t>invoicedaregal@daregal.fr</t>
  </si>
  <si>
    <t>FR64964202295</t>
  </si>
  <si>
    <t>HARIBO RICQLES ZAN sa</t>
  </si>
  <si>
    <t>MARSEILLE</t>
  </si>
  <si>
    <t>13014</t>
  </si>
  <si>
    <t>67 Boulevard du Capitaine Gèze</t>
  </si>
  <si>
    <t>001SZ000005OlpPYAS</t>
  </si>
  <si>
    <t>57 214 916 900 060</t>
  </si>
  <si>
    <t>invoice-fr@haribo.com</t>
  </si>
  <si>
    <t>FR24572149169</t>
  </si>
  <si>
    <t>LINDT &amp; SPRUNGLI sas</t>
  </si>
  <si>
    <t>75116</t>
  </si>
  <si>
    <t>112 avenue Kléber</t>
  </si>
  <si>
    <t>0012p00004SvWYqAAN</t>
  </si>
  <si>
    <t>67 202 415 500 448</t>
  </si>
  <si>
    <t>invoice-fr@lindt.com</t>
  </si>
  <si>
    <t>FR33672024155</t>
  </si>
  <si>
    <t>METALOR TECHNOLOGIES ELECTROTECHNICS FRANCE sasu</t>
  </si>
  <si>
    <t>COURVILLE SUR EURE</t>
  </si>
  <si>
    <t>28190</t>
  </si>
  <si>
    <t>Rue des Aquées - BP 29</t>
  </si>
  <si>
    <t>0012p00004NKsfhAAD</t>
  </si>
  <si>
    <t>81 535 656 300 016</t>
  </si>
  <si>
    <t>invoices.courville@metalor.com</t>
  </si>
  <si>
    <t>FR40815356563</t>
  </si>
  <si>
    <t>MERSEN CORPORATE SERVICES SAS</t>
  </si>
  <si>
    <t>Tour Trinity - 1 bis Place de la Défense</t>
  </si>
  <si>
    <t>001SZ000007hLtFYAU</t>
  </si>
  <si>
    <t>43 380 313 700 036</t>
  </si>
  <si>
    <t>invoices.mcs@mersen.com</t>
  </si>
  <si>
    <t>FR96433803137</t>
  </si>
  <si>
    <t>UPSA sasu</t>
  </si>
  <si>
    <t>3 rue Joseph Monier</t>
  </si>
  <si>
    <t>80 324 795 600 011</t>
  </si>
  <si>
    <t>invoices.upsa.fr@upsa-ph.com</t>
  </si>
  <si>
    <t>FR40803247956</t>
  </si>
  <si>
    <t>FIELDTURF TARKETT sasu</t>
  </si>
  <si>
    <t>AUCHEL</t>
  </si>
  <si>
    <t>62260</t>
  </si>
  <si>
    <t>91 rue Chateaubriand</t>
  </si>
  <si>
    <t>0012p00004Ot0uAAAR</t>
  </si>
  <si>
    <t>45 283 524 200 028</t>
  </si>
  <si>
    <t>invoices@fieldturftarkett.com</t>
  </si>
  <si>
    <t>FR77452835242</t>
  </si>
  <si>
    <t>LA REDOUTE sasu</t>
  </si>
  <si>
    <t>ROUBAIX</t>
  </si>
  <si>
    <t>Service recrutement - DRH1200</t>
  </si>
  <si>
    <t>59100</t>
  </si>
  <si>
    <t>110 Rue de Blanchemaille</t>
  </si>
  <si>
    <t>001SZ000004oQQ3YAM</t>
  </si>
  <si>
    <t>47 718 018 601 882</t>
  </si>
  <si>
    <t>invoices@redoute.com</t>
  </si>
  <si>
    <t>FR20477180186</t>
  </si>
  <si>
    <t>75015</t>
  </si>
  <si>
    <t>43 Quai de Grenelle</t>
  </si>
  <si>
    <t>56 200 815 100 119</t>
  </si>
  <si>
    <t>Invoices_Imerys.FR@email.basware.com</t>
  </si>
  <si>
    <t>FR50562008115</t>
  </si>
  <si>
    <t>QUADIENT FRANCE sas</t>
  </si>
  <si>
    <t>RUEIL MALMAISON</t>
  </si>
  <si>
    <t>7 Rue Henri Becquerel</t>
  </si>
  <si>
    <t>0012p00004SLzfoAAD</t>
  </si>
  <si>
    <t>37 877 854 200 662</t>
  </si>
  <si>
    <t>invoices_quadient@quadient.com</t>
  </si>
  <si>
    <t>FR38378778542</t>
  </si>
  <si>
    <t>GINDRE DUCHAVANY</t>
  </si>
  <si>
    <t>PONT DE CHERUY</t>
  </si>
  <si>
    <t>38230</t>
  </si>
  <si>
    <t>31 rue Giffard</t>
  </si>
  <si>
    <t>001SZ000000nWOXYA2</t>
  </si>
  <si>
    <t>95 550 881 700 033</t>
  </si>
  <si>
    <t>invoices-duchavany@gindre.com</t>
  </si>
  <si>
    <t>FR20955508817</t>
  </si>
  <si>
    <t>SOFLACOBAT sas</t>
  </si>
  <si>
    <t>CAESTRE</t>
  </si>
  <si>
    <t>59190</t>
  </si>
  <si>
    <t>940 Route de Strazeele</t>
  </si>
  <si>
    <t>0012p00004NMsSvAAL</t>
  </si>
  <si>
    <t>32 209 693 400 029</t>
  </si>
  <si>
    <t>isabelle.bruneel@soflacobat.fr</t>
  </si>
  <si>
    <t>FR94322096934</t>
  </si>
  <si>
    <t>KELIAS sasu</t>
  </si>
  <si>
    <t>SAINT HERBLAIN CEDEX</t>
  </si>
  <si>
    <t>44801</t>
  </si>
  <si>
    <t>8 Impasse du Bourrelier - 
 BP 30004</t>
  </si>
  <si>
    <t>001SZ0000010qFnYAI</t>
  </si>
  <si>
    <t>40 906 598 400 018</t>
  </si>
  <si>
    <t>j.godof@lacroix.group</t>
  </si>
  <si>
    <t>FR39409065984</t>
  </si>
  <si>
    <t>SAVOY MOULAGE sasu</t>
  </si>
  <si>
    <t>52 Rue Guillaume Fichet</t>
  </si>
  <si>
    <t>001SZ00000WbzOgYAJ</t>
  </si>
  <si>
    <t>32 543 712 700 039</t>
  </si>
  <si>
    <t>jdagoreau@savoy-moulage.com</t>
  </si>
  <si>
    <t>FR52401369491</t>
  </si>
  <si>
    <t>DE NEUVILLE sas</t>
  </si>
  <si>
    <t>NOISEL</t>
  </si>
  <si>
    <t>77186</t>
  </si>
  <si>
    <t>8 promenade de la Chocolaterie</t>
  </si>
  <si>
    <t>0012p00004MYY3qAAH</t>
  </si>
  <si>
    <t>33 795 732 800 301</t>
  </si>
  <si>
    <t>jeremy.rosamond@sa-deneuville.fr</t>
  </si>
  <si>
    <t>FR60337957328</t>
  </si>
  <si>
    <t>QUALIFORM sasu</t>
  </si>
  <si>
    <t>Route d'Arfontaine - Parc Industriel Ouest Veyziat</t>
  </si>
  <si>
    <t>0012p00004S28HsAAJ</t>
  </si>
  <si>
    <t>40 301 066 300 025</t>
  </si>
  <si>
    <t>jerome.cottereau@qualiform.pro</t>
  </si>
  <si>
    <t>FR42403010663</t>
  </si>
  <si>
    <t>AXE GROUP sas</t>
  </si>
  <si>
    <t>SANT DESIR</t>
  </si>
  <si>
    <t>661 rue de la Libération</t>
  </si>
  <si>
    <t>0012p00004RpK42AAF</t>
  </si>
  <si>
    <t>49 312 471 300 014</t>
  </si>
  <si>
    <t>julia.rioult@axe-group.com</t>
  </si>
  <si>
    <t>FR88493124713</t>
  </si>
  <si>
    <t>NEVERS</t>
  </si>
  <si>
    <t>58000</t>
  </si>
  <si>
    <t>111 Rue Francis Garnier</t>
  </si>
  <si>
    <t>0012p00004TxP10AAF</t>
  </si>
  <si>
    <t>39 193 353 800 038</t>
  </si>
  <si>
    <t>julie.jerome@gates.com</t>
  </si>
  <si>
    <t>FR91391933538</t>
  </si>
  <si>
    <t>KALISTRUT AEROSPACE sasu</t>
  </si>
  <si>
    <t>SAINT-VALLIER</t>
  </si>
  <si>
    <t>26240</t>
  </si>
  <si>
    <t>1 Avenue Marc Seguin</t>
  </si>
  <si>
    <t>0012p00004ShvssAAB</t>
  </si>
  <si>
    <t>53 865 442 700 029</t>
  </si>
  <si>
    <t>kalistrut.accountpayable@pccairframe.com</t>
  </si>
  <si>
    <t>FR38538654427</t>
  </si>
  <si>
    <t>NOBEL PLASTIQUES sasu</t>
  </si>
  <si>
    <t>VITRY LE FRANCOIS</t>
  </si>
  <si>
    <t>51300</t>
  </si>
  <si>
    <t>Rue de l'Europe, ZI Marolles</t>
  </si>
  <si>
    <t>001SZ000002NrH3YAK</t>
  </si>
  <si>
    <t>45 357 080 600 027</t>
  </si>
  <si>
    <t>karine.rignaux@nobelautomotive.com</t>
  </si>
  <si>
    <t>FR19453570806</t>
  </si>
  <si>
    <t>LABORATOIRE CHAUVIN sas</t>
  </si>
  <si>
    <t>AUBENAS</t>
  </si>
  <si>
    <t>7200</t>
  </si>
  <si>
    <t>ZI de Ripotier - 
 50 Avenue Jean Monnet</t>
  </si>
  <si>
    <t>001SZ000001Z2OCYA0</t>
  </si>
  <si>
    <t>32 174 806 300 070</t>
  </si>
  <si>
    <t>kathy.toutlemonde@bausch.com</t>
  </si>
  <si>
    <t>FR14321748063</t>
  </si>
  <si>
    <t>KUHN SAS</t>
  </si>
  <si>
    <t>SAVERNE</t>
  </si>
  <si>
    <t>4 impasse des Fabriques</t>
  </si>
  <si>
    <t>67 558 054 200 016</t>
  </si>
  <si>
    <t>kuhnsa.supplierinvoice@kuhn.com</t>
  </si>
  <si>
    <t>FR67675580542</t>
  </si>
  <si>
    <t>EPERNON</t>
  </si>
  <si>
    <t>28230</t>
  </si>
  <si>
    <t>53 Rue Saint- Denis</t>
  </si>
  <si>
    <t>001SZ00000IFevfYAD</t>
  </si>
  <si>
    <t>56 201 242 700 059</t>
  </si>
  <si>
    <t>laurence.zimmermann@sealedair.com</t>
  </si>
  <si>
    <t>FR74562012427</t>
  </si>
  <si>
    <t>WKW FRANCE sarl</t>
  </si>
  <si>
    <t>VALEREAS</t>
  </si>
  <si>
    <t>84600</t>
  </si>
  <si>
    <t>Les Molières - Route de Richerenches - BP 24</t>
  </si>
  <si>
    <t>001SZ000005MLEFYA4</t>
  </si>
  <si>
    <t>52 903 243 500 016</t>
  </si>
  <si>
    <t>laurent.guilmin@wkw-group.com</t>
  </si>
  <si>
    <t>FR01529032435</t>
  </si>
  <si>
    <t>LFB BIOMEDICAMENTS sa</t>
  </si>
  <si>
    <t>LES ULIS</t>
  </si>
  <si>
    <t>91940</t>
  </si>
  <si>
    <t>Za de Courtaboeuf - Les Ulis
 3 Avenue des Tropiques</t>
  </si>
  <si>
    <t>49 137 116 700 017</t>
  </si>
  <si>
    <t>LFBBIOMEDICAMENTS@email.basware.com</t>
  </si>
  <si>
    <t>FR51491371167</t>
  </si>
  <si>
    <t>SOCIETE METALLURGIQUE LIOTARD FRERES sa</t>
  </si>
  <si>
    <t>ST PIERRE DES CORPS</t>
  </si>
  <si>
    <t>SAVATON Marie Christine</t>
  </si>
  <si>
    <t>37700</t>
  </si>
  <si>
    <t>Route départementale 751 - 
 Les Levées de la Loire</t>
  </si>
  <si>
    <t>0012p00004NMuinAAD</t>
  </si>
  <si>
    <t>54 208 444 700 037</t>
  </si>
  <si>
    <t>lmetzger@smlf.fr</t>
  </si>
  <si>
    <t>FR47542084447</t>
  </si>
  <si>
    <t>D'MEDICA sa</t>
  </si>
  <si>
    <t>BALMA Cedex</t>
  </si>
  <si>
    <t>31133</t>
  </si>
  <si>
    <t>4 rue Jean Giono - 
 BP 10063</t>
  </si>
  <si>
    <t>0012p00004LiRo0AAF</t>
  </si>
  <si>
    <t>42 819 372 600 562</t>
  </si>
  <si>
    <t>marc.bonnafous@lacooperativewelcoop.com</t>
  </si>
  <si>
    <t>FR05428193726</t>
  </si>
  <si>
    <t>COLIBRI sasu</t>
  </si>
  <si>
    <t>PONS</t>
  </si>
  <si>
    <t>17800</t>
  </si>
  <si>
    <t>2 Route de Marennes</t>
  </si>
  <si>
    <t>0012p00004ReLicAAF</t>
  </si>
  <si>
    <t>39 389 182 500 027</t>
  </si>
  <si>
    <t>marion.bougeard@maison-colibri.com</t>
  </si>
  <si>
    <t>FR50393891825</t>
  </si>
  <si>
    <t>FLIP sas</t>
  </si>
  <si>
    <t>GONDECOURT</t>
  </si>
  <si>
    <t>59147</t>
  </si>
  <si>
    <t>ZI rue Pierre Et Marie Curie</t>
  </si>
  <si>
    <t>0012p00004Ne1aHAAR</t>
  </si>
  <si>
    <t>33 000 164 500 119</t>
  </si>
  <si>
    <t>mdesablin@flip.fr</t>
  </si>
  <si>
    <t>FR55330001645</t>
  </si>
  <si>
    <t>MACON</t>
  </si>
  <si>
    <t>69830</t>
  </si>
  <si>
    <t>41 Rue de la République 71000 MACON</t>
  </si>
  <si>
    <t>68 555 044 400 010</t>
  </si>
  <si>
    <t>metso.fr105@bscs.basware.com</t>
  </si>
  <si>
    <t>FR17685550444</t>
  </si>
  <si>
    <t>CETIH DEVELOPPEMENT sas</t>
  </si>
  <si>
    <t>MACHECOUL-SAINT-MEME</t>
  </si>
  <si>
    <t>44270</t>
  </si>
  <si>
    <t>2 rue Gustave Eiffel - BP 41</t>
  </si>
  <si>
    <t>001SZ0000018YllYAE</t>
  </si>
  <si>
    <t>80 209 965 500 028</t>
  </si>
  <si>
    <t>mgrelier@cetih.eu</t>
  </si>
  <si>
    <t>FR92802099655</t>
  </si>
  <si>
    <t>MHCS sa</t>
  </si>
  <si>
    <t>EPERNAY CEDEX</t>
  </si>
  <si>
    <t>51207</t>
  </si>
  <si>
    <t>9 avenue de Champagne</t>
  </si>
  <si>
    <t>50 955 345 900 033</t>
  </si>
  <si>
    <t>mhcs.comptafrs@moethennessy.com</t>
  </si>
  <si>
    <t>FR44509553459</t>
  </si>
  <si>
    <t>EPERNAY</t>
  </si>
  <si>
    <t>51200</t>
  </si>
  <si>
    <t>COOPERATIVE AGRICOLE LAITIERE LES MAITRES LAITIERS DU COTENTIN</t>
  </si>
  <si>
    <t>SOTTEVAST</t>
  </si>
  <si>
    <t>50260</t>
  </si>
  <si>
    <t>8 Route de Valognes</t>
  </si>
  <si>
    <t>0012p00004NsVMXAA3</t>
  </si>
  <si>
    <t>33 815 461 000 046</t>
  </si>
  <si>
    <t>LES MAITRES LAITIERS DU COTENTIN</t>
  </si>
  <si>
    <t>mlc-demat-frn@maitres-laitiers.fr</t>
  </si>
  <si>
    <t>FR12338154610</t>
  </si>
  <si>
    <t>JM BRUNEAU sas</t>
  </si>
  <si>
    <t>VILLEBON SUR YVETTE</t>
  </si>
  <si>
    <t>91140</t>
  </si>
  <si>
    <t>19 avenue de la Baltique</t>
  </si>
  <si>
    <t>0012p00004TnAhwAAF</t>
  </si>
  <si>
    <t>34 395 813 800 012</t>
  </si>
  <si>
    <t>m-perchoc@bruneau.fr</t>
  </si>
  <si>
    <t>FR66343958138</t>
  </si>
  <si>
    <t>GEORGES HELFER SA FRANCE</t>
  </si>
  <si>
    <t>RUNGIS CEDEX</t>
  </si>
  <si>
    <t>94637</t>
  </si>
  <si>
    <t>62 avenue de la Villette -
 BP Fleurs 389 -</t>
  </si>
  <si>
    <t>0012p00004PasjtAAB</t>
  </si>
  <si>
    <t>30 249 189 900 043</t>
  </si>
  <si>
    <t>nathalie.lessert@georgeshelfer.com</t>
  </si>
  <si>
    <t>FR66302491899</t>
  </si>
  <si>
    <t>TOYO INK EUROPE SPECIALTY CHEMICALS sasu</t>
  </si>
  <si>
    <t>OISSEL</t>
  </si>
  <si>
    <t>76350</t>
  </si>
  <si>
    <t>Boulevard Dambourney</t>
  </si>
  <si>
    <t>0012p00004MXgKGAA1</t>
  </si>
  <si>
    <t>38 931 619 100 037</t>
  </si>
  <si>
    <t>cbelmere@toyoink-europe.com</t>
  </si>
  <si>
    <t>FR06389316191</t>
  </si>
  <si>
    <t>OLICHON sasu</t>
  </si>
  <si>
    <t>LORIENT</t>
  </si>
  <si>
    <t>56100</t>
  </si>
  <si>
    <t>ZI de Keryado - Rue Jules Védrines</t>
  </si>
  <si>
    <t>0012p00004O4XCpAAN</t>
  </si>
  <si>
    <t>86 550 005 200 010</t>
  </si>
  <si>
    <t>olichon@olichon.fr</t>
  </si>
  <si>
    <t>FR94865500052</t>
  </si>
  <si>
    <t>SAINT GOBAIN EUROCOUSTIC sasu</t>
  </si>
  <si>
    <t>GENOUILLAC</t>
  </si>
  <si>
    <t>23350</t>
  </si>
  <si>
    <t>ZI DE Bellevue</t>
  </si>
  <si>
    <t>001SZ00000FIhp4YAD</t>
  </si>
  <si>
    <t>30 739 010 400 023</t>
  </si>
  <si>
    <t>only.invoices.eurocoustic@saint-gobain.com</t>
  </si>
  <si>
    <t>FR54307390104</t>
  </si>
  <si>
    <t>PLACOPLATRE sa - Usine Placo de Chambéry</t>
  </si>
  <si>
    <t>CHAMBERY</t>
  </si>
  <si>
    <t>73026</t>
  </si>
  <si>
    <t>Z.I de Bissy - 456 rue Emile Romanet</t>
  </si>
  <si>
    <t>001SZ0000017fU7YAI</t>
  </si>
  <si>
    <t>72 980 070 600 040</t>
  </si>
  <si>
    <t>0nly.invoices.placoplatre@saint-gobain.com</t>
  </si>
  <si>
    <t>FR95729800706</t>
  </si>
  <si>
    <t>SOCIETE EUROPEENNE DES PRODUITS REFRACTAIRES sas</t>
  </si>
  <si>
    <t>LE PONTET</t>
  </si>
  <si>
    <t>84130</t>
  </si>
  <si>
    <t>2539 Route de Sorgues</t>
  </si>
  <si>
    <t>30 575 641 300 236</t>
  </si>
  <si>
    <t>only.invoices.sepr@saint-gobain.com</t>
  </si>
  <si>
    <t>FR03305756413</t>
  </si>
  <si>
    <t>SAINT-GOBAIN GLASS SOLUTIONS MENUISIERS INDUSTRIELS sasu - SGGSMI</t>
  </si>
  <si>
    <t>SAINT-PIERRE-DES-ECHAUBROGNES</t>
  </si>
  <si>
    <t>79700</t>
  </si>
  <si>
    <t>ZI du Vivier</t>
  </si>
  <si>
    <t>0012p00004RBJa7AAH</t>
  </si>
  <si>
    <t>38 948 871 900 037</t>
  </si>
  <si>
    <t>only.invoices.sggsmi@saint-gobain.com</t>
  </si>
  <si>
    <t>FR95389488719</t>
  </si>
  <si>
    <t>ORANGINA SUNTORY FRANCE PRODUCTION sasu</t>
  </si>
  <si>
    <t>CHATEAUNEUF-DE-GADAGNE</t>
  </si>
  <si>
    <t>84470</t>
  </si>
  <si>
    <t>433 Chemin des Matouses</t>
  </si>
  <si>
    <t>40 751 293 800 041</t>
  </si>
  <si>
    <t>osfp.app@suntory.com</t>
  </si>
  <si>
    <t>FR05407512938</t>
  </si>
  <si>
    <t>BIO HABITAT sa</t>
  </si>
  <si>
    <t>LA CHAIZE LE VICOMTE</t>
  </si>
  <si>
    <t>85310</t>
  </si>
  <si>
    <t>Rue Charles Tellier</t>
  </si>
  <si>
    <t>0012p00004Qwo2GAAR</t>
  </si>
  <si>
    <t>51 123 991 500 016</t>
  </si>
  <si>
    <t>p.pelard@beneteauhabitat.com</t>
  </si>
  <si>
    <t>FR86511239915</t>
  </si>
  <si>
    <t>FPT POWERTRAIN TECHNOLOGIES FRANCE sas</t>
  </si>
  <si>
    <t>GARCHIZY</t>
  </si>
  <si>
    <t>58600</t>
  </si>
  <si>
    <t>5 rue Pierre Timbaud</t>
  </si>
  <si>
    <t>0012p00004TnEmlAAF</t>
  </si>
  <si>
    <t>35 069 358 600 017</t>
  </si>
  <si>
    <t>pascale.nivot@fptindustrial.com</t>
  </si>
  <si>
    <t>FR49350693586</t>
  </si>
  <si>
    <t>RICOH FRANCE sas</t>
  </si>
  <si>
    <t>RUNGIS</t>
  </si>
  <si>
    <t>94150</t>
  </si>
  <si>
    <t>7-9 Avenue Robert Schuman</t>
  </si>
  <si>
    <t>0012p00004OK0VOAA1</t>
  </si>
  <si>
    <t>33 762 184 100 903</t>
  </si>
  <si>
    <t>paul.bertrand@ricoh.fr</t>
  </si>
  <si>
    <t>FR71337621841</t>
  </si>
  <si>
    <t>NESTLE PURINA PETCARE FRANCE sas</t>
  </si>
  <si>
    <t>WROCLAW</t>
  </si>
  <si>
    <t>Poland</t>
  </si>
  <si>
    <t>PO Box 1282</t>
  </si>
  <si>
    <t>50- 986</t>
  </si>
  <si>
    <t>Urzad Pocztowy 44</t>
  </si>
  <si>
    <t>30 207 946 200 206</t>
  </si>
  <si>
    <t>Paul.Raymond@purina.nestle.com</t>
  </si>
  <si>
    <t>FR87302079462</t>
  </si>
  <si>
    <t>BOEHRINGER INGELHEIM ANIMAL HEALTH FRANCE scs</t>
  </si>
  <si>
    <t>RH - Talent GoA</t>
  </si>
  <si>
    <t>69007</t>
  </si>
  <si>
    <t>29 avenue Tony Garnier</t>
  </si>
  <si>
    <t>59 080 021 500 170</t>
  </si>
  <si>
    <t>pdf-invoices.fr@boehringer-ingelheim.com</t>
  </si>
  <si>
    <t>FR70590800215</t>
  </si>
  <si>
    <t>BARILLA FRANCE sas - Site de Saint-Vulbas</t>
  </si>
  <si>
    <t>SAINT-VULBAS</t>
  </si>
  <si>
    <t>1150</t>
  </si>
  <si>
    <t>860 Avenue des Bergeries</t>
  </si>
  <si>
    <t>43 322 535 600 099</t>
  </si>
  <si>
    <t>pierrick.manuel@barilla.com</t>
  </si>
  <si>
    <t>FR46433225356</t>
  </si>
  <si>
    <t>PERNOD RICARD FRANCE sas</t>
  </si>
  <si>
    <t>VENDEVILLE</t>
  </si>
  <si>
    <t>Administratif</t>
  </si>
  <si>
    <t>59175</t>
  </si>
  <si>
    <t>6 Rue de Seclin</t>
  </si>
  <si>
    <t>0012p00004O4NqdAAF</t>
  </si>
  <si>
    <t>30 365 637 500 217</t>
  </si>
  <si>
    <t>prf.facturesfournisseurs@pernod-ricard.com</t>
  </si>
  <si>
    <t>FR39303656375</t>
  </si>
  <si>
    <t>WURTH FRANCE sas</t>
  </si>
  <si>
    <t>ERSTEIN</t>
  </si>
  <si>
    <t>67150</t>
  </si>
  <si>
    <t>Rue Georges Besse</t>
  </si>
  <si>
    <t>001SZ000001uUm3YAE</t>
  </si>
  <si>
    <t>66 850 296 600 041</t>
  </si>
  <si>
    <t>quentin.feist@wurth.fr</t>
  </si>
  <si>
    <t>FR57668502966</t>
  </si>
  <si>
    <t>L&amp;L PRODUCTS EUROPE SAS</t>
  </si>
  <si>
    <t>ALTORF</t>
  </si>
  <si>
    <t>Service Finance</t>
  </si>
  <si>
    <t>67120</t>
  </si>
  <si>
    <t>1 rue Charles Lindbergh ZA</t>
  </si>
  <si>
    <t>0012p00004QdCluAAF</t>
  </si>
  <si>
    <t>40 919 682 100 022</t>
  </si>
  <si>
    <t>L&amp;L PPRODUCTS EUROPE SAS</t>
  </si>
  <si>
    <t>regine.zwiebel@llproducts.com</t>
  </si>
  <si>
    <t>FR88409196821</t>
  </si>
  <si>
    <t>INSTITUT ECONOMIE SCIENTIFIQUE GESTION association</t>
  </si>
  <si>
    <t>LILLE</t>
  </si>
  <si>
    <t>IESEG School of Management ad</t>
  </si>
  <si>
    <t>59000</t>
  </si>
  <si>
    <t>3 rue de la Digue</t>
  </si>
  <si>
    <t>0012p00004PjlTfAAJ</t>
  </si>
  <si>
    <t>78 370 705 200 032</t>
  </si>
  <si>
    <t>rh.interim@ieseg.fr</t>
  </si>
  <si>
    <t>FR54783707052</t>
  </si>
  <si>
    <t>REIMS CEDEX 2</t>
  </si>
  <si>
    <t>51683</t>
  </si>
  <si>
    <t>Rue du Val Clair - CS 11006</t>
  </si>
  <si>
    <t>001SZ0000013XgQYAU</t>
  </si>
  <si>
    <t>61 202 828 200 103</t>
  </si>
  <si>
    <t>rh.reims@seyfert.fr</t>
  </si>
  <si>
    <t>FR85612028282</t>
  </si>
  <si>
    <t>LES MOULINS DE VERDELOT sas</t>
  </si>
  <si>
    <t>VERDELOT</t>
  </si>
  <si>
    <t>77510</t>
  </si>
  <si>
    <t>Impasse du Moulin</t>
  </si>
  <si>
    <t>0012p00004MYVLNAA5</t>
  </si>
  <si>
    <t>39 083 112 100 012</t>
  </si>
  <si>
    <t>rh@moulinsbourgeois.com</t>
  </si>
  <si>
    <t>FR55390831121</t>
  </si>
  <si>
    <t>NICOMATIC sa</t>
  </si>
  <si>
    <t>BONS EN CHABLAIS</t>
  </si>
  <si>
    <t>74890</t>
  </si>
  <si>
    <t>173 rue des Fougères</t>
  </si>
  <si>
    <t>0012p00004QxT1lAAF</t>
  </si>
  <si>
    <t>30 692 668 400 037</t>
  </si>
  <si>
    <t>rh@nicomatic.fr</t>
  </si>
  <si>
    <t>FR95306926684</t>
  </si>
  <si>
    <t>SOCIETE GENERALE DES TECHNIQUES - SGT sas</t>
  </si>
  <si>
    <t>REZE</t>
  </si>
  <si>
    <t>44400</t>
  </si>
  <si>
    <t>3 rue de l'ile Macé</t>
  </si>
  <si>
    <t>0012p00004NKZ9mAAH</t>
  </si>
  <si>
    <t>35 406 351 300 015</t>
  </si>
  <si>
    <t>rh@sgt-france.com</t>
  </si>
  <si>
    <t>FR05354063513</t>
  </si>
  <si>
    <t>JELD-WEN FRANCE sas</t>
  </si>
  <si>
    <t>EAUZE</t>
  </si>
  <si>
    <t>32800</t>
  </si>
  <si>
    <t>35 avenue de la Ténarèze</t>
  </si>
  <si>
    <t>0012p00004MY1ROAA1</t>
  </si>
  <si>
    <t>40 307 210 100 039</t>
  </si>
  <si>
    <t>rhpaie@jeldwen.com</t>
  </si>
  <si>
    <t>FR56403072101</t>
  </si>
  <si>
    <t>DSP sas</t>
  </si>
  <si>
    <t>CHAUNY</t>
  </si>
  <si>
    <t>2300</t>
  </si>
  <si>
    <t>Rue des Grands Navoirs</t>
  </si>
  <si>
    <t>0012p00004OLpf9AAD</t>
  </si>
  <si>
    <t>82 191 640 000 020</t>
  </si>
  <si>
    <t>robyn.stormont@dupont.com</t>
  </si>
  <si>
    <t>FR94821916400</t>
  </si>
  <si>
    <t>CENEXI HSC sasu</t>
  </si>
  <si>
    <t>HEROUVILLE SAINT CLAIR</t>
  </si>
  <si>
    <t>14200</t>
  </si>
  <si>
    <t>2 rue Louis Pasteur</t>
  </si>
  <si>
    <t>0012p00004SMcS5AAL</t>
  </si>
  <si>
    <t>82 032 462 200 027</t>
  </si>
  <si>
    <t>roxane.holat@cenexi.com</t>
  </si>
  <si>
    <t>FR70820324622</t>
  </si>
  <si>
    <t>D'AUCY LOCMINE sasu</t>
  </si>
  <si>
    <t>LOCMINE</t>
  </si>
  <si>
    <t>56500</t>
  </si>
  <si>
    <t>Le Belvaux</t>
  </si>
  <si>
    <t>001SZ000003IRCwYAO</t>
  </si>
  <si>
    <t>80 824 266 300 017</t>
  </si>
  <si>
    <t>sabrina.vetel@eureden.com</t>
  </si>
  <si>
    <t>FR86808242663</t>
  </si>
  <si>
    <t>EOLIANCE sas</t>
  </si>
  <si>
    <t>VAUX LE PENIL</t>
  </si>
  <si>
    <t>77000</t>
  </si>
  <si>
    <t>949 Avenue Saint-Just</t>
  </si>
  <si>
    <t>001SZ000001dYcMYAU</t>
  </si>
  <si>
    <t>52 782 515 200 038</t>
  </si>
  <si>
    <t>sandra.rodrigues@eoliance.com</t>
  </si>
  <si>
    <t>FR33527825152</t>
  </si>
  <si>
    <t>SOCIETE D'EXTRUSION DU POLYETHYLENE A. BARBIER ET CIE sas</t>
  </si>
  <si>
    <t>SAINTE SIGOLENE</t>
  </si>
  <si>
    <t>43600</t>
  </si>
  <si>
    <t>La GUIDE</t>
  </si>
  <si>
    <t>0012p00004UIpeCAAT</t>
  </si>
  <si>
    <t>58 605 007 200 014</t>
  </si>
  <si>
    <t>scan.invoices@barbiergroup.com</t>
  </si>
  <si>
    <t>FR08586050072</t>
  </si>
  <si>
    <t>BAUMER BOURDON HAENNI SAS</t>
  </si>
  <si>
    <t>VENDOME</t>
  </si>
  <si>
    <t>41100</t>
  </si>
  <si>
    <t>125 Rue de la Marre</t>
  </si>
  <si>
    <t>0012p00004OLfDoAAL</t>
  </si>
  <si>
    <t>77 568 049 900 149</t>
  </si>
  <si>
    <t>scomptabilite@baumer.com</t>
  </si>
  <si>
    <t>FR63775680499</t>
  </si>
  <si>
    <t>LHH sasu</t>
  </si>
  <si>
    <t>Coeur Défense Tour A 110 
 Espl. du Général de Gaulle CS 70226</t>
  </si>
  <si>
    <t>0012p00004TyBmyAAF</t>
  </si>
  <si>
    <t>41 178 756 701 442</t>
  </si>
  <si>
    <t>serv.fournisseurslhh@lhh.com</t>
  </si>
  <si>
    <t>FR07411787567</t>
  </si>
  <si>
    <t>GREENYARD FROZEN FRANCE SAS</t>
  </si>
  <si>
    <t>MOREAC</t>
  </si>
  <si>
    <t>Z.A. du Barderff</t>
  </si>
  <si>
    <t>0012p00004SwtTLAAZ</t>
  </si>
  <si>
    <t>87 250 091 300 050</t>
  </si>
  <si>
    <t>service.comptabilite.moreac@greenyardfrozen.com</t>
  </si>
  <si>
    <t>FR43872500913</t>
  </si>
  <si>
    <t>CAMUS LA GRANDE MARQUE sasu</t>
  </si>
  <si>
    <t>29 rue Marguerite de Navarre</t>
  </si>
  <si>
    <t>0012p00004MzqqZAAR</t>
  </si>
  <si>
    <t>90 542 001 400 011</t>
  </si>
  <si>
    <t>service.comptabilite@camus.fr</t>
  </si>
  <si>
    <t>FR94905420014</t>
  </si>
  <si>
    <t>STOKOMANI sasu</t>
  </si>
  <si>
    <t>CREIL</t>
  </si>
  <si>
    <t>60100</t>
  </si>
  <si>
    <t>3 avenue des Charmes</t>
  </si>
  <si>
    <t>0012p00004NfuO3AAJ</t>
  </si>
  <si>
    <t>31 778 006 200 335</t>
  </si>
  <si>
    <t>service_compta@stokomani.fr</t>
  </si>
  <si>
    <t>FR45317780062</t>
  </si>
  <si>
    <t>STRADAL sasu</t>
  </si>
  <si>
    <t>MIGENNES</t>
  </si>
  <si>
    <t>89400</t>
  </si>
  <si>
    <t>51 rue Andre Maurois - 
 Parc d'activités de l'Armancon - BP 13</t>
  </si>
  <si>
    <t>0012p00004MVfCzAAL</t>
  </si>
  <si>
    <t>30 198 456 300 223</t>
  </si>
  <si>
    <t>serviceachat-migennes@stradal.fr</t>
  </si>
  <si>
    <t>FR85301984563</t>
  </si>
  <si>
    <t>SPS FRANCE &amp; BENELUX SAS</t>
  </si>
  <si>
    <t>75012</t>
  </si>
  <si>
    <t>60-62 rue de Wattignies</t>
  </si>
  <si>
    <t>0012p00004NfH3eAAF</t>
  </si>
  <si>
    <t>41 976 085 500 025</t>
  </si>
  <si>
    <t>service-achats.sps.fr@spsglobal.com</t>
  </si>
  <si>
    <t>FR59419760855</t>
  </si>
  <si>
    <t>VIERZON CEDEX</t>
  </si>
  <si>
    <t>18102</t>
  </si>
  <si>
    <t>61 Route de Foecy</t>
  </si>
  <si>
    <t>001SZ000004UIGaYAO</t>
  </si>
  <si>
    <t>51 772 011 600 022</t>
  </si>
  <si>
    <t>smb_vzn_finance@jtekt.eu</t>
  </si>
  <si>
    <t>FR46517720116</t>
  </si>
  <si>
    <t>NEFAB sas</t>
  </si>
  <si>
    <t>SALBRIS</t>
  </si>
  <si>
    <t>41300</t>
  </si>
  <si>
    <t>Route Nationale 20 Nord</t>
  </si>
  <si>
    <t>0012p00004MzraAAAR</t>
  </si>
  <si>
    <t>32 057 473 400 036</t>
  </si>
  <si>
    <t>stephanie.regnier@nefab.com</t>
  </si>
  <si>
    <t>FR60320574734</t>
  </si>
  <si>
    <t>RADIALL sa</t>
  </si>
  <si>
    <t>VOREPPE</t>
  </si>
  <si>
    <t>38340</t>
  </si>
  <si>
    <t>Rue Émile Romanet - ZI</t>
  </si>
  <si>
    <t>001SZ000000ultuYAA</t>
  </si>
  <si>
    <t>55 212 498 400 121</t>
  </si>
  <si>
    <t>supplier.accounting@radiall.com</t>
  </si>
  <si>
    <t>FR54552124984</t>
  </si>
  <si>
    <t>LEMOINE FRANCE sas</t>
  </si>
  <si>
    <t>CALIGNY</t>
  </si>
  <si>
    <t>Ciriam Le Pont De Vère</t>
  </si>
  <si>
    <t>0012p00004MVU2gAAH</t>
  </si>
  <si>
    <t>49 338 324 400 065</t>
  </si>
  <si>
    <t>supplier.invoice@groupe-lemoine.com</t>
  </si>
  <si>
    <t>FR69493383244</t>
  </si>
  <si>
    <t>GRUPO ANTOLIN BESANCON sasu</t>
  </si>
  <si>
    <t>8 Rue Gérard Mantion</t>
  </si>
  <si>
    <t>001SZ000002ACUzYAO</t>
  </si>
  <si>
    <t>32 835 873 400 080</t>
  </si>
  <si>
    <t>suppliers.invoices@antolin.com</t>
  </si>
  <si>
    <t>FR86328358734</t>
  </si>
  <si>
    <t>GRUPO ANTOLIN VOSGES, SAS</t>
  </si>
  <si>
    <t>RUPT-SUR-MOSELLE</t>
  </si>
  <si>
    <t>88360</t>
  </si>
  <si>
    <t>30 Rue d'Alsace</t>
  </si>
  <si>
    <t>001SZ000000pfqnYAA</t>
  </si>
  <si>
    <t>42 497 914 400 013</t>
  </si>
  <si>
    <t>suppliers.invoices@grupoantolin.com</t>
  </si>
  <si>
    <t>FR96424979144</t>
  </si>
  <si>
    <t>TECHNOFLEX sas</t>
  </si>
  <si>
    <t>BIDART</t>
  </si>
  <si>
    <t>64210</t>
  </si>
  <si>
    <t>ZA de Bassilour</t>
  </si>
  <si>
    <t>0012p00004UIjN0AAL</t>
  </si>
  <si>
    <t>72 272 133 900 025</t>
  </si>
  <si>
    <t>suppliers@technoflex.net</t>
  </si>
  <si>
    <t>FR47722721339</t>
  </si>
  <si>
    <t>STREIT MECANIQUE sa</t>
  </si>
  <si>
    <t>PAYS DE CLERVAL</t>
  </si>
  <si>
    <t>25340</t>
  </si>
  <si>
    <t>1486 Route de Soye</t>
  </si>
  <si>
    <t>0012p00004RhCzzAAF</t>
  </si>
  <si>
    <t>77 830 417 000 021</t>
  </si>
  <si>
    <t>suppliersaccounting@groupe-streit.com</t>
  </si>
  <si>
    <t>FR11778304170</t>
  </si>
  <si>
    <t>DELTA DORE sa</t>
  </si>
  <si>
    <t>BONNEMAIN</t>
  </si>
  <si>
    <t>35270</t>
  </si>
  <si>
    <t>Le Vieux Chêne</t>
  </si>
  <si>
    <t>89 708 028 900 027</t>
  </si>
  <si>
    <t>suppliersinvoice@deltadore.com</t>
  </si>
  <si>
    <t>FR32897080289</t>
  </si>
  <si>
    <t>EPHIGEA sasu</t>
  </si>
  <si>
    <t>MARCQ EN BAROEUL</t>
  </si>
  <si>
    <t>59700</t>
  </si>
  <si>
    <t>1 rue de la Couture - Le Hub Bâtiment A - 
 Zone de la Pilaterie - CS 76015</t>
  </si>
  <si>
    <t>0012p00004RJ3pmAAD</t>
  </si>
  <si>
    <t>47 548 331 903 685</t>
  </si>
  <si>
    <t>swaryn@graindemalice.com</t>
  </si>
  <si>
    <t>FR76475483319</t>
  </si>
  <si>
    <t>EUROPEENNE DE CONDIMENTS sasu</t>
  </si>
  <si>
    <t>COUCHEY</t>
  </si>
  <si>
    <t>Finance-comptablité</t>
  </si>
  <si>
    <t>21160</t>
  </si>
  <si>
    <t>7 rue Jean Moulin</t>
  </si>
  <si>
    <t>0012p00004RKGI0AAP</t>
  </si>
  <si>
    <t>1 715 003 800 010</t>
  </si>
  <si>
    <t>tboilleaut@moutarde.com</t>
  </si>
  <si>
    <t>FR65017150038</t>
  </si>
  <si>
    <t>FINHAM sas</t>
  </si>
  <si>
    <t>1 Rue du Campus</t>
  </si>
  <si>
    <t>001SZ000001wmwaYAA</t>
  </si>
  <si>
    <t>81 518 684 600 011</t>
  </si>
  <si>
    <t>thierry.doyennel@hamelinbrands.com</t>
  </si>
  <si>
    <t>FR42815186846</t>
  </si>
  <si>
    <t>CONDAT sasu</t>
  </si>
  <si>
    <t>LE LARDIN ST LAZARE</t>
  </si>
  <si>
    <t>24570</t>
  </si>
  <si>
    <t>23 Avenue Georges Haupinot</t>
  </si>
  <si>
    <t>0012p00004NfVooAAF</t>
  </si>
  <si>
    <t>420 743 221</t>
  </si>
  <si>
    <t>tiphaine.lepottier@lecta.com</t>
  </si>
  <si>
    <t>FR06420743221</t>
  </si>
  <si>
    <t>GCP PRODUITS DE CONSTRUCTION SAS</t>
  </si>
  <si>
    <t>LARNAUD</t>
  </si>
  <si>
    <t>39140</t>
  </si>
  <si>
    <t>ZA Les Foulletons</t>
  </si>
  <si>
    <t>0012p00004Qwrm7AAB</t>
  </si>
  <si>
    <t>65 685 005 400 098</t>
  </si>
  <si>
    <t>valerie.chantelauze@gcpat.com</t>
  </si>
  <si>
    <t>FR24656850054</t>
  </si>
  <si>
    <t>ARaymond France SAS</t>
  </si>
  <si>
    <t>GRENOBLE CEDEX 1</t>
  </si>
  <si>
    <t>38019</t>
  </si>
  <si>
    <t>113 Cours Berriat - BP 157</t>
  </si>
  <si>
    <t>35 294 843 400 019</t>
  </si>
  <si>
    <t>vendor1007@araymond.com</t>
  </si>
  <si>
    <t>FR07352948434</t>
  </si>
  <si>
    <t>ARAYMOND FLUID CONNECTION FRANCE sasu</t>
  </si>
  <si>
    <t>38000</t>
  </si>
  <si>
    <t>123 Rue Hilaire de Chardonnet</t>
  </si>
  <si>
    <t>001SZ000002LbugYAC</t>
  </si>
  <si>
    <t>82 465 234 100 028</t>
  </si>
  <si>
    <t>vendor1013@araymond.com</t>
  </si>
  <si>
    <t>FR68824652341</t>
  </si>
  <si>
    <t>ARAYMONDLIFE sasu</t>
  </si>
  <si>
    <t>SAINT-EGREVE</t>
  </si>
  <si>
    <t>Service Administratif et Financier</t>
  </si>
  <si>
    <t>38120</t>
  </si>
  <si>
    <t>1 Rue Louis Besançon</t>
  </si>
  <si>
    <t>50 139 701 200 037</t>
  </si>
  <si>
    <t>vendor1036@araymond.com</t>
  </si>
  <si>
    <t>FR20501397012</t>
  </si>
  <si>
    <t>CAISSE D'EPARGNE ET DE PREVOYANCE DE RHONE ALPES sa</t>
  </si>
  <si>
    <t>DEPARTEMENT EMPLOI ET CARRIERES</t>
  </si>
  <si>
    <t>69003</t>
  </si>
  <si>
    <t>116 Cours Lafayette</t>
  </si>
  <si>
    <t>38 400 602 904 193</t>
  </si>
  <si>
    <t>veronique.bochet@cera.caisse-epargne.fr</t>
  </si>
  <si>
    <t>FR24384006029</t>
  </si>
  <si>
    <t>LISI AEROSPACE FORGED INTEGRATED SOLUTIONS sas</t>
  </si>
  <si>
    <t>BOLOGNE</t>
  </si>
  <si>
    <t>52310</t>
  </si>
  <si>
    <t>39 rue des Forges</t>
  </si>
  <si>
    <t>0012p00004N16IyAAJ</t>
  </si>
  <si>
    <t>84 542 028 000 016</t>
  </si>
  <si>
    <t>veronique.gosse@lisi-group.com</t>
  </si>
  <si>
    <t>FR09845420280</t>
  </si>
  <si>
    <t>ARMOR PROTEINES sasu</t>
  </si>
  <si>
    <t>SAINT LO CEDEX 9</t>
  </si>
  <si>
    <t>AG0014AA</t>
  </si>
  <si>
    <t>59951</t>
  </si>
  <si>
    <t>19 bis rue de la Libération - TSA 40002</t>
  </si>
  <si>
    <t>67 920 028 700 010</t>
  </si>
  <si>
    <t>videocodeur-itesoft@savencia.com</t>
  </si>
  <si>
    <t>FR55679200287</t>
  </si>
  <si>
    <t>VISHAY SA</t>
  </si>
  <si>
    <t>6000</t>
  </si>
  <si>
    <t>199 Boulevard de la Madeleine</t>
  </si>
  <si>
    <t>0012p00004Nh8UKAAZ</t>
  </si>
  <si>
    <t>61 204 132 700 026</t>
  </si>
  <si>
    <t>vishaysa.ap@vishay.com</t>
  </si>
  <si>
    <t>FR32612041327</t>
  </si>
  <si>
    <t>FINE LAME sa</t>
  </si>
  <si>
    <t>BORDERES SUR L'ECHEZ</t>
  </si>
  <si>
    <t>65320</t>
  </si>
  <si>
    <t>ZI Chemin de Gayan</t>
  </si>
  <si>
    <t>0012p00004NfW1fAAF</t>
  </si>
  <si>
    <t>43 796 855 500 015</t>
  </si>
  <si>
    <t>xfuchs@charcupac.fr</t>
  </si>
  <si>
    <t>FR34437968555</t>
  </si>
  <si>
    <t>612 013 268 00026</t>
  </si>
  <si>
    <t>FR 51612013268</t>
  </si>
  <si>
    <t>UCELIA sasu</t>
  </si>
  <si>
    <t>USSEL</t>
  </si>
  <si>
    <t>19200</t>
  </si>
  <si>
    <t>ZI La Petite Borde</t>
  </si>
  <si>
    <t>0012p00004RInq7AAD</t>
  </si>
  <si>
    <t>32 284 772 400 026</t>
  </si>
  <si>
    <t>FR27322847724</t>
  </si>
  <si>
    <t>AUTAJON SERVICES sasu</t>
  </si>
  <si>
    <t>MONTELIMAR CEDEX</t>
  </si>
  <si>
    <t>26216</t>
  </si>
  <si>
    <t>36 route d'Espeluche- CS 40149</t>
  </si>
  <si>
    <t>0012p00004MzQWLAA3</t>
  </si>
  <si>
    <t>34 787 539 500 013</t>
  </si>
  <si>
    <t>FR59538487885</t>
  </si>
  <si>
    <t>ALMA SA</t>
  </si>
  <si>
    <t>SAINT- YORRE</t>
  </si>
  <si>
    <t>3270</t>
  </si>
  <si>
    <t>70 Avenue des Sources</t>
  </si>
  <si>
    <t>0012p00004UHPDrAAP</t>
  </si>
  <si>
    <t>30 448 879 400 146</t>
  </si>
  <si>
    <t>FR31304488794</t>
  </si>
  <si>
    <t>McBRIDE S.A.S</t>
  </si>
  <si>
    <t>MOYAUX</t>
  </si>
  <si>
    <t>14590</t>
  </si>
  <si>
    <t>20 Rue Gustave Flaubert</t>
  </si>
  <si>
    <t>39 115 954 800 034</t>
  </si>
  <si>
    <t>FR10391159548</t>
  </si>
  <si>
    <t>MONT BLANC sas</t>
  </si>
  <si>
    <t>CHEF DU PONT</t>
  </si>
  <si>
    <t>50480</t>
  </si>
  <si>
    <t>2 rue du Capitaine Rex Combs</t>
  </si>
  <si>
    <t>0012p00004MTowVAAT</t>
  </si>
  <si>
    <t>44 895 436 200 043</t>
  </si>
  <si>
    <t>FR56448954362</t>
  </si>
  <si>
    <t>SOCAMAINE sa</t>
  </si>
  <si>
    <t>CHAMPAGNE</t>
  </si>
  <si>
    <t>72470</t>
  </si>
  <si>
    <t>Route de Paris</t>
  </si>
  <si>
    <t>0012p00004Q8rm7AAB</t>
  </si>
  <si>
    <t>30 601 530 600 013</t>
  </si>
  <si>
    <t>FR03306015306</t>
  </si>
  <si>
    <t>SENIOR AEROSPACE ERMETO SAS</t>
  </si>
  <si>
    <t>FOSSÉ</t>
  </si>
  <si>
    <t>41330</t>
  </si>
  <si>
    <t>8 rue du Clos Thomas - BP 30</t>
  </si>
  <si>
    <t>0012p00004RIoWPAA1</t>
  </si>
  <si>
    <t>44 028 540 100 053</t>
  </si>
  <si>
    <t>FR37440285401</t>
  </si>
  <si>
    <t>SAINT-OUEN-SUR-SEINE</t>
  </si>
  <si>
    <t>93400</t>
  </si>
  <si>
    <t>16 rue Simone Veil</t>
  </si>
  <si>
    <t>001SZ00000DoG8ZYAV</t>
  </si>
  <si>
    <t>51 869 768 502 383</t>
  </si>
  <si>
    <t>Facture originale électronique via la plateforme Sy by cegedim</t>
  </si>
  <si>
    <t>FR55518697685</t>
  </si>
  <si>
    <t>001SZ00000HOn97YAD</t>
  </si>
  <si>
    <t>-</t>
  </si>
  <si>
    <t>GMR INVESTISSEMENTS sas</t>
  </si>
  <si>
    <t>CERIZAY</t>
  </si>
  <si>
    <t>79143</t>
  </si>
  <si>
    <t>Zone Industrielle de Longchamp</t>
  </si>
  <si>
    <t>0012p00004NgEJEAA3</t>
  </si>
  <si>
    <t>53 326 990 800 018</t>
  </si>
  <si>
    <t>FR85533269908</t>
  </si>
  <si>
    <t>SOCIETE NOUVELLE YABON VERNEUIL sas</t>
  </si>
  <si>
    <t>VERNEUIL SUR AVRE</t>
  </si>
  <si>
    <t>27130</t>
  </si>
  <si>
    <t>Zone Industrielle du Petit Mesnil</t>
  </si>
  <si>
    <t>0012p00004Nh7ToAAJ</t>
  </si>
  <si>
    <t>82 141 061 000 025</t>
  </si>
  <si>
    <t>FR95821410610</t>
  </si>
  <si>
    <t>LES ZELLES sasu</t>
  </si>
  <si>
    <t>LA BRESSE</t>
  </si>
  <si>
    <t>88250</t>
  </si>
  <si>
    <t>ZI Rue des Ecorces</t>
  </si>
  <si>
    <t>0012p00004Si9DbAAJ</t>
  </si>
  <si>
    <t>38 752 408 500 017</t>
  </si>
  <si>
    <t>FR10387524085</t>
  </si>
  <si>
    <t>FENETREA sasu</t>
  </si>
  <si>
    <t>BEIGNON</t>
  </si>
  <si>
    <t>56380</t>
  </si>
  <si>
    <t>PA du Chenot - BP4</t>
  </si>
  <si>
    <t>0012p00004UprtrAAB</t>
  </si>
  <si>
    <t>42 261 351 300 023</t>
  </si>
  <si>
    <t>FR14422613513</t>
  </si>
  <si>
    <t>GROUPE SFPI sa</t>
  </si>
  <si>
    <t>20 Rue de L'Arc de Triomphe</t>
  </si>
  <si>
    <t>001SZ000003jyZNYAY</t>
  </si>
  <si>
    <t>39 358 859 500 065</t>
  </si>
  <si>
    <t>FR26393588595</t>
  </si>
  <si>
    <t>LIS France sa</t>
  </si>
  <si>
    <t>CERENCES</t>
  </si>
  <si>
    <t>50510</t>
  </si>
  <si>
    <t>67 rue de la Gare</t>
  </si>
  <si>
    <t>0012p00004UJFBRAA5</t>
  </si>
  <si>
    <t>69 201 526 600 020</t>
  </si>
  <si>
    <t>FR12692015266</t>
  </si>
  <si>
    <t>AGENCE NATIONALE DES TITRES SECURISES</t>
  </si>
  <si>
    <t>CHARLEVILLE-MEZIERES</t>
  </si>
  <si>
    <t>8800</t>
  </si>
  <si>
    <t>18 Rue Irénee Carré</t>
  </si>
  <si>
    <t>13 000 326 200 024</t>
  </si>
  <si>
    <t>FR55130003262</t>
  </si>
  <si>
    <t>001IV000015S8jJYAS</t>
  </si>
  <si>
    <t>001SZ00000PTxkkYAD</t>
  </si>
  <si>
    <t>51 130 206 900 014</t>
  </si>
  <si>
    <t>FR17511302069</t>
  </si>
  <si>
    <t>PASTACORP TRAITEUR sas</t>
  </si>
  <si>
    <t>73000</t>
  </si>
  <si>
    <t>21 Rue de Borolan</t>
  </si>
  <si>
    <t>0012p00004Nh7mSAAR</t>
  </si>
  <si>
    <t>82 980 948 200 039</t>
  </si>
  <si>
    <t>FR88829809482</t>
  </si>
  <si>
    <t>001IV000015SAGpYAO</t>
  </si>
  <si>
    <t>001SZ00000PgoGgYAJ</t>
  </si>
  <si>
    <t>EUROAPI FRANCE sasu</t>
  </si>
  <si>
    <t>SAINT-AUBIN-LES-ELBEUF</t>
  </si>
  <si>
    <t>76410</t>
  </si>
  <si>
    <t>32 Rue de Verdun BP 80125</t>
  </si>
  <si>
    <t>89 109 068 000 028</t>
  </si>
  <si>
    <t>euroapi_ap_fr@bpopen.capgemini.com</t>
  </si>
  <si>
    <t>FR67891090680</t>
  </si>
  <si>
    <t>GROUPE SAB - FINANCIERE D'AZOLETTE sa</t>
  </si>
  <si>
    <t>BELMONT DE LA LOIRE</t>
  </si>
  <si>
    <t>42670</t>
  </si>
  <si>
    <t>1077 Route des 4 vents</t>
  </si>
  <si>
    <t>0012p00004TwEORAA3</t>
  </si>
  <si>
    <t>30 514 888 400 029</t>
  </si>
  <si>
    <t>FR46305148884</t>
  </si>
  <si>
    <t>OFFICE PUBLIC DE L'HABITAT DU DEPARTEMENT DE SEINE-MARITIME</t>
  </si>
  <si>
    <t>ROUEN</t>
  </si>
  <si>
    <t>HABITAT 76 - Service RHEC</t>
  </si>
  <si>
    <t>76100</t>
  </si>
  <si>
    <t>112 Boulevard d'Orléans</t>
  </si>
  <si>
    <t>78 110 744 600 069</t>
  </si>
  <si>
    <t>FR36781107446</t>
  </si>
  <si>
    <t>001SZ00000DUQDjYAP</t>
  </si>
  <si>
    <t>001IV000015SCZDYA4</t>
  </si>
  <si>
    <t>001SZ00000Ef3LHYAZ</t>
  </si>
  <si>
    <t>77 556 332 300 010</t>
  </si>
  <si>
    <t>001IV000015SCZEYA4</t>
  </si>
  <si>
    <t>001SZ00000EquXiYAJ</t>
  </si>
  <si>
    <t>58 214 338 400 029</t>
  </si>
  <si>
    <t>001IV000015SJKhYAO</t>
  </si>
  <si>
    <t>001SZ000004YXc0YAG</t>
  </si>
  <si>
    <t>Condition__c</t>
  </si>
  <si>
    <t>Contact_Recouvrement__r.Id</t>
  </si>
  <si>
    <t>New SF ID Recouvrement</t>
  </si>
  <si>
    <t>Contact_Recouvrement__r.Name</t>
  </si>
  <si>
    <t>Contact_Recouvrement__r.Email</t>
  </si>
  <si>
    <t>Facturation_Client__r.Id</t>
  </si>
  <si>
    <t>New SF ID Billing</t>
  </si>
  <si>
    <t>Facturation_Client__r.Name</t>
  </si>
  <si>
    <t>Facturation_Client__r.Email</t>
  </si>
  <si>
    <t>Fr_quence_facturation__c</t>
  </si>
  <si>
    <t>Mail_289__c</t>
  </si>
  <si>
    <t>Mode_de_paiement__c</t>
  </si>
  <si>
    <t>Nom_de_facturation__c</t>
  </si>
  <si>
    <t>Service_de_facturation__c</t>
  </si>
  <si>
    <t>0035700002LeuAqAAJ</t>
  </si>
  <si>
    <t>Compta Fournisseur ADECCO - AGF - OEM et PONTOON</t>
  </si>
  <si>
    <t>g906-01@adecco.fr</t>
  </si>
  <si>
    <t>0032p00003HZen1AAD</t>
  </si>
  <si>
    <t>Benoit DE MERSSEMAN</t>
  </si>
  <si>
    <t>benoit.demersseman@adeccogroup.com</t>
  </si>
  <si>
    <t>Mensuel</t>
  </si>
  <si>
    <t>Virement</t>
  </si>
  <si>
    <t>4 rue Jean Giono - _x000D_
BP 10063</t>
  </si>
  <si>
    <t>0032p00003gV4OCAA0</t>
  </si>
  <si>
    <t>François GAYRAUD</t>
  </si>
  <si>
    <t>francois.gayraud@lacooperativewelcoop.com</t>
  </si>
  <si>
    <t>0032p00003gV3CpAAK</t>
  </si>
  <si>
    <t>Marc BONNAFOUS</t>
  </si>
  <si>
    <t>Annuel</t>
  </si>
  <si>
    <t>003SZ00000LMHVxYAP</t>
  </si>
  <si>
    <t>Amélie GRILLET</t>
  </si>
  <si>
    <t>amelie.grillet@restonis.fr</t>
  </si>
  <si>
    <t>0032p00003gmVSZAA2</t>
  </si>
  <si>
    <t>Jennifer CHIPPAUX</t>
  </si>
  <si>
    <t>jennifer.chippaux@restonis.fr</t>
  </si>
  <si>
    <t>0032p00003oH1wYAAS</t>
  </si>
  <si>
    <t>Aurore MARCHAND</t>
  </si>
  <si>
    <t>auroremarchand@bongard.fr</t>
  </si>
  <si>
    <t>0032p00003oUbQpAAK</t>
  </si>
  <si>
    <t>Sylvie KREMER</t>
  </si>
  <si>
    <t>sylviekremer@bongard.fr</t>
  </si>
  <si>
    <t>RD ANGERS (ex KEOLIS ANGERS)</t>
  </si>
  <si>
    <t>6 rue du  Bois Rinier</t>
  </si>
  <si>
    <t>0032p00003hsAE4AAM</t>
  </si>
  <si>
    <t>Irigo Factures - RD ANGERS</t>
  </si>
  <si>
    <t>0032p00003fwWjMAAU</t>
  </si>
  <si>
    <t>Lise BAJIC</t>
  </si>
  <si>
    <t>lise.bajic@groupe-bel.com</t>
  </si>
  <si>
    <t>0032p00003h4Ve2AAE</t>
  </si>
  <si>
    <t>Emma KASBARIAN</t>
  </si>
  <si>
    <t>0032p00003iiMQOAA2</t>
  </si>
  <si>
    <t>Alberic DELATTRE (invoice)</t>
  </si>
  <si>
    <t>0032p00003iP7scAAC</t>
  </si>
  <si>
    <t>Benoît BUYSSENS</t>
  </si>
  <si>
    <t>b.buyssens@groupsylvareg.fr</t>
  </si>
  <si>
    <t>0032p00003iRSPdAAO</t>
  </si>
  <si>
    <t>Virginie DECROIX</t>
  </si>
  <si>
    <t>v.decroix@groupesylvagreg.fr</t>
  </si>
  <si>
    <t>LEMOINE FRANCE</t>
  </si>
  <si>
    <t>0032p00003mEaJZAA0</t>
  </si>
  <si>
    <t>Isabelle LEGROS</t>
  </si>
  <si>
    <t>i.legros@groupe-lemoine.com</t>
  </si>
  <si>
    <t>0032p00003h4IQ8AAM</t>
  </si>
  <si>
    <t>Nathalie LEBOSSE</t>
  </si>
  <si>
    <t>n.lebosse@groupe-lemoine.com</t>
  </si>
  <si>
    <t>51 rue Andre Maurois - _x000D_
Parc d'activités de l'Armancon - BP 13</t>
  </si>
  <si>
    <t>0032p00003h4XEzAAM</t>
  </si>
  <si>
    <t>Laura MORISSON</t>
  </si>
  <si>
    <t>laura.morisson@stradal.fr</t>
  </si>
  <si>
    <t>0032p00003hBqUzAAK</t>
  </si>
  <si>
    <t>Virginie PAUL (Fourn)</t>
  </si>
  <si>
    <t>fournisseurs@ats-centre.fr</t>
  </si>
  <si>
    <t>DOKA FRANCE</t>
  </si>
  <si>
    <t>0032p00003h6cZ4AAI</t>
  </si>
  <si>
    <t>Sophie DORANGE</t>
  </si>
  <si>
    <t>sophie.dorange@doka.com</t>
  </si>
  <si>
    <t>0032p00003hf1s2AAA</t>
  </si>
  <si>
    <t>Myriam CORDIER (Compta)</t>
  </si>
  <si>
    <t>TOYO INK EUROPE</t>
  </si>
  <si>
    <t>0032p00003h6rppAAA</t>
  </si>
  <si>
    <t>Nadia HAMMOUANI</t>
  </si>
  <si>
    <t>nhammouani@toyoink-europe.com</t>
  </si>
  <si>
    <t>JELD WEN USSEL</t>
  </si>
  <si>
    <t>0032p00003iR9SHAA0</t>
  </si>
  <si>
    <t>Pascal RUBIO</t>
  </si>
  <si>
    <t>comptafrs@jeld-wen.fr</t>
  </si>
  <si>
    <t>0032p00003hBSIwAAO</t>
  </si>
  <si>
    <t>Thibaud CACERES (rhpaie)</t>
  </si>
  <si>
    <t>0032p00003hBvHBAA0</t>
  </si>
  <si>
    <t>Oksana GORLET</t>
  </si>
  <si>
    <t>oksana.gorlet@moulinsbourgeois.com</t>
  </si>
  <si>
    <t>0032p00003igdZBAAY</t>
  </si>
  <si>
    <t>Clotilde CHAUDRON - Oksana GORLET - Gest.RH</t>
  </si>
  <si>
    <t>DE NEUVILLE</t>
  </si>
  <si>
    <t>0032p00003hhRj4AAE</t>
  </si>
  <si>
    <t>Jérémy ROSAMOND</t>
  </si>
  <si>
    <t>0032p00003hs9qyAAA</t>
  </si>
  <si>
    <t>Valerie DUPRESSOIR</t>
  </si>
  <si>
    <t>valerie.dupressoir@vwfs.com</t>
  </si>
  <si>
    <t>0032p00003hDK8fAAG</t>
  </si>
  <si>
    <t>Mélanie SUC</t>
  </si>
  <si>
    <t>0032p00003iKeKcAAK</t>
  </si>
  <si>
    <t>Erwan MORVAN</t>
  </si>
  <si>
    <t>erwan.morvan@ball.com</t>
  </si>
  <si>
    <t>0032p00003j4C6JAAU</t>
  </si>
  <si>
    <t>Michele MOLINA</t>
  </si>
  <si>
    <t>cedexfrancemolinamichele.molina@autajon.com</t>
  </si>
  <si>
    <t>003D000001YhsXVIAZ</t>
  </si>
  <si>
    <t>Evelyne VICHARD</t>
  </si>
  <si>
    <t>evelyne.vichard@autajon.com</t>
  </si>
  <si>
    <t>0032p00003hrRUkAAM</t>
  </si>
  <si>
    <t>CSPLI LAGRANGE</t>
  </si>
  <si>
    <t>0032p00003hDtpBAAS</t>
  </si>
  <si>
    <t>Margot RAUD</t>
  </si>
  <si>
    <t>m.raud@camus.fr</t>
  </si>
  <si>
    <t>0032p00003iR8oSAAS</t>
  </si>
  <si>
    <t>Nadia BOUHOUDI</t>
  </si>
  <si>
    <t>NEFAB PACKAGING</t>
  </si>
  <si>
    <t>0032p00003hsEsZAAU</t>
  </si>
  <si>
    <t>Marie-Christine LARA</t>
  </si>
  <si>
    <t>marie-christine.lara@nefab.com</t>
  </si>
  <si>
    <t>0032p00003hDua2AAC</t>
  </si>
  <si>
    <t>Stéphanie REGNIER</t>
  </si>
  <si>
    <t>LISI AEROSPACE (LES FORGES DE BOLOGNE)</t>
  </si>
  <si>
    <t>0032p00003igeLtAAI</t>
  </si>
  <si>
    <t>Véronique GOSSE</t>
  </si>
  <si>
    <t>0032p00003i1qPbAAI</t>
  </si>
  <si>
    <t>Cendrine BORDJIHANE (Fourn)</t>
  </si>
  <si>
    <t>SOCIETE GENERALE TECHNIQUE - (MG PARTICIPATIONS)</t>
  </si>
  <si>
    <t>0032p00003hgpVVAAY</t>
  </si>
  <si>
    <t>Virginie RAYMOND</t>
  </si>
  <si>
    <t>v.raymond@sgt-france.com</t>
  </si>
  <si>
    <t>MG PARTICIPATIONS sas</t>
  </si>
  <si>
    <t>0032p00003igdNWAAY</t>
  </si>
  <si>
    <t>Comptabilité METALOR</t>
  </si>
  <si>
    <t>ap.courville@metalor.com</t>
  </si>
  <si>
    <t>0032p00003iSNnDAAW</t>
  </si>
  <si>
    <t>Brigitte BIECHLER</t>
  </si>
  <si>
    <t>bbiechler@fossil.com</t>
  </si>
  <si>
    <t>0032p00003ijeVnAAI</t>
  </si>
  <si>
    <t>Fanny ANTOLINI (Fact)</t>
  </si>
  <si>
    <t>0032p00003mBjLiAAK</t>
  </si>
  <si>
    <t>Hélène VALAIZE</t>
  </si>
  <si>
    <t>0032p00003huMK4AAM</t>
  </si>
  <si>
    <t>Corinne COULON (Compta)</t>
  </si>
  <si>
    <t>comtpa@pdg-plastiques.com</t>
  </si>
  <si>
    <t>0032p00003hhXHuAAM</t>
  </si>
  <si>
    <t>baptiste.villevalois@pdg-plastiques.com</t>
  </si>
  <si>
    <t>003SZ0000019ZkOYAU</t>
  </si>
  <si>
    <t>Manon PARENT</t>
  </si>
  <si>
    <t>manon.caulier@soflacobat.fr</t>
  </si>
  <si>
    <t>0032p00003hrEpOAAU</t>
  </si>
  <si>
    <t>Isabelle BRUNEEL</t>
  </si>
  <si>
    <t>Route départementale 751 - _x000D_
Les Levées de la Loire</t>
  </si>
  <si>
    <t>0032p00003iOnTxAAK</t>
  </si>
  <si>
    <t>Marie Christine SAVATON</t>
  </si>
  <si>
    <t>mcsavaton@smlf.fr</t>
  </si>
  <si>
    <t>003SZ000000iFONYA2</t>
  </si>
  <si>
    <t>Michel DESABLIN</t>
  </si>
  <si>
    <t>0032p00003hrpYcAAI</t>
  </si>
  <si>
    <t>Sandrine ZABATTA</t>
  </si>
  <si>
    <t>sandrine.zabatta@cofidis-group.com</t>
  </si>
  <si>
    <t>003SZ00000QF44LYAT</t>
  </si>
  <si>
    <t>Fanny CARON</t>
  </si>
  <si>
    <t>fanny.caron@rdam.nestle.com</t>
  </si>
  <si>
    <t>Semestriel</t>
  </si>
  <si>
    <t>0032p00003iiN3NAAU</t>
  </si>
  <si>
    <t>Stephane VAYSSIERE</t>
  </si>
  <si>
    <t>sva@reynaers.com</t>
  </si>
  <si>
    <t>0032p00003hs8mhAAA</t>
  </si>
  <si>
    <t>Christelle MERESSE</t>
  </si>
  <si>
    <t>1342 rue d'Elbeuf - _x000D_
Bourgtheroulde-Infreville</t>
  </si>
  <si>
    <t>0032p00003iKoHrAAK</t>
  </si>
  <si>
    <t>Mélodie ROLAIN (Factures)</t>
  </si>
  <si>
    <t>0032p00003hsxrgAAA</t>
  </si>
  <si>
    <t>Florence COUTURIER</t>
  </si>
  <si>
    <t>florence.couturier@spsglobal.com</t>
  </si>
  <si>
    <t>0032p00003iQoOwAAK</t>
  </si>
  <si>
    <t>Fabienne DUFOUR</t>
  </si>
  <si>
    <t>fabienne.dufour@lecta.com</t>
  </si>
  <si>
    <t>0032p00003irScwAAE</t>
  </si>
  <si>
    <t>Xavier FUCHS</t>
  </si>
  <si>
    <t>0032p00003iQr0HAAS</t>
  </si>
  <si>
    <t>Idalina MACHADO</t>
  </si>
  <si>
    <t>0032p00003j48tjAAA</t>
  </si>
  <si>
    <t>Valérie THIBAUDEAU (compta Samiplast)</t>
  </si>
  <si>
    <t>Pôle Technique Odyssée - _x000D_
6 rue Denis Papin</t>
  </si>
  <si>
    <t>0032p00003j48ecAAA</t>
  </si>
  <si>
    <t>Valérie THIBAUDEAU  (compta Samibois)</t>
  </si>
  <si>
    <t>0032p00003huLuFAAU</t>
  </si>
  <si>
    <t>Fabienne BENOIST</t>
  </si>
  <si>
    <t>f.benoist@egdc-sa.fr</t>
  </si>
  <si>
    <t>0032p00003huLWnAAM</t>
  </si>
  <si>
    <t>Sébastien RAMPILLON</t>
  </si>
  <si>
    <t>s.rampillon@egdc-sa.fr</t>
  </si>
  <si>
    <t>0032p00003igcavAAA</t>
  </si>
  <si>
    <t>Bruno GRATAS</t>
  </si>
  <si>
    <t>0032p00003iocgPAAQ</t>
  </si>
  <si>
    <t>Cynthia VERGER (Compta)</t>
  </si>
  <si>
    <t>comptabilite.fournisseur@yabon.fr</t>
  </si>
  <si>
    <t>0032p00003hvJMYAA2</t>
  </si>
  <si>
    <t>Lory LAGACHE</t>
  </si>
  <si>
    <t>lory.lagache@pastacorp.com</t>
  </si>
  <si>
    <t>0032p00003j4UwGAAU</t>
  </si>
  <si>
    <t>Lory LAGACHE (Facturation)</t>
  </si>
  <si>
    <t>factures.fournisseurs.c420@pastacorp.com</t>
  </si>
  <si>
    <t>06000</t>
  </si>
  <si>
    <t>0032p00003ijEkNAAU</t>
  </si>
  <si>
    <t>Nathalie SOJKA</t>
  </si>
  <si>
    <t>nathalie.sojka@vishay.com</t>
  </si>
  <si>
    <t>76 rue  des Artisans</t>
  </si>
  <si>
    <t>0032p00003n8sjHAAQ</t>
  </si>
  <si>
    <t>Anne CAMBON (compta.fourn)</t>
  </si>
  <si>
    <t>0032p00003iRPLKAA4</t>
  </si>
  <si>
    <t>Anne POCQUET</t>
  </si>
  <si>
    <t>anne.pocquet@carbody.eu</t>
  </si>
  <si>
    <t>0032p00003iRRG1AAO</t>
  </si>
  <si>
    <t>Kaoutar ELAMRANI</t>
  </si>
  <si>
    <t>kaoutar.elamrani@carbody.eu</t>
  </si>
  <si>
    <t>003SZ000001vPM6YAM</t>
  </si>
  <si>
    <t>Marjorie LAGARRIGUE</t>
  </si>
  <si>
    <t>m.lagarrigue@crustac.fr</t>
  </si>
  <si>
    <t>factures-crustac@crustac.fr</t>
  </si>
  <si>
    <t>003SZ00000JeBt4YAF</t>
  </si>
  <si>
    <t>Compta EURALIS</t>
  </si>
  <si>
    <t>003SZ000006TG62YAG</t>
  </si>
  <si>
    <t>Françoise LACOSTE BESINAU - (factures.siege)</t>
  </si>
  <si>
    <t>factures.siege@euralis.com</t>
  </si>
  <si>
    <t>0032p00003hWBwrAAG</t>
  </si>
  <si>
    <t>Nathalie AZA</t>
  </si>
  <si>
    <t>nathalie.aza@pierre-fabre.com</t>
  </si>
  <si>
    <t>0032p00003iOksrAAC</t>
  </si>
  <si>
    <t>Marie-Christine KEROUANTON</t>
  </si>
  <si>
    <t>mariechristine.kerouanton@sodel-sa.eu</t>
  </si>
  <si>
    <t>003SZ00000giwkrYAA</t>
  </si>
  <si>
    <t>Recouvrement MAITRES LAITIERS DU COTENTIN</t>
  </si>
  <si>
    <t>factures@maitres-laitiers.fr</t>
  </si>
  <si>
    <t>0032p00003msxAZAAY</t>
  </si>
  <si>
    <t>Paul BEZARD</t>
  </si>
  <si>
    <t>0032p00003iqlkYAAQ</t>
  </si>
  <si>
    <t>Zinab DURANCON</t>
  </si>
  <si>
    <t>zdurancon@chabanne.com</t>
  </si>
  <si>
    <t>0032p00003iqhgfAAA</t>
  </si>
  <si>
    <t>Zinab DURANCON (Compta Fourn))</t>
  </si>
  <si>
    <t>0032p00003l5jamAAA</t>
  </si>
  <si>
    <t>Ludivine HAQUETTE</t>
  </si>
  <si>
    <t>ludivine.haquette@pernod-ricard.com</t>
  </si>
  <si>
    <t>0032p00003i1UWYAA2</t>
  </si>
  <si>
    <t>Laure ESCUDIE</t>
  </si>
  <si>
    <t>lescudie@olichon.fr</t>
  </si>
  <si>
    <t>INTERNATIONAL PAPER France</t>
  </si>
  <si>
    <t>0032p00003lsSWXAA2</t>
  </si>
  <si>
    <t>Sabrina GONNAUD</t>
  </si>
  <si>
    <t>sabrina.gonnaud@ipaper.com</t>
  </si>
  <si>
    <t>invoice@palmpackaging.com</t>
  </si>
  <si>
    <t>Palm Packaging Saint-Amand SAS</t>
  </si>
  <si>
    <t>0032p00003i2ATLAA2</t>
  </si>
  <si>
    <t>Morgane YZABEL</t>
  </si>
  <si>
    <t>morgane.yzabel@verallia.com</t>
  </si>
  <si>
    <t>0032p00003nA72gAAC</t>
  </si>
  <si>
    <t>Coralie ROUYE</t>
  </si>
  <si>
    <t>0032p00003i2W0pAAE</t>
  </si>
  <si>
    <t>Charline PESCATORI</t>
  </si>
  <si>
    <t>charline.pescatori@sacmi.fr</t>
  </si>
  <si>
    <t>SOCIETE SAVOYARDE DE CONSTRUCTION _x000D_
ET DE MATERIEL INDUSTRIEL sas</t>
  </si>
  <si>
    <t>0032p00003k4NatAAE</t>
  </si>
  <si>
    <t>Albina KAMALETDINOVA (Compta)</t>
  </si>
  <si>
    <t>compta.fournisseurs@ricoh.fr</t>
  </si>
  <si>
    <t>0032p00003k4NA5AAM</t>
  </si>
  <si>
    <t>Paul BERTRAND</t>
  </si>
  <si>
    <t>02315</t>
  </si>
  <si>
    <t>0032p00003ijVCGAA2</t>
  </si>
  <si>
    <t>Kirsten VANDENHOUWE</t>
  </si>
  <si>
    <t>kirsten.vandenhouwe@vpkgroup.com</t>
  </si>
  <si>
    <t>0032p00003iSK1OAAW</t>
  </si>
  <si>
    <t>Pauline MONNIER</t>
  </si>
  <si>
    <t>pauline.monnier@vpkgroup.com</t>
  </si>
  <si>
    <t>0032p00003iqzQ6AAI</t>
  </si>
  <si>
    <t>Monika HORVATH (Accounting)</t>
  </si>
  <si>
    <t>accountinghub.budaors@tetrapak.com</t>
  </si>
  <si>
    <t>003SZ000002Dq9NYAS</t>
  </si>
  <si>
    <t>Vivien DUBOIS - (scomptabilite)</t>
  </si>
  <si>
    <t>0032p00003j1zWgAAI</t>
  </si>
  <si>
    <t>Nadine CROUILBOIS</t>
  </si>
  <si>
    <t>nadine.crouilbois@fmgc.net</t>
  </si>
  <si>
    <t>69134</t>
  </si>
  <si>
    <t>0032p00003igaxeAAA</t>
  </si>
  <si>
    <t>Charlène LEBAILLY</t>
  </si>
  <si>
    <t>charlene.lebailly@basf.com</t>
  </si>
  <si>
    <t>02300</t>
  </si>
  <si>
    <t>0032p00003oFbTPAA0</t>
  </si>
  <si>
    <t>Cléa GANTOIS</t>
  </si>
  <si>
    <t>clea.gantois@dupont.com</t>
  </si>
  <si>
    <t>GROUPE RIOLAND</t>
  </si>
  <si>
    <t>0032p00003ihAfeAAE</t>
  </si>
  <si>
    <t>Benoît PINON</t>
  </si>
  <si>
    <t>0032p00003jxrJbAAI</t>
  </si>
  <si>
    <t>Stéphanie VILLEDIEU</t>
  </si>
  <si>
    <t>stephanie.villedieu@dalloz.services</t>
  </si>
  <si>
    <t>0032p00003jemnlAAA</t>
  </si>
  <si>
    <t>Clothilde ANDRE-CHARTIER (Compta)</t>
  </si>
  <si>
    <t>compta@reica.fr</t>
  </si>
  <si>
    <t>0032p00003jMM40AAG</t>
  </si>
  <si>
    <t>Elodie SAUDAIN</t>
  </si>
  <si>
    <t>0032p00003oH0lcAAC</t>
  </si>
  <si>
    <t>Stéphanie BLARET (invoices)</t>
  </si>
  <si>
    <t>06200</t>
  </si>
  <si>
    <t>0032p00003kBRPZAA4</t>
  </si>
  <si>
    <t>Isabelle AUBRY</t>
  </si>
  <si>
    <t>isabelle.aubry@bpmed.fr</t>
  </si>
  <si>
    <t>0032p00003jNeUiAAK</t>
  </si>
  <si>
    <t>Cécile GEOFFROY</t>
  </si>
  <si>
    <t>0032p00003jPQmIAAW</t>
  </si>
  <si>
    <t>Maurice SALIH</t>
  </si>
  <si>
    <t>salih@em-lyon.com</t>
  </si>
  <si>
    <t>0032p00003jnLp3AAE</t>
  </si>
  <si>
    <t>DELPHINE BANNIER</t>
  </si>
  <si>
    <t>62 avenue de la Villette -_x000D_
BP Fleurs 389 -</t>
  </si>
  <si>
    <t>0032p00003Fz6CWAAZ</t>
  </si>
  <si>
    <t>Nathalie LESSERT</t>
  </si>
  <si>
    <t>0032p00003kic8lAAA</t>
  </si>
  <si>
    <t>Céline BALIN</t>
  </si>
  <si>
    <t>c.balin@ieseg.fr</t>
  </si>
  <si>
    <t>003SZ000005cwRWYAY</t>
  </si>
  <si>
    <t>Charlotte VILLEFROY</t>
  </si>
  <si>
    <t>charlotte.villefroy@bicworld.com</t>
  </si>
  <si>
    <t>0032p00003kif8ZAAQ</t>
  </si>
  <si>
    <t>Elodie LINET</t>
  </si>
  <si>
    <t>LE TELEGRAMME - MORLAIX</t>
  </si>
  <si>
    <t>003SZ0000065cNoYAI</t>
  </si>
  <si>
    <t>Bénédicte LE DOUJET (factures)</t>
  </si>
  <si>
    <t>factures@groupe-telegramme-services.fr</t>
  </si>
  <si>
    <t>03800</t>
  </si>
  <si>
    <t>0032p00003i1ICiAAM</t>
  </si>
  <si>
    <t>Nathalie DA CUNHA</t>
  </si>
  <si>
    <t>n.dacunha@pileje-industrie.com</t>
  </si>
  <si>
    <t>0032p00003kZmnKAAS</t>
  </si>
  <si>
    <t>GOUYET-CIAIS Clémentine</t>
  </si>
  <si>
    <t>c.gouyetciais@pileje-industrie.com</t>
  </si>
  <si>
    <t>PILEJE sasu</t>
  </si>
  <si>
    <t>003SZ000005WoN3YAK</t>
  </si>
  <si>
    <t>Magali HALTER - (eicomptabilite)</t>
  </si>
  <si>
    <t>eicomptabilite@e-i.com</t>
  </si>
  <si>
    <t>0032p00003l3VLYAA2</t>
  </si>
  <si>
    <t>Romain LETESSIER</t>
  </si>
  <si>
    <t>romain.letessier@socamaire.leclerc</t>
  </si>
  <si>
    <t>0032p00003l3U1HAAU</t>
  </si>
  <si>
    <t>Pauline HENNEQUIN</t>
  </si>
  <si>
    <t>pauline.denis@socamaine.leclerc</t>
  </si>
  <si>
    <t>FIVES CRYO</t>
  </si>
  <si>
    <t>0032p00003i2TXCAA2</t>
  </si>
  <si>
    <t>Hélène CUEFF</t>
  </si>
  <si>
    <t>helene.cueff@fivesgroup.com</t>
  </si>
  <si>
    <t>0032p00003l2mZEAAY</t>
  </si>
  <si>
    <t>Béatrice JUMELART</t>
  </si>
  <si>
    <t>Prélèvement</t>
  </si>
  <si>
    <t>0032p00003l37HKAAY</t>
  </si>
  <si>
    <t>Elina STEPHAN</t>
  </si>
  <si>
    <t>elina.stephan@llproducts.com</t>
  </si>
  <si>
    <t>0032p00003l5qgJAAQ</t>
  </si>
  <si>
    <t>Régine ZWIEBEL</t>
  </si>
  <si>
    <t>0032p00003l3UApAAM</t>
  </si>
  <si>
    <t>Chantal GOSSE</t>
  </si>
  <si>
    <t>c.gosse@groupe-bonnefoy.fr</t>
  </si>
  <si>
    <t>0032p00003nQ27UAAS</t>
  </si>
  <si>
    <t>Compta Fournisseurs MBS</t>
  </si>
  <si>
    <t>0032p00003nBCOuAAO</t>
  </si>
  <si>
    <t>Angélique FRANCESCATTI</t>
  </si>
  <si>
    <t>a.francescatti@monbtpellier-bs.com</t>
  </si>
  <si>
    <t>0032p00003nzkauAAA</t>
  </si>
  <si>
    <t>Fabienne KETTEMEYER (industries.fact)</t>
  </si>
  <si>
    <t>0035700002M0jcRAAR</t>
  </si>
  <si>
    <t>Olivia ATAKORAH</t>
  </si>
  <si>
    <t>atakorah.olivia@cofel.biz</t>
  </si>
  <si>
    <t>Route du Pont  8</t>
  </si>
  <si>
    <t>003SZ0000016qGHYAY</t>
  </si>
  <si>
    <t>0032p00003lNxpGAAS</t>
  </si>
  <si>
    <t>Dany INCARDONA</t>
  </si>
  <si>
    <t>003SZ000002NK9pYAG</t>
  </si>
  <si>
    <t>Patricia PELARD</t>
  </si>
  <si>
    <t>0032p00003lsiksAAA</t>
  </si>
  <si>
    <t>David JUBIEN</t>
  </si>
  <si>
    <t>david.jubien@mm.group</t>
  </si>
  <si>
    <t>0032p00003ldTqqAAE</t>
  </si>
  <si>
    <t>Valérie CHANTELAUZE</t>
  </si>
  <si>
    <t>0032p00003oFGsYAAW</t>
  </si>
  <si>
    <t>Envoi FACTURES - Georges MONIN</t>
  </si>
  <si>
    <t>0032p00003lQMLtAAO</t>
  </si>
  <si>
    <t>MARINE GHIGLIONE</t>
  </si>
  <si>
    <t>m.ghiglione@nicomatic.fr</t>
  </si>
  <si>
    <t>0032p00003lptb5AAA</t>
  </si>
  <si>
    <t>Anne MUGNIER</t>
  </si>
  <si>
    <t>anne.mugnier@fmc.com</t>
  </si>
  <si>
    <t>0032p00003luuwYAAQ</t>
  </si>
  <si>
    <t>Christian HUET</t>
  </si>
  <si>
    <t>christian.huet@eureden.com</t>
  </si>
  <si>
    <t>0032p00003mscCHAAY</t>
  </si>
  <si>
    <t>Régine OGER</t>
  </si>
  <si>
    <t>regine.oger@eureden.com</t>
  </si>
  <si>
    <t>03300</t>
  </si>
  <si>
    <t>003SZ000001TF4jYAG</t>
  </si>
  <si>
    <t>Rémi LUCENET</t>
  </si>
  <si>
    <t>remi.lucenet@engie.com</t>
  </si>
  <si>
    <t>0032p00003mvkPdAAI</t>
  </si>
  <si>
    <t>Corinne AUDOUARD</t>
  </si>
  <si>
    <t>corinne.audouard@saint-gobain.com</t>
  </si>
  <si>
    <t>003SZ00000CVD0TYAX</t>
  </si>
  <si>
    <t>Gersende FAUCHER</t>
  </si>
  <si>
    <t>0032p00003nCbEcAAK</t>
  </si>
  <si>
    <t>Olivier LENESTOUR (accounting)</t>
  </si>
  <si>
    <t>accounting.millet@milletmoutaingroup.com</t>
  </si>
  <si>
    <t>003SZ000005fxMDYAY</t>
  </si>
  <si>
    <t>Marietha BRUN</t>
  </si>
  <si>
    <t>marietha.brun@ucelia.com</t>
  </si>
  <si>
    <t>0032p00003lo2jaAAA</t>
  </si>
  <si>
    <t>Fabienne POTAGE LEGOFF</t>
  </si>
  <si>
    <t>fpotage@seniorermeto.com</t>
  </si>
  <si>
    <t>0032p00003lo2iXAAQ</t>
  </si>
  <si>
    <t>Prescillia MORIS</t>
  </si>
  <si>
    <t>pmoris@seniorermeto.com</t>
  </si>
  <si>
    <t>0032p00003oEdsVAAS</t>
  </si>
  <si>
    <t>Sophie PANCRASSIN (frsu.compta)</t>
  </si>
  <si>
    <t>1 rue de la Couture - Le Hub Bâtiment A - _x000D_
Zone de la Pilaterie - CS 76015</t>
  </si>
  <si>
    <t>003SZ000007OSb0YAG</t>
  </si>
  <si>
    <t>Stéphane WARYN</t>
  </si>
  <si>
    <t>003SZ000007ON7XYAW</t>
  </si>
  <si>
    <t>Jalila TRIKAS</t>
  </si>
  <si>
    <t>jtrikas@graindemalice.com</t>
  </si>
  <si>
    <t>0032p00003mF332AAC</t>
  </si>
  <si>
    <t>Lydie GAUDIN (compta)</t>
  </si>
  <si>
    <t>0032p00003nAX94AAG</t>
  </si>
  <si>
    <t>Annie ROCHET (comptamob-frs)</t>
  </si>
  <si>
    <t>0032p00003li7jgAAA</t>
  </si>
  <si>
    <t>Christelle PERNET</t>
  </si>
  <si>
    <t>cpernet@moutarde.com</t>
  </si>
  <si>
    <t>0032p00003lf7KxAAI</t>
  </si>
  <si>
    <t>Tiphaine BOILLEAUT</t>
  </si>
  <si>
    <t>0032p00003lo8k2AAA</t>
  </si>
  <si>
    <t>Céline BALLOT</t>
  </si>
  <si>
    <t>celine.ballot@cebfc.caisse-epargne.fr</t>
  </si>
  <si>
    <t>0035700002IsMEIAA3</t>
  </si>
  <si>
    <t>Jack DUDA</t>
  </si>
  <si>
    <t>jack.duda@pontoonsolutions.com</t>
  </si>
  <si>
    <t>Comptabilité Fournisseur_x000D_
Code analytique: A03</t>
  </si>
  <si>
    <t>0032p00003lpOmWAAU</t>
  </si>
  <si>
    <t>Arnaud HUBERT (compta)</t>
  </si>
  <si>
    <t>AMPHENOL FCI</t>
  </si>
  <si>
    <t>0032p00003X0ClqAAF</t>
  </si>
  <si>
    <t>Jemil ISHAK-BOUSHAKI</t>
  </si>
  <si>
    <t>jemil.ishak-boushaki@fci.com</t>
  </si>
  <si>
    <t>0032p00003lnh3KAAQ</t>
  </si>
  <si>
    <t>Marion BOUGEARD</t>
  </si>
  <si>
    <t>003SZ000000cMp8YAE</t>
  </si>
  <si>
    <t>Aurélie RANNOU (compta)</t>
  </si>
  <si>
    <t>compta.colibri@roullier.com</t>
  </si>
  <si>
    <t>0032p00003lnkXEAAY</t>
  </si>
  <si>
    <t>Isabelle LEROY</t>
  </si>
  <si>
    <t>01200</t>
  </si>
  <si>
    <t>003SZ000001yFRqYAM</t>
  </si>
  <si>
    <t>Gabriel DALIN</t>
  </si>
  <si>
    <t>003SZ00000EOaISYA1</t>
  </si>
  <si>
    <t>Stéphanie PASCAL</t>
  </si>
  <si>
    <t>stephanie.pascal@kuraray.com</t>
  </si>
  <si>
    <t>003SZ00000E7F3zYAF</t>
  </si>
  <si>
    <t>Christophe RENONCIAL</t>
  </si>
  <si>
    <t>0032p00003btkqeAAA</t>
  </si>
  <si>
    <t>Valerie PETELOT</t>
  </si>
  <si>
    <t>valerie.petelot@hansgrohe.fr</t>
  </si>
  <si>
    <t>003SZ000001uIuXYAU</t>
  </si>
  <si>
    <t>Sophie DANGELSER (comptabilite)</t>
  </si>
  <si>
    <t>003SZ000003lpC1YAI</t>
  </si>
  <si>
    <t>Emeline PIQUE</t>
  </si>
  <si>
    <t>003SZ000004C3uNYAS</t>
  </si>
  <si>
    <t>Leocadie LECOURTOIS</t>
  </si>
  <si>
    <t>leocadie.lecourtois@savencia.com</t>
  </si>
  <si>
    <t>003SZ000000zfXiYAI</t>
  </si>
  <si>
    <t>Morgane CICHY</t>
  </si>
  <si>
    <t>m.cichy@fr.urgo.com</t>
  </si>
  <si>
    <t>003SZ000001dBuLYAU</t>
  </si>
  <si>
    <t>Isabelle VEKEMAN</t>
  </si>
  <si>
    <t>isabelle.vekeman@sopronem.com</t>
  </si>
  <si>
    <t>0032p00003p3zsiAAA</t>
  </si>
  <si>
    <t>Emmanuella JEANNITON</t>
  </si>
  <si>
    <t>0032p00003p2y3xAAA</t>
  </si>
  <si>
    <t>Vanessa SORDELET</t>
  </si>
  <si>
    <t>v.sordelet@groupe-streit.com</t>
  </si>
  <si>
    <t>003SZ00000WLPSQYA5</t>
  </si>
  <si>
    <t>Angélique CLOP - (comptabilité)</t>
  </si>
  <si>
    <t>comptabilite@eurolysine.com</t>
  </si>
  <si>
    <t>0032p00003lsoqeAAA</t>
  </si>
  <si>
    <t>Fabienne BOISBOURDIN</t>
  </si>
  <si>
    <t>fabienne.boisbourdin@ksb.com</t>
  </si>
  <si>
    <t>0032p00003ldSwvAAE</t>
  </si>
  <si>
    <t>Thomas BRUNEAU</t>
  </si>
  <si>
    <t>thomas.bruneau@ksb.com</t>
  </si>
  <si>
    <t>0032p00003lspGEAAY</t>
  </si>
  <si>
    <t>Vincent PORTRAIT</t>
  </si>
  <si>
    <t>vportrait@groupe-papin.fr</t>
  </si>
  <si>
    <t>0032p00003mvnciAAA</t>
  </si>
  <si>
    <t>Jean Michel COGNAULT</t>
  </si>
  <si>
    <t>jmcognault@cheddite.com</t>
  </si>
  <si>
    <t>0032p00003mvoF7AAI</t>
  </si>
  <si>
    <t>Cédric GRANGE (factures)</t>
  </si>
  <si>
    <t>03000</t>
  </si>
  <si>
    <t>0032000000UMSw1AAH</t>
  </si>
  <si>
    <t>Arnaud RAULET</t>
  </si>
  <si>
    <t>arnaud.raulet@mewa.fr</t>
  </si>
  <si>
    <t>003SZ000002WSpdYAG</t>
  </si>
  <si>
    <t>Maxime GOUPIL - (factures.metal)</t>
  </si>
  <si>
    <t>factures.metal@axe-group.com</t>
  </si>
  <si>
    <t>0032p00003luYXbAAM</t>
  </si>
  <si>
    <t>Julia RIOULT</t>
  </si>
  <si>
    <t>003SZ000001zdtVYAQ</t>
  </si>
  <si>
    <t>Jérôme COTTEREAU</t>
  </si>
  <si>
    <t>0032p00003lqbJjAAI</t>
  </si>
  <si>
    <t>Céline GUICHARD</t>
  </si>
  <si>
    <t>003SZ000002C1iuYAC</t>
  </si>
  <si>
    <t>Valérie TRAN</t>
  </si>
  <si>
    <t>0032p00003msx7YAAQ</t>
  </si>
  <si>
    <t>Nicolas HEUDIER</t>
  </si>
  <si>
    <t>nicolas.heudier@cenexi.com</t>
  </si>
  <si>
    <t>0032p00003mWO9XAAW</t>
  </si>
  <si>
    <t>Roxane HOLAT</t>
  </si>
  <si>
    <t>0032p00003mvlCPAAY</t>
  </si>
  <si>
    <t>Christophe DE LAVALETTE</t>
  </si>
  <si>
    <t>0032p00003mtAMdAAM</t>
  </si>
  <si>
    <t>Corinne DUFRECHOU</t>
  </si>
  <si>
    <t>cdufrechou@roval.fr</t>
  </si>
  <si>
    <t>003SZ000001OM22YAG</t>
  </si>
  <si>
    <t>Aurélie BOISSONNEAU (compta.groupe)</t>
  </si>
  <si>
    <t>aurelie.boissonneau@plastivaloire.com</t>
  </si>
  <si>
    <t>apvl@plastivaloire.com</t>
  </si>
  <si>
    <t>APVL@plastivaloire.com</t>
  </si>
  <si>
    <t>003SZ000007baAEYAY</t>
  </si>
  <si>
    <t>Céline BIMBAUD</t>
  </si>
  <si>
    <t>0032p00003n9CihAAE</t>
  </si>
  <si>
    <t>Mathieu TARDY</t>
  </si>
  <si>
    <t>mtardy@caillau.com</t>
  </si>
  <si>
    <t>003SZ00000T4Bp0YAF</t>
  </si>
  <si>
    <t>Claudine MARMEY - (accountpayable)</t>
  </si>
  <si>
    <t>0032p00003oW0swAAC</t>
  </si>
  <si>
    <t>Nicolas MICHEL</t>
  </si>
  <si>
    <t>nicolas.michel@leszelles.fr</t>
  </si>
  <si>
    <t>18 Allée Gaspard Monge - _x000D_
ZI des Daubourgs</t>
  </si>
  <si>
    <t>003SZ000006T7kGYAS</t>
  </si>
  <si>
    <t>Daphné AUDOUIN</t>
  </si>
  <si>
    <t>d.audouin@atelier36.fr</t>
  </si>
  <si>
    <t>0032p00003lqCkpAAE</t>
  </si>
  <si>
    <t>Comptabilité LINDT</t>
  </si>
  <si>
    <t>comptafour@lindt.com</t>
  </si>
  <si>
    <t>0032p00003n8o01AAA</t>
  </si>
  <si>
    <t>Isabelle FALHUN</t>
  </si>
  <si>
    <t>ifalhun@lindt.com</t>
  </si>
  <si>
    <t>003SZ0000020PYNYA2</t>
  </si>
  <si>
    <t>Colette GUILLERME</t>
  </si>
  <si>
    <t>colette.guilerme@greenyardfrozen.com</t>
  </si>
  <si>
    <t>01600</t>
  </si>
  <si>
    <t>0032p00003o0mxSAAQ</t>
  </si>
  <si>
    <t>Corinne ROCHA</t>
  </si>
  <si>
    <t>c.rocha@danfoss.com</t>
  </si>
  <si>
    <t>003SZ00000JtdloYAB</t>
  </si>
  <si>
    <t>Sylvie BERTOIN</t>
  </si>
  <si>
    <t>recrutementdpsii@danfoss.com</t>
  </si>
  <si>
    <t>0032p00003nAt1PAAS</t>
  </si>
  <si>
    <t>Paloma FAJARDO</t>
  </si>
  <si>
    <t>paloma.fajardo@boehringer-ingelheim.com</t>
  </si>
  <si>
    <t>0032p00003nPv6fAAC</t>
  </si>
  <si>
    <t>Fabrice QUINET</t>
  </si>
  <si>
    <t>fabrice.quinet@viskase.com</t>
  </si>
  <si>
    <t>elodie.martinerie@viskase.com</t>
  </si>
  <si>
    <t>0032p00003nQJ88AAG</t>
  </si>
  <si>
    <t>Comptabilité FOURNISSEURS - MSSA</t>
  </si>
  <si>
    <t>107 allée de Chardillonnay - _x000D_
Maubec - CS 51001</t>
  </si>
  <si>
    <t>0032p00003lpXt1AAE</t>
  </si>
  <si>
    <t>Emmnuelle DUBOIS</t>
  </si>
  <si>
    <t>emmanuelle.dubois@faiveleytech.fr</t>
  </si>
  <si>
    <t>0032p00003nPhDOAA0</t>
  </si>
  <si>
    <t>Kelly RAYMONDAUD LARDEY</t>
  </si>
  <si>
    <t>kelly.lardey@norac.fr</t>
  </si>
  <si>
    <t>0032p00003oH0BeAAK</t>
  </si>
  <si>
    <t>Nathalie CATTANEO</t>
  </si>
  <si>
    <t>0032p00003oHVVXAA4</t>
  </si>
  <si>
    <t>Sandrine LEVECQUE</t>
  </si>
  <si>
    <t>sleveque@tenneco.com</t>
  </si>
  <si>
    <t>accountspayablefrance@tenneco.com</t>
  </si>
  <si>
    <t>0032p00003oH3sVAAS</t>
  </si>
  <si>
    <t>Département Finances FARMEA</t>
  </si>
  <si>
    <t>003SZ000000mtodYAA</t>
  </si>
  <si>
    <t>Facturation REVIMA</t>
  </si>
  <si>
    <t>89-91 Boulevard Franklin Roosevelt - _x000D_
CS 30002</t>
  </si>
  <si>
    <t>003D000001UBi2WIAT</t>
  </si>
  <si>
    <t>Laurence CLODIC</t>
  </si>
  <si>
    <t>laurence.clodic@groupebrandt.com</t>
  </si>
  <si>
    <t>003SZ000006mfJ5YAI</t>
  </si>
  <si>
    <t>Véronique CROIZIER</t>
  </si>
  <si>
    <t>veronique.croizier@flowbird.group</t>
  </si>
  <si>
    <t>003SZ000001W8bNYAS</t>
  </si>
  <si>
    <t>Caroline LIMOUSIN</t>
  </si>
  <si>
    <t>caroline.limousin@acial.com</t>
  </si>
  <si>
    <t>003SZ000000tkYUYAY</t>
  </si>
  <si>
    <t>Delphine BUSSEREAU-VALTEL</t>
  </si>
  <si>
    <t>delphine.valtel@acial.com</t>
  </si>
  <si>
    <t>003SZ000002HeEPYA0</t>
  </si>
  <si>
    <t>Comptabilité Fournisseurs JM BRUNEAU</t>
  </si>
  <si>
    <t>compta.fournisseurs@bruneau.fr</t>
  </si>
  <si>
    <t>0032p00003oH0lbAAC</t>
  </si>
  <si>
    <t>Pascale NIVOT</t>
  </si>
  <si>
    <t>0032p00003oUxKUAA0</t>
  </si>
  <si>
    <t>Anne DEBIERRE</t>
  </si>
  <si>
    <t>debiere.anne@rotarex.com</t>
  </si>
  <si>
    <t>0032p00003oUxFPAA0</t>
  </si>
  <si>
    <t>Nathalie BON</t>
  </si>
  <si>
    <t>0032p00003oDe9mAAC</t>
  </si>
  <si>
    <t>Christine GROSSELIN</t>
  </si>
  <si>
    <t>christine.grosselin@groupe-sab.com</t>
  </si>
  <si>
    <t>0032p00003oEofwAAC</t>
  </si>
  <si>
    <t>Julie JEROME</t>
  </si>
  <si>
    <t>003SZ000000hyP9YAI</t>
  </si>
  <si>
    <t>Michelle BALAKA (comptabilite)</t>
  </si>
  <si>
    <t>Coeur Défense Tour A 110 _x000D_
Espl. du Général de Gaulle CS 70226</t>
  </si>
  <si>
    <t>003SZ000000xxk2YAA</t>
  </si>
  <si>
    <t>David LAHAYE</t>
  </si>
  <si>
    <t>david.lahaye@lhh.com</t>
  </si>
  <si>
    <t>003SZ000000mpjQYAQ</t>
  </si>
  <si>
    <t>Stéphanie LEMARCHAND</t>
  </si>
  <si>
    <t>stephanie.lemarchand@angdm.fr</t>
  </si>
  <si>
    <t>003SZ000001WQRvYAO</t>
  </si>
  <si>
    <t>Christophe CHAMP (comptabilite)</t>
  </si>
  <si>
    <t>comptabilite@uco.fr</t>
  </si>
  <si>
    <t>71000</t>
  </si>
  <si>
    <t>41 Rue de la République</t>
  </si>
  <si>
    <t>003SZ000001xJu9YAE</t>
  </si>
  <si>
    <t>Sabrina LESAGE (metso)</t>
  </si>
  <si>
    <t>sabrina.lesage@metso.com</t>
  </si>
  <si>
    <t>003SZ0000067y2QYAQ</t>
  </si>
  <si>
    <t>Diego PINZON (arbcomptacrf)</t>
  </si>
  <si>
    <t>arbcomptacrf@crl.com</t>
  </si>
  <si>
    <t>0032p00003lpVAIAA2</t>
  </si>
  <si>
    <t>Christophe VIDON (compta.fourn)</t>
  </si>
  <si>
    <t>03270</t>
  </si>
  <si>
    <t>0032p00003p4UhSAAU</t>
  </si>
  <si>
    <t>Olivier GIRAUD</t>
  </si>
  <si>
    <t>o.giraud@sources.alma.com</t>
  </si>
  <si>
    <t>ZA DE BEL AIR_x000D_
Bel-Air-de-Combrée - COMBREE</t>
  </si>
  <si>
    <t>0032p00003mtCS0AAM</t>
  </si>
  <si>
    <t>Bérangère COUET</t>
  </si>
  <si>
    <t>0032p00003oUfssAAC</t>
  </si>
  <si>
    <t>Anne GUILLOTIN</t>
  </si>
  <si>
    <t>a.guillotin@secmair.fayat.com</t>
  </si>
  <si>
    <t>003SZ00000127MbYAI</t>
  </si>
  <si>
    <t>Andoline LAURENT</t>
  </si>
  <si>
    <t>0032p00003oUh1EAAS</t>
  </si>
  <si>
    <t>Elodie HENRIOT</t>
  </si>
  <si>
    <t>elodie.henriot@daregal.fr</t>
  </si>
  <si>
    <t>0032p00003lpYFRAA2</t>
  </si>
  <si>
    <t>Sonia LUDOVICO</t>
  </si>
  <si>
    <t>sonia.ludovico@lindalgroup.com</t>
  </si>
  <si>
    <t>0032p00003lqWMKAA2</t>
  </si>
  <si>
    <t>Geneviève BERTENAND - (Compta)</t>
  </si>
  <si>
    <t>0032p00003oVuzrAAC</t>
  </si>
  <si>
    <t>Benjamin HIALLE</t>
  </si>
  <si>
    <t>b.hialle@technoflex.net</t>
  </si>
  <si>
    <t>003SZ00000Kh8DNYAZ</t>
  </si>
  <si>
    <t>Sylvie ANGER</t>
  </si>
  <si>
    <t>s.anger@locmaria.fr</t>
  </si>
  <si>
    <t>0032p00003lnJ21AAE</t>
  </si>
  <si>
    <t>Sophie GONTAUD</t>
  </si>
  <si>
    <t>sophie.gontaud@barbiergroup.com</t>
  </si>
  <si>
    <t>KSB LA ROCHE CHALAIS</t>
  </si>
  <si>
    <t>003SZ000004tC9VYAU</t>
  </si>
  <si>
    <t>Valérie RAYNAUD</t>
  </si>
  <si>
    <t>valerie.raynaud@ksb.com</t>
  </si>
  <si>
    <t>003SZ000004nvz1YAA</t>
  </si>
  <si>
    <t>Hervé DECROOS</t>
  </si>
  <si>
    <t>herve.decroos@ksb.com</t>
  </si>
  <si>
    <t>0032p00003oWQ7nAAG</t>
  </si>
  <si>
    <t>Marie-Claire OLIVIER</t>
  </si>
  <si>
    <t>marieclaire.olivier@perreault.fr</t>
  </si>
  <si>
    <t>003SZ000001Xr3NYAS</t>
  </si>
  <si>
    <t>Viviane PAWLAK - (compta)</t>
  </si>
  <si>
    <t>comptfrs@lis.lesaffre.com</t>
  </si>
  <si>
    <t>0032p00003oWQe0AAG</t>
  </si>
  <si>
    <t>Franck MORIN</t>
  </si>
  <si>
    <t>f.morin@lis.lesaffre.com</t>
  </si>
  <si>
    <t>07100</t>
  </si>
  <si>
    <t>003SZ000005Ne8QYAS</t>
  </si>
  <si>
    <t>Frédéric DE ROMELIN</t>
  </si>
  <si>
    <t>fderomelin.excelvision@fareva.com</t>
  </si>
  <si>
    <t>003SZ000005Nb8vYAC</t>
  </si>
  <si>
    <t>003SZ0000013HYSYA2</t>
  </si>
  <si>
    <t>Service Comptabilité UPSA</t>
  </si>
  <si>
    <t>003SZ000001TPQhYAO</t>
  </si>
  <si>
    <t>Aurélie BOMPAYS</t>
  </si>
  <si>
    <t>a.bompays@fenetrea.fr</t>
  </si>
  <si>
    <t>003SZ000002ntNZYAY</t>
  </si>
  <si>
    <t>Mathieu LEFEBURE</t>
  </si>
  <si>
    <t>mathieu.lefebure@puma.com</t>
  </si>
  <si>
    <t>003SZ000000m9NZYAY</t>
  </si>
  <si>
    <t>Fleur GOSSELIN</t>
  </si>
  <si>
    <t>003SZ000000dI9xYAE</t>
  </si>
  <si>
    <t>Alain METZGER</t>
  </si>
  <si>
    <t>alain.metzger@kuhn.com</t>
  </si>
  <si>
    <t>203 Boulevard de Finland Parc Eiffel - _x000D_
Energie BP 18</t>
  </si>
  <si>
    <t>003SZ00000JifZDYAZ</t>
  </si>
  <si>
    <t>Virginie JOUVE</t>
  </si>
  <si>
    <t>virginie.jouve@eur.crowncork.com</t>
  </si>
  <si>
    <t>003SZ0000020fA6YAI</t>
  </si>
  <si>
    <t>Myriam CONTARIN</t>
  </si>
  <si>
    <t>contarin.m@gindre.com</t>
  </si>
  <si>
    <t>003SZ000000hjwMYAQ</t>
  </si>
  <si>
    <t>Delphine GEHIN</t>
  </si>
  <si>
    <t>delphine.gehin@antolin.com</t>
  </si>
  <si>
    <t>003SZ00000ZbifVYAR</t>
  </si>
  <si>
    <t>Isabelle DELAMARRE</t>
  </si>
  <si>
    <t>idelamarre@onyx-dev.fr</t>
  </si>
  <si>
    <t>003SZ000001HnTZYA0</t>
  </si>
  <si>
    <t>Marilyne BERTHET PILON</t>
  </si>
  <si>
    <t>8 Impasse du Bourrelier - _x000D_
BP 30004</t>
  </si>
  <si>
    <t>003SZ000002qWp5YAE</t>
  </si>
  <si>
    <t>Yannick DEPASSE</t>
  </si>
  <si>
    <t>y.depasse@kelias.fr</t>
  </si>
  <si>
    <t>j.godof@kelias.fr</t>
  </si>
  <si>
    <t>003SZ000001OtCUYA0</t>
  </si>
  <si>
    <t>Françoise CHENE</t>
  </si>
  <si>
    <t>003SZ000007xO3tYAE</t>
  </si>
  <si>
    <t>Corinne JOUSSEAU</t>
  </si>
  <si>
    <t>c.jousseau@jousseau.com</t>
  </si>
  <si>
    <t>003SZ0000011w6EYAQ</t>
  </si>
  <si>
    <t>Corinne JOUSSEAU (compta)</t>
  </si>
  <si>
    <t>003SZ000001NDSJYA4</t>
  </si>
  <si>
    <t>Bénédicte CHANE (rh)</t>
  </si>
  <si>
    <t>02700</t>
  </si>
  <si>
    <t>33 Boulevard du 32ème R.I. - _x000D_
ZI les Certels</t>
  </si>
  <si>
    <t>003SZ00000107H7YAI</t>
  </si>
  <si>
    <t>William BRUN</t>
  </si>
  <si>
    <t>w.brun@fr.mw.gruppocln.com</t>
  </si>
  <si>
    <t>003SZ000002B8adYAC</t>
  </si>
  <si>
    <t>Lucie GRANGER</t>
  </si>
  <si>
    <t>lucie.granger@saint-gobain.com</t>
  </si>
  <si>
    <t>only.invoices.placoplatre@saint-gobain.com</t>
  </si>
  <si>
    <t>003SZ0000010THbYAM</t>
  </si>
  <si>
    <t>Mathias GRELIER</t>
  </si>
  <si>
    <t>42173</t>
  </si>
  <si>
    <t>ZI Sud d'Andrézieux - _x000D_
Rue Barthélémy Thimonnier CS36022</t>
  </si>
  <si>
    <t>003SZ000007bEw3YAE</t>
  </si>
  <si>
    <t>01708</t>
  </si>
  <si>
    <t>003SZ000001ObPOYA0</t>
  </si>
  <si>
    <t>Service Comptable ABB FRANCE</t>
  </si>
  <si>
    <t>fr-comptabilite.fournisseur@abb.com</t>
  </si>
  <si>
    <t>003SZ0000012a25YAA</t>
  </si>
  <si>
    <t>Pauline BALEYDIER</t>
  </si>
  <si>
    <t>pauline.baleydier1@fr.abb.com</t>
  </si>
  <si>
    <t>003SZ0000016xeMYAQ</t>
  </si>
  <si>
    <t>Clara LANOTTE</t>
  </si>
  <si>
    <t>003SZ000008Zyj4YAC</t>
  </si>
  <si>
    <t>Nathalie BONNAT</t>
  </si>
  <si>
    <t>nbonnat@guerlain.fr</t>
  </si>
  <si>
    <t>003SZ000001ALNeYAO</t>
  </si>
  <si>
    <t>Nelly FAVEYROLLES</t>
  </si>
  <si>
    <t>n.faveyrolles@herbarom-groupe.com</t>
  </si>
  <si>
    <t>003SZ000001me5qYAA</t>
  </si>
  <si>
    <t>Comptabilité EUROPE SNACKS - (FRANDEX)</t>
  </si>
  <si>
    <t>003SZ000001CulqYAC</t>
  </si>
  <si>
    <t>Audrey GUESDON (E.Snacks)</t>
  </si>
  <si>
    <t>audrey.guesdon@europesnacks.com</t>
  </si>
  <si>
    <t>003SZ000001TNK1YAO</t>
  </si>
  <si>
    <t>Jean Christophe RIBEIRO</t>
  </si>
  <si>
    <t>ribeiro@vernet.fr</t>
  </si>
  <si>
    <t>07200</t>
  </si>
  <si>
    <t>ZI de Ripotier - _x000D_
50 Avenue Jean Monnet</t>
  </si>
  <si>
    <t>003SZ00000VaQ8cYAF</t>
  </si>
  <si>
    <t>Kathy TOUTLEMONDE</t>
  </si>
  <si>
    <t>003SZ000001QzSHYA0</t>
  </si>
  <si>
    <t>Marine PREZELIN</t>
  </si>
  <si>
    <t>mprezelin@posson.fr</t>
  </si>
  <si>
    <t>003SZ000005nFxVYAU</t>
  </si>
  <si>
    <t>Sandra RODRIGUES</t>
  </si>
  <si>
    <t>003SZ00000BegyMYAR</t>
  </si>
  <si>
    <t>Christine BONTEMPS</t>
  </si>
  <si>
    <t>christine.bontemps@voestalpine.com</t>
  </si>
  <si>
    <t>003SZ0000037wS9YAI</t>
  </si>
  <si>
    <t>Florence VALLET</t>
  </si>
  <si>
    <t>florence.vallet@saint-jean.fr</t>
  </si>
  <si>
    <t>08800</t>
  </si>
  <si>
    <t>003SZ00000ENhkAYAT</t>
  </si>
  <si>
    <t>Service facturation</t>
  </si>
  <si>
    <t>ants-facturation@interieur.gouv.fr</t>
  </si>
  <si>
    <t>003SZ000001mSELYA2</t>
  </si>
  <si>
    <t>Denise FEDER</t>
  </si>
  <si>
    <t>003SZ000001mbj4YAA</t>
  </si>
  <si>
    <t>Quentin FEIST</t>
  </si>
  <si>
    <t>003SZ000001udeOYAQ</t>
  </si>
  <si>
    <t>Thierry DOYENNEL</t>
  </si>
  <si>
    <t>003SZ000001twAuYAI</t>
  </si>
  <si>
    <t>Carine LATIL</t>
  </si>
  <si>
    <t>003SZ0000026kryYAA</t>
  </si>
  <si>
    <t>Sophie PLANAS</t>
  </si>
  <si>
    <t>sophie.planas@imerys.com</t>
  </si>
  <si>
    <t>invoices_imerys.fr@email.basware.com</t>
  </si>
  <si>
    <t>003SZ000002HBCaYAO</t>
  </si>
  <si>
    <t>Sylvie LUQUET</t>
  </si>
  <si>
    <t>sluquet@snf.com</t>
  </si>
  <si>
    <t>SNF SA -  WATER SCIENCE</t>
  </si>
  <si>
    <t>003SZ000004Dg7BYAS</t>
  </si>
  <si>
    <t>factures.helpdesk@antolin.com</t>
  </si>
  <si>
    <t>003SZ000002EvLVYA0</t>
  </si>
  <si>
    <t>Morgane MARIN</t>
  </si>
  <si>
    <t>mmarin@aubinimprimeur.fr</t>
  </si>
  <si>
    <t>003SZ000003awTZYAY</t>
  </si>
  <si>
    <t>Ingrid BEAU</t>
  </si>
  <si>
    <t>ingrid.beaud@araymond.com</t>
  </si>
  <si>
    <t>ARAYMOND FRANCE sas</t>
  </si>
  <si>
    <t>003SZ0000032R7HYAU</t>
  </si>
  <si>
    <t>Maud CELERI</t>
  </si>
  <si>
    <t>003SZ000002hZz6YAE</t>
  </si>
  <si>
    <t>Cécile CHOUGOUL</t>
  </si>
  <si>
    <t>Za de Courtaboeuf - Les Ulis_x000D_
3 Avenue des Tropiques</t>
  </si>
  <si>
    <t>003SZ00000Aj3fCYAR</t>
  </si>
  <si>
    <t>Compta Achats-LFB Biomédicaments</t>
  </si>
  <si>
    <t>comptaachats-fournisseurs@lfb.fr</t>
  </si>
  <si>
    <t>lfbbiomedicaments@email.basware.com</t>
  </si>
  <si>
    <t>003SZ000002ZViwYAG</t>
  </si>
  <si>
    <t>Karine RIGNAUX</t>
  </si>
  <si>
    <t>Siret : 78110744600069</t>
  </si>
  <si>
    <t>0032p00003ND5eDAAT</t>
  </si>
  <si>
    <t>Mélissa AMGHAR</t>
  </si>
  <si>
    <t>mamghar@habitat76.fr</t>
  </si>
  <si>
    <t>003SZ00000ZoMhAYAV</t>
  </si>
  <si>
    <t>Relances Factures NYRSTAR FRANCE</t>
  </si>
  <si>
    <t>auby.fournisseur@nyrstar.com</t>
  </si>
  <si>
    <t>003SZ00000ZoXUVYA3</t>
  </si>
  <si>
    <t>Alexis DOHEIN</t>
  </si>
  <si>
    <t>alexis.dohein@nyrstar.com</t>
  </si>
  <si>
    <t>003SZ00000dIPR9YAO</t>
  </si>
  <si>
    <t>Adresse Démat et recouvrement CSM FRANCE sas</t>
  </si>
  <si>
    <t>003SZ0000037Da1YAE</t>
  </si>
  <si>
    <t>Sabine UHLMANN</t>
  </si>
  <si>
    <t>sabine.uhlmann@csmingredients.com</t>
  </si>
  <si>
    <t>01150</t>
  </si>
  <si>
    <t>003SZ0000037YHnYAM</t>
  </si>
  <si>
    <t>Pierrick MANUEL</t>
  </si>
  <si>
    <t>BARILLA FRANCE sas -  Site de Saint-Vulbas</t>
  </si>
  <si>
    <t>GROUPE D'AUCY UNION FERMIERE MORBIHANNAISE - (LOCMINE)</t>
  </si>
  <si>
    <t>003SZ000003ImIzYAK</t>
  </si>
  <si>
    <t>Sabrina VETEL</t>
  </si>
  <si>
    <t>D'AUCY FRANCE sasu</t>
  </si>
  <si>
    <t>Etablissement  LOCMINE</t>
  </si>
  <si>
    <t>003SZ000003fnB8YAI</t>
  </si>
  <si>
    <t>Céline CHAMPION</t>
  </si>
  <si>
    <t>003SZ00000QHYMYYA5</t>
  </si>
  <si>
    <t>Camille MEURIN</t>
  </si>
  <si>
    <t>003SZ00000crer5YAA</t>
  </si>
  <si>
    <t>Contact Recouvrement LESAFFRE - BIO SPRINGER</t>
  </si>
  <si>
    <t>comptabilite.fournisseur.bsfr@lesaffre.com</t>
  </si>
  <si>
    <t>003SZ000009W3aJYAS</t>
  </si>
  <si>
    <t>Morgane PEREZ</t>
  </si>
  <si>
    <t>m.perez@lesaffre.com</t>
  </si>
  <si>
    <t>003SZ000004JYwZYAW</t>
  </si>
  <si>
    <t>bafrsupplierinvoice-noreply@berryglobal.com</t>
  </si>
  <si>
    <t>PGI FRANCE sas</t>
  </si>
  <si>
    <t>003SZ000003viSQYAY</t>
  </si>
  <si>
    <t>Clothilde ROCABOY</t>
  </si>
  <si>
    <t>clotilde.rocaboy@aghfrance.com</t>
  </si>
  <si>
    <t>003SZ000003tbi0YAA</t>
  </si>
  <si>
    <t>Agathe CORBIN</t>
  </si>
  <si>
    <t>agathe.corbin@symrise.com</t>
  </si>
  <si>
    <t>03150</t>
  </si>
  <si>
    <t>003SZ000004xDv4YAE</t>
  </si>
  <si>
    <t>Béatrice VERNISSE</t>
  </si>
  <si>
    <t>beatrice.vernisse@orbia.com</t>
  </si>
  <si>
    <t>Groupe SFPI (FRANCE FERMETURES)</t>
  </si>
  <si>
    <t>003SZ000003mEBpYAM</t>
  </si>
  <si>
    <t>Laura DI BARTOLOMEO</t>
  </si>
  <si>
    <t>laura.dibartolomeo@groupesfpi.com</t>
  </si>
  <si>
    <t>003SZ000005yc4LYAQ</t>
  </si>
  <si>
    <t>Virginie REBMANN (cc.invoice)</t>
  </si>
  <si>
    <t>cc.invoice@maxim-gruppe.de</t>
  </si>
  <si>
    <t>003SZ0000040SVEYA2</t>
  </si>
  <si>
    <t>Nathalie CHARPENTIER</t>
  </si>
  <si>
    <t>003SZ00000DIGtFYAX</t>
  </si>
  <si>
    <t>Compta Fourn ETS ROLOT ET LEMASSON</t>
  </si>
  <si>
    <t>02600</t>
  </si>
  <si>
    <t>003SZ00000YLc8OYAT</t>
  </si>
  <si>
    <t>003SZ000005xZN8YAM</t>
  </si>
  <si>
    <t>Shared services AP Pologne FEDERAL MOGUL</t>
  </si>
  <si>
    <t>fmof_stjean.relances@tenneco.com</t>
  </si>
  <si>
    <t>003SZ000005xfVkYAI</t>
  </si>
  <si>
    <t>Béatrice MALET</t>
  </si>
  <si>
    <t>beatrice.malet@tenneco.com</t>
  </si>
  <si>
    <t>Rue des Albatros - _x000D_
ZI Les Meurières</t>
  </si>
  <si>
    <t>003SZ0000049Au0YAE</t>
  </si>
  <si>
    <t>Floriane BONNEL (comptabilite)</t>
  </si>
  <si>
    <t>003SZ000005GLJ3YAO</t>
  </si>
  <si>
    <t>Fabienne RICHOU</t>
  </si>
  <si>
    <t>003SZ000004ci7PYAQ</t>
  </si>
  <si>
    <t>Gaelle DEMEULE</t>
  </si>
  <si>
    <t>003SZ000004TxFMYA0</t>
  </si>
  <si>
    <t>Antonin BEIGBEDER</t>
  </si>
  <si>
    <t>service.gestion@adeccooutsourcing.fr</t>
  </si>
  <si>
    <t>003SZ000004i7EoYAI</t>
  </si>
  <si>
    <t>Recouvrement ORANGINA SCHWEPPES France</t>
  </si>
  <si>
    <t>osfp.queries@suntory.com</t>
  </si>
  <si>
    <t>003SZ000004hu4jYAA</t>
  </si>
  <si>
    <t>Lucile CORTIJO</t>
  </si>
  <si>
    <t>lucile.cortijo@suntory.com</t>
  </si>
  <si>
    <t>0032p00003lngdxAAA</t>
  </si>
  <si>
    <t>Catherine ARNAUD</t>
  </si>
  <si>
    <t>carnaud@moethennessy.com</t>
  </si>
  <si>
    <t>003SZ0000067JtkYAE</t>
  </si>
  <si>
    <t>Isabelle OUZET</t>
  </si>
  <si>
    <t>isabelle.ouzet@jtekt.eu</t>
  </si>
  <si>
    <t>003SZ000003Y5BdYAK</t>
  </si>
  <si>
    <t>Amelie ROUSSELOT</t>
  </si>
  <si>
    <t>amelie.rousselot@sisley.fr</t>
  </si>
  <si>
    <t>0032p00003V1UeAAAV</t>
  </si>
  <si>
    <t>Cécile VIOLLET</t>
  </si>
  <si>
    <t>cecile.viollet@gerflor.com</t>
  </si>
  <si>
    <t>003SZ000004tRzlYAE</t>
  </si>
  <si>
    <t>Christine ROUSSET</t>
  </si>
  <si>
    <t>christine.rousset@gerflor.com</t>
  </si>
  <si>
    <t>003SZ000004uoXjYAI</t>
  </si>
  <si>
    <t>Compta Fournisseurs BACCARAT</t>
  </si>
  <si>
    <t>comptabilite_fournisseurs@baccarat.fr</t>
  </si>
  <si>
    <t>003SZ00000LqRuTYAV</t>
  </si>
  <si>
    <t>Comptabilité LA REDOUTE</t>
  </si>
  <si>
    <t>003SZ000004o3H7YAI</t>
  </si>
  <si>
    <t>Service Facturation LA REDOUTE</t>
  </si>
  <si>
    <t>34 Avenue des Champs-Élysées</t>
  </si>
  <si>
    <t>003SZ000004oAzZYAU</t>
  </si>
  <si>
    <t>Amalia GASULL</t>
  </si>
  <si>
    <t>amalia.gasull@euroapi.com</t>
  </si>
  <si>
    <t>CANDEX FRANCE LTD sasu</t>
  </si>
  <si>
    <t>0032p00003XQynEAAT</t>
  </si>
  <si>
    <t>Clara ARCHER</t>
  </si>
  <si>
    <t>clara.archer@saint-gobain.com</t>
  </si>
  <si>
    <t>facturesfournisseurs.sgdbf501@saint-gobain.com</t>
  </si>
  <si>
    <t>POINT P  IDF FGX</t>
  </si>
  <si>
    <t>ST JEAN DE BRAYE</t>
  </si>
  <si>
    <t>45800</t>
  </si>
  <si>
    <t>15 Rue Bernard Palissy_x000D_
CS 60 222</t>
  </si>
  <si>
    <t>003SZ000005NTWHYA4</t>
  </si>
  <si>
    <t>Stéphane CHEBROUX (ap3110ivcfr)</t>
  </si>
  <si>
    <t>003SZ000005PxzqYAC</t>
  </si>
  <si>
    <t>Carine BEAUVOIS</t>
  </si>
  <si>
    <t>cbeauvois@groupediffusionplus.fr</t>
  </si>
  <si>
    <t>003SZ000005HdN4YAK</t>
  </si>
  <si>
    <t>Béatrice CHRETIEN</t>
  </si>
  <si>
    <t>003SZ000005WnFdYAK</t>
  </si>
  <si>
    <t>Grégory GUION-FIRMIN</t>
  </si>
  <si>
    <t>gregory.guion-firmin@interforum.fr</t>
  </si>
  <si>
    <t>003SZ000007rZDOYA2</t>
  </si>
  <si>
    <t>Laurent GUILMIN</t>
  </si>
  <si>
    <t>003SZ000005Q7HVYA0</t>
  </si>
  <si>
    <t>compta.fournisseurs@eureden.com</t>
  </si>
  <si>
    <t>01430</t>
  </si>
  <si>
    <t>003SZ000005Q4YFYA0</t>
  </si>
  <si>
    <t>Fabrice CORMORECHE</t>
  </si>
  <si>
    <t>fcormoreche@lafuma-mobilier.fr</t>
  </si>
  <si>
    <t>003SZ00000CI3wfYAD</t>
  </si>
  <si>
    <t>Sandrine ROUZAUD</t>
  </si>
  <si>
    <t>01700</t>
  </si>
  <si>
    <t>003SZ000006Fk0hYAC</t>
  </si>
  <si>
    <t>Laurence DROMBY</t>
  </si>
  <si>
    <t>laurence.dromby.c7@mail.toray</t>
  </si>
  <si>
    <t>003SZ00000AdAueYAF</t>
  </si>
  <si>
    <t>Brigitte COURIAUD</t>
  </si>
  <si>
    <t>brigitte.couriaud@itron.com</t>
  </si>
  <si>
    <t>fr-c210-supplierinvoices@itron.com</t>
  </si>
  <si>
    <t>IRLANDE</t>
  </si>
  <si>
    <t>003SZ0000078JQ9YAM</t>
  </si>
  <si>
    <t>Corinne PONTON</t>
  </si>
  <si>
    <t>0032p00003DNGsjAAH</t>
  </si>
  <si>
    <t>Anne DEVILLIERS</t>
  </si>
  <si>
    <t>anne.devillers@sodis.fr</t>
  </si>
  <si>
    <t>003SZ000006wB9MYAU</t>
  </si>
  <si>
    <t>Contact Recouvrement HM CLAUSE</t>
  </si>
  <si>
    <t>payables@hmclause.com</t>
  </si>
  <si>
    <t>003SZ000006wO6ZYAU</t>
  </si>
  <si>
    <t>Contact Facturation HM CLAUSE</t>
  </si>
  <si>
    <t>003SZ0000070mYTYAY</t>
  </si>
  <si>
    <t>Malika BOUZERA</t>
  </si>
  <si>
    <t>003SZ0000073NfBYAU</t>
  </si>
  <si>
    <t>Service Recouvrement</t>
  </si>
  <si>
    <t>compta@cera.caisse-epargne.fr</t>
  </si>
  <si>
    <t>003SZ0000073NTtYAM</t>
  </si>
  <si>
    <t>Véronique BOCHET</t>
  </si>
  <si>
    <t>0032p00003NmdXlAAJ</t>
  </si>
  <si>
    <t>Camille NIQUET</t>
  </si>
  <si>
    <t>finance.fgx@grandvision.fr</t>
  </si>
  <si>
    <t>003SZ000008GAzlYAG</t>
  </si>
  <si>
    <t>Luna DASILVAMARQUES</t>
  </si>
  <si>
    <t>luna.dasilvamarques@mersen.com</t>
  </si>
  <si>
    <t>003SZ00000ZfvW3YAJ</t>
  </si>
  <si>
    <t>Relance Factures Elydan</t>
  </si>
  <si>
    <t>relancefournisseurs@elydan.eu</t>
  </si>
  <si>
    <t>003SZ00000ZfuyBYAR</t>
  </si>
  <si>
    <t>Facture Elydan</t>
  </si>
  <si>
    <t>comptafournisseurs@elydan.eu</t>
  </si>
  <si>
    <t>62110</t>
  </si>
  <si>
    <t>003SZ000008Z3WMYA0</t>
  </si>
  <si>
    <t>Carine CAPELLE</t>
  </si>
  <si>
    <t>carine.capelle@moypark.com</t>
  </si>
  <si>
    <t>003SZ00000ISoFpYAL</t>
  </si>
  <si>
    <t>Aurélie PETIT</t>
  </si>
  <si>
    <t>aurelie.petit@mcbride.eu</t>
  </si>
  <si>
    <t>003SZ00000DbgaHYAR</t>
  </si>
  <si>
    <t>Aurélien JACQUET</t>
  </si>
  <si>
    <t>ajacquet@groupe-eda.com</t>
  </si>
  <si>
    <t>5 Place du Marivel</t>
  </si>
  <si>
    <t>003SZ000009MXY6YAO</t>
  </si>
  <si>
    <t>Compta FRESENIUS KABI</t>
  </si>
  <si>
    <t>accounts_payable_fkfr@fresenius-kabi.com</t>
  </si>
  <si>
    <t>003SZ000009U8sgYAC</t>
  </si>
  <si>
    <t>Tiphaine BOHUON</t>
  </si>
  <si>
    <t>tiphaine.bohuon@avril.com</t>
  </si>
  <si>
    <t>003SZ000001HfZFYA0</t>
  </si>
  <si>
    <t>Magalie DAUGE</t>
  </si>
  <si>
    <t>magalie.dauge@texelis.com</t>
  </si>
  <si>
    <t>003SZ00000ACbMFYA1</t>
  </si>
  <si>
    <t>Frédérique LEYZAT</t>
  </si>
  <si>
    <t>frederique.leyzat@fst.com</t>
  </si>
  <si>
    <t>003SZ000009pvnAYAQ</t>
  </si>
  <si>
    <t>Florent MONTAUFRAY</t>
  </si>
  <si>
    <t>florent.montaufray@electropoli.com</t>
  </si>
  <si>
    <t>003SZ00000ACTRtYAP</t>
  </si>
  <si>
    <t>Service Comptabilité CORNING POUYET</t>
  </si>
  <si>
    <t>CORNING POUYET sas</t>
  </si>
  <si>
    <t>1542 avenue des Deux Vallées - _x000D_
Parc d'activité Actipole de l'A2</t>
  </si>
  <si>
    <t>003SZ00000RwRBaYAN</t>
  </si>
  <si>
    <t>Gilles SCHNEIDER</t>
  </si>
  <si>
    <t>003SZ00000MI9JgYAL</t>
  </si>
  <si>
    <t>003SZ00000AQaYNYA1</t>
  </si>
  <si>
    <t>Comptabilité MDS sa</t>
  </si>
  <si>
    <t>003SZ00000BZwIvYAL</t>
  </si>
  <si>
    <t>Laurence DALLEMAGNE</t>
  </si>
  <si>
    <t>frver.comptafournisseurs@nemera.net</t>
  </si>
  <si>
    <t>DPS BEAUNE (Groupe Dalloz)</t>
  </si>
  <si>
    <t>003SZ00000CNw4QYAT</t>
  </si>
  <si>
    <t>Léa MONACI</t>
  </si>
  <si>
    <t>lea.monaci@dps-beaune.com</t>
  </si>
  <si>
    <t>Rue Gaston Monmousseau - _x000D_
ROUSSILLON - CS 50032</t>
  </si>
  <si>
    <t>003SZ00000DIBgfYAH</t>
  </si>
  <si>
    <t>Vincent FROEHLY</t>
  </si>
  <si>
    <t>vincent.froehly@hexcel.com</t>
  </si>
  <si>
    <t>SNCF HEXAFRET/DOMAINE MATERIEL</t>
  </si>
  <si>
    <t>003SZ00000NH6q9YAD</t>
  </si>
  <si>
    <t>Lolita DE VITI</t>
  </si>
  <si>
    <t>lolita.deviti@sncf.fr</t>
  </si>
  <si>
    <t>003SZ00000WPMsYYAX</t>
  </si>
  <si>
    <t>Marine BOSCH</t>
  </si>
  <si>
    <t>marine.bosch@sncf.fr</t>
  </si>
  <si>
    <t>FRET SNCF sas</t>
  </si>
  <si>
    <t>003SZ00000EaR4sYAF</t>
  </si>
  <si>
    <t>Comptabilité Fournisseurs SOMFY</t>
  </si>
  <si>
    <t>003SZ00000PLv9qYAD</t>
  </si>
  <si>
    <t>Béatrice BERTRAND</t>
  </si>
  <si>
    <t>comptafournisseurs-sepr@saint-gobain.com</t>
  </si>
  <si>
    <t>003SZ00000G8rIuYAJ</t>
  </si>
  <si>
    <t>Florian VEYET</t>
  </si>
  <si>
    <t>fveyet@rossignol.com</t>
  </si>
  <si>
    <t>003SZ00000F80F7YAJ</t>
  </si>
  <si>
    <t>Nathalie NIVON</t>
  </si>
  <si>
    <t>nnivon@rossignol.com</t>
  </si>
  <si>
    <t>003SZ00000G90IvYAJ</t>
  </si>
  <si>
    <t>Patricia BROUILLARD</t>
  </si>
  <si>
    <t>patricia.brouillard@saint-gobain.com</t>
  </si>
  <si>
    <t>01410</t>
  </si>
  <si>
    <t>003SZ00000H6GJiYAN</t>
  </si>
  <si>
    <t>Compta Fournisseurs AKWEL</t>
  </si>
  <si>
    <t>34-40 Rue Guynemer</t>
  </si>
  <si>
    <t>003SZ00000LEMNzYAP</t>
  </si>
  <si>
    <t>Paul RAYMOND</t>
  </si>
  <si>
    <t>paul.raymond@purina.nestle.com</t>
  </si>
  <si>
    <t>0032p00003bUx7QAAS</t>
  </si>
  <si>
    <t>Laurence ZIMMERMANN</t>
  </si>
  <si>
    <t>17 Rue des Bûchillons_x000D_
CS80524 Ville la Grand</t>
  </si>
  <si>
    <t>003SZ00000ISXI2YAP</t>
  </si>
  <si>
    <t>Urszula SKIBICKA</t>
  </si>
  <si>
    <t>003SZ00000J6KkHYAV</t>
  </si>
  <si>
    <t>Chantal ADAM</t>
  </si>
  <si>
    <t>cadam@deltadore.com</t>
  </si>
  <si>
    <t>003SZ00000JLo5JYAT</t>
  </si>
  <si>
    <t>Cécile PUECH</t>
  </si>
  <si>
    <t>cpuech@cofigeo.fr</t>
  </si>
  <si>
    <t>003SZ00000JVoVUYA1</t>
  </si>
  <si>
    <t>Valérie BOUDALI</t>
  </si>
  <si>
    <t>vboudali@dirickx.com</t>
  </si>
  <si>
    <t>ZI Ouest Beynost -_x000D_
77 allée des Grandes Combes</t>
  </si>
  <si>
    <t>003SZ00000OtvUTYAZ</t>
  </si>
  <si>
    <t>Patricia COQUAZ</t>
  </si>
  <si>
    <t>003SZ00000OohqMYAR</t>
  </si>
  <si>
    <t>Compta-Facturation ASTRAZENECA</t>
  </si>
  <si>
    <t>003SZ00000PMTuiYAH</t>
  </si>
  <si>
    <t>003SZ00000QF5IMYA1</t>
  </si>
  <si>
    <t>Anne Marie HUND</t>
  </si>
  <si>
    <t>am.hund@minitubes.com</t>
  </si>
  <si>
    <t>003SZ00000WhJplYAF</t>
  </si>
  <si>
    <t>003SZ00000WqpgjYAB</t>
  </si>
  <si>
    <t>Christophe DUCHESNE</t>
  </si>
  <si>
    <t>christophe.duchesne@verallia.com</t>
  </si>
  <si>
    <t>003SZ00000aRaU7YAK</t>
  </si>
  <si>
    <t>Justine DAGOREAU</t>
  </si>
  <si>
    <t>003SZ00000ZLHeWYAX</t>
  </si>
  <si>
    <t>Catherine BOGEMANS</t>
  </si>
  <si>
    <t>catherine.bogemans@kuraray.com</t>
  </si>
  <si>
    <t>003IV000010rLDWYA2</t>
  </si>
  <si>
    <t>003IV000010tKf9YAE</t>
  </si>
  <si>
    <t>003IV000010tRytYAE</t>
  </si>
  <si>
    <t>003IV000010rePGYAY</t>
  </si>
  <si>
    <t>003IV000010rLj2YAE</t>
  </si>
  <si>
    <t>003IV000010t1X4YAI</t>
  </si>
  <si>
    <t>003IV000010tFE1YAM</t>
  </si>
  <si>
    <t>003IV000010t1XAYAY</t>
  </si>
  <si>
    <t>003IV000010rlbQYAQ</t>
  </si>
  <si>
    <t>003IV000010t1hzYAA</t>
  </si>
  <si>
    <t>003IV000010tL9NYAU</t>
  </si>
  <si>
    <t>003IV000010t1w0YAA</t>
  </si>
  <si>
    <t>003IV000010t1u6YAA</t>
  </si>
  <si>
    <t>003IV000010t1u8YAA</t>
  </si>
  <si>
    <t>003IV000010tRTrYAM</t>
  </si>
  <si>
    <t>003IV000010t22cYAA</t>
  </si>
  <si>
    <t>003IV000010rvH2YAI</t>
  </si>
  <si>
    <t>003IV000010tRTUYA2</t>
  </si>
  <si>
    <t>003IV000010sxFfYAI</t>
  </si>
  <si>
    <t>003IV000010sxG9YAI</t>
  </si>
  <si>
    <t>003IV000010t23DYAQ</t>
  </si>
  <si>
    <t>003IV000010tRTVYA2</t>
  </si>
  <si>
    <t>003IV000010t23RYAQ</t>
  </si>
  <si>
    <t>003IV000010rvH8YAI</t>
  </si>
  <si>
    <t>003IV000010tRTWYA2</t>
  </si>
  <si>
    <t>003IV000010tRVPYA2</t>
  </si>
  <si>
    <t>003IV000010tRTvYAM</t>
  </si>
  <si>
    <t>003IV000010tRVQYA2</t>
  </si>
  <si>
    <t>003IV000010t2AgYAI</t>
  </si>
  <si>
    <t>003IV000010sxFhYAI</t>
  </si>
  <si>
    <t>003IV000010sxFiYAI</t>
  </si>
  <si>
    <t>003IV000010t2AqYAI</t>
  </si>
  <si>
    <t>003IV000010rvHBYAY</t>
  </si>
  <si>
    <t>003IV000010tRVRYA2</t>
  </si>
  <si>
    <t>003IV000010t2B5YAI</t>
  </si>
  <si>
    <t>003IV000010t2B6YAI</t>
  </si>
  <si>
    <t>003IV000010tRTwYAM</t>
  </si>
  <si>
    <t>003IV000010rvHDYAY</t>
  </si>
  <si>
    <t>003IV000010sxGHYAY</t>
  </si>
  <si>
    <t>003IV000010sxFmYAI</t>
  </si>
  <si>
    <t>003IV000010t2BIYAY</t>
  </si>
  <si>
    <t>003IV000010rvHFYAY</t>
  </si>
  <si>
    <t>003IV000010s6QXYAY</t>
  </si>
  <si>
    <t>003IV000010tRVSYA2</t>
  </si>
  <si>
    <t>003IV000010tQHrYAM</t>
  </si>
  <si>
    <t>003IV000010sxGJYAY</t>
  </si>
  <si>
    <t>003IV000010t2FRYAY</t>
  </si>
  <si>
    <t>003IV000010tQHbYAM</t>
  </si>
  <si>
    <t>003IV000010t2FaYAI</t>
  </si>
  <si>
    <t>003IV000010t2FfYAI</t>
  </si>
  <si>
    <t>003IV000010rvHLYAY</t>
  </si>
  <si>
    <t>003IV000010tPaFYAU</t>
  </si>
  <si>
    <t>003IV000010tIdcYAE</t>
  </si>
  <si>
    <t>003IV000010sxGMYAY</t>
  </si>
  <si>
    <t>003IV000010t2G3YAI</t>
  </si>
  <si>
    <t>003IV000010t2G7YAI</t>
  </si>
  <si>
    <t>003IV000010sxGPYAY</t>
  </si>
  <si>
    <t>003IV000010sxGQYAY</t>
  </si>
  <si>
    <t>003IV000010sxGSYAY</t>
  </si>
  <si>
    <t>003IV000010t2GDYAY</t>
  </si>
  <si>
    <t>003IV000010tRU3YAM</t>
  </si>
  <si>
    <t>003IV000010tQHsYAM</t>
  </si>
  <si>
    <t>003IV000010tI5EYAU</t>
  </si>
  <si>
    <t>003IV000010tQHtYAM</t>
  </si>
  <si>
    <t>003IV000010t2GbYAI</t>
  </si>
  <si>
    <t>003IV000010sxGTYAY</t>
  </si>
  <si>
    <t>003IV000010s6QdYAI</t>
  </si>
  <si>
    <t>003IV000010sxFqYAI</t>
  </si>
  <si>
    <t>003IV000010t2QMYAY</t>
  </si>
  <si>
    <t>003IV000010t2QNYAY</t>
  </si>
  <si>
    <t>003IV000010t2QQYAY</t>
  </si>
  <si>
    <t>003IV000010t2QSYAY</t>
  </si>
  <si>
    <t>003IV000010rvHOYAY</t>
  </si>
  <si>
    <t>003IV000010sxGXYAY</t>
  </si>
  <si>
    <t>003IV000010tWSKYA2</t>
  </si>
  <si>
    <t>003IV000010tWSLYA2</t>
  </si>
  <si>
    <t>003IV000010tRVxYAM</t>
  </si>
  <si>
    <t>003IV000010t2Z3YAI</t>
  </si>
  <si>
    <t>003IV000010t2ZCYAY</t>
  </si>
  <si>
    <t>003IV000010t2ZQYAY</t>
  </si>
  <si>
    <t>003IV000010t2ZRYAY</t>
  </si>
  <si>
    <t>003IV000010t2ZTYAY</t>
  </si>
  <si>
    <t>003IV000010rvHPYAY</t>
  </si>
  <si>
    <t>003IV000010t2ZhYAI</t>
  </si>
  <si>
    <t>003IV000010rvHQYAY</t>
  </si>
  <si>
    <t>003IV000010rvHSYAY</t>
  </si>
  <si>
    <t>003IV000010tWSNYA2</t>
  </si>
  <si>
    <t>003IV000010tQHuYAM</t>
  </si>
  <si>
    <t>003IV000010t2foYAA</t>
  </si>
  <si>
    <t>003IV000010t2g2YAA</t>
  </si>
  <si>
    <t>003IV000010t2g3YAA</t>
  </si>
  <si>
    <t>003IV000010t2gOYAQ</t>
  </si>
  <si>
    <t>003IV000010tSkMYAU</t>
  </si>
  <si>
    <t>003IV000010t2jrYAA</t>
  </si>
  <si>
    <t>003IV000010tQHyYAM</t>
  </si>
  <si>
    <t>003IV000010tSkOYAU</t>
  </si>
  <si>
    <t>003IV000010tQHdYAM</t>
  </si>
  <si>
    <t>003IV000010t2k9YAA</t>
  </si>
  <si>
    <t>003IV000010t2kBYAQ</t>
  </si>
  <si>
    <t>003IV000010t2kCYAQ</t>
  </si>
  <si>
    <t>003IV000010s6QvYAI</t>
  </si>
  <si>
    <t>003IV000010tQI0YAM</t>
  </si>
  <si>
    <t>003IV000010tQHfYAM</t>
  </si>
  <si>
    <t>003IV000010tQI2YAM</t>
  </si>
  <si>
    <t>003IV000010tIdmYAE</t>
  </si>
  <si>
    <t>003IV000010sxGnYAI</t>
  </si>
  <si>
    <t>003IV000010tRWiYAM</t>
  </si>
  <si>
    <t>003IV000010tIdoYAE</t>
  </si>
  <si>
    <t>003IV000010tPaIYAU</t>
  </si>
  <si>
    <t>003IV000010tHInYAM</t>
  </si>
  <si>
    <t>003IV000010tRUFYA2</t>
  </si>
  <si>
    <t>003IV000010tRWkYAM</t>
  </si>
  <si>
    <t>003IV000010tQI5YAM</t>
  </si>
  <si>
    <t>003IV000010tQI6YAM</t>
  </si>
  <si>
    <t>003IV000010s6QxYAI</t>
  </si>
  <si>
    <t>003IV000010s6QyYAI</t>
  </si>
  <si>
    <t>003IV000010tQI7YAM</t>
  </si>
  <si>
    <t>003IV000010tIdvYAE</t>
  </si>
  <si>
    <t>003IV000010tPaKYAU</t>
  </si>
  <si>
    <t>003IV000010tIdxYAE</t>
  </si>
  <si>
    <t>003IV000010tRUIYA2</t>
  </si>
  <si>
    <t>003IV000010tPaLYAU</t>
  </si>
  <si>
    <t>003IV000010tIe0YAE</t>
  </si>
  <si>
    <t>003IV000010t301YAA</t>
  </si>
  <si>
    <t>003IV000010s6QzYAI</t>
  </si>
  <si>
    <t>003IV000010sxGoYAI</t>
  </si>
  <si>
    <t>003IV000010tRWmYAM</t>
  </si>
  <si>
    <t>003IV000010tQHlYAM</t>
  </si>
  <si>
    <t>003IV000010tRW1YAM</t>
  </si>
  <si>
    <t>003IV000010tIe1YAE</t>
  </si>
  <si>
    <t>003IV000010tRUJYA2</t>
  </si>
  <si>
    <t>003IV000010tIe4YAE</t>
  </si>
  <si>
    <t>003IV000010tRTeYAM</t>
  </si>
  <si>
    <t>003IV000010t2zrYAA</t>
  </si>
  <si>
    <t>003IV000010tIiDYAU</t>
  </si>
  <si>
    <t>003IV000010s6R1YAI</t>
  </si>
  <si>
    <t>003IV000010tQICYA2</t>
  </si>
  <si>
    <t>003IV000010taO5YAI</t>
  </si>
  <si>
    <t>003IV000010tWSyYAM</t>
  </si>
  <si>
    <t>003IV000010tWSzYAM</t>
  </si>
  <si>
    <t>003IV000010tPaOYAU</t>
  </si>
  <si>
    <t>003IV000010tPaPYAU</t>
  </si>
  <si>
    <t>003IV000010tRyuYAE</t>
  </si>
  <si>
    <t>003IV000010tIe9YAE</t>
  </si>
  <si>
    <t>003IV000010tIeBYAU</t>
  </si>
  <si>
    <t>003IV000010sxGpYAI</t>
  </si>
  <si>
    <t>003IV000010tQIIYA2</t>
  </si>
  <si>
    <t>003IV000010tHIpYAM</t>
  </si>
  <si>
    <t>003IV000010tIiFYAU</t>
  </si>
  <si>
    <t>003IV000010tQIMYA2</t>
  </si>
  <si>
    <t>003IV000010sxGsYAI</t>
  </si>
  <si>
    <t>003IV000010tIeJYAU</t>
  </si>
  <si>
    <t>003IV000010t3BdYAI</t>
  </si>
  <si>
    <t>003IV000010tIeLYAU</t>
  </si>
  <si>
    <t>003IV000010tIiIYAU</t>
  </si>
  <si>
    <t>003IV000010tIiJYAU</t>
  </si>
  <si>
    <t>003IV000010tTsfYAE</t>
  </si>
  <si>
    <t>003IV000010tRW3YAM</t>
  </si>
  <si>
    <t>003IV000010tRTfYAM</t>
  </si>
  <si>
    <t>003IV000010t3eLYAQ</t>
  </si>
  <si>
    <t>003IV000010tQIRYA2</t>
  </si>
  <si>
    <t>003IV000010tIiQYAU</t>
  </si>
  <si>
    <t>003IV000010tPaSYAU</t>
  </si>
  <si>
    <t>003IV000010tRW4YAM</t>
  </si>
  <si>
    <t>003IV000010tTt4YAE</t>
  </si>
  <si>
    <t>003IV000010tIeWYAU</t>
  </si>
  <si>
    <t>003IV000010tJXCYA2</t>
  </si>
  <si>
    <t>003IV000010tIeYYAU</t>
  </si>
  <si>
    <t>003IV000010tI5IYAU</t>
  </si>
  <si>
    <t>003IV000010rv3VYAQ</t>
  </si>
  <si>
    <t>003IV000010tIecYAE</t>
  </si>
  <si>
    <t>003IV000010tIedYAE</t>
  </si>
  <si>
    <t>003IV000010sxFuYAI</t>
  </si>
  <si>
    <t>003IV000010tIeeYAE</t>
  </si>
  <si>
    <t>003IV000010tPaAYAU</t>
  </si>
  <si>
    <t>003IV000010sxFvYAI</t>
  </si>
  <si>
    <t>003IV000010tPaUYAU</t>
  </si>
  <si>
    <t>003IV000010tIiUYAU</t>
  </si>
  <si>
    <t>003IV000010tJXDYA2</t>
  </si>
  <si>
    <t>003IV000010scriYAA</t>
  </si>
  <si>
    <t>003IV000010scsHYAQ</t>
  </si>
  <si>
    <t>003IV000010rnuiYAA</t>
  </si>
  <si>
    <t>003IV000010tLbeYAE</t>
  </si>
  <si>
    <t>003IV000010rv3eYAA</t>
  </si>
  <si>
    <t>003IV000010tIiVYAU</t>
  </si>
  <si>
    <t>003IV000010tSkWYAU</t>
  </si>
  <si>
    <t>003IV000010tTsgYAE</t>
  </si>
  <si>
    <t>003IV000010tIekYAE</t>
  </si>
  <si>
    <t>003IV000010tIelYAE</t>
  </si>
  <si>
    <t>003IV000010tIiWYAU</t>
  </si>
  <si>
    <t>003IV000010tQITYA2</t>
  </si>
  <si>
    <t>003IV000010tIiXYAU</t>
  </si>
  <si>
    <t>003IV000010t3szYAA</t>
  </si>
  <si>
    <t>003IV000010tQIUYA2</t>
  </si>
  <si>
    <t>003IV000010tJXYYA2</t>
  </si>
  <si>
    <t>003IV000010tJXZYA2</t>
  </si>
  <si>
    <t>003IV000010tTtEYAU</t>
  </si>
  <si>
    <t>003IV000010tIepYAE</t>
  </si>
  <si>
    <t>003IV000010tJXaYAM</t>
  </si>
  <si>
    <t>003IV000010tSkYYAU</t>
  </si>
  <si>
    <t>003IV000010tJXbYAM</t>
  </si>
  <si>
    <t>003IV000010tJXdYAM</t>
  </si>
  <si>
    <t>003IV000010rv3gYAA</t>
  </si>
  <si>
    <t>003IV000010tPaXYAU</t>
  </si>
  <si>
    <t>003IV000010tI5MYAU</t>
  </si>
  <si>
    <t>003IV000010tRzGYAU</t>
  </si>
  <si>
    <t>003IV000010t3skYAA</t>
  </si>
  <si>
    <t>003IV000010tJXgYAM</t>
  </si>
  <si>
    <t>003IV000010tJXhYAM</t>
  </si>
  <si>
    <t>003IV000010tJXjYAM</t>
  </si>
  <si>
    <t>003IV000010tJXkYAM</t>
  </si>
  <si>
    <t>003IV000010tJXlYAM</t>
  </si>
  <si>
    <t>003IV000010tIdQYAU</t>
  </si>
  <si>
    <t>003IV000010tRW6YAM</t>
  </si>
  <si>
    <t>003IV000010tPagYAE</t>
  </si>
  <si>
    <t>003IV000010su85YAA</t>
  </si>
  <si>
    <t>003IV000010tRdWYAU</t>
  </si>
  <si>
    <t>003IV000010su86YAA</t>
  </si>
  <si>
    <t>003IV000010tRVeYAM</t>
  </si>
  <si>
    <t>003IV000010tRW7YAM</t>
  </si>
  <si>
    <t>003IV000010tTsjYAE</t>
  </si>
  <si>
    <t>003IV000010tRywYAE</t>
  </si>
  <si>
    <t>003IV000010su87YAA</t>
  </si>
  <si>
    <t>003IV000010tSkaYAE</t>
  </si>
  <si>
    <t>003IV000010tRViYAM</t>
  </si>
  <si>
    <t>003IV000010su88YAA</t>
  </si>
  <si>
    <t>003IV000010tRWAYA2</t>
  </si>
  <si>
    <t>003IV000010t3wmYAA</t>
  </si>
  <si>
    <t>003IV000010tRdYYAU</t>
  </si>
  <si>
    <t>003IV000010su89YAA</t>
  </si>
  <si>
    <t>003IV000010su8AYAQ</t>
  </si>
  <si>
    <t>003IV000010tRWDYA2</t>
  </si>
  <si>
    <t>003IV000010su8CYAQ</t>
  </si>
  <si>
    <t>003IV000010tSmVYAU</t>
  </si>
  <si>
    <t>003IV000010tRWEYA2</t>
  </si>
  <si>
    <t>003IV000010su8EYAQ</t>
  </si>
  <si>
    <t>003IV000010tIicYAE</t>
  </si>
  <si>
    <t>003IV000010su8HYAQ</t>
  </si>
  <si>
    <t>003IV000010tRdaYAE</t>
  </si>
  <si>
    <t>003IV000010sxGuYAI</t>
  </si>
  <si>
    <t>003IV000010su8JYAQ</t>
  </si>
  <si>
    <t>003IV000010sxGvYAI</t>
  </si>
  <si>
    <t>003IV000010su8KYAQ</t>
  </si>
  <si>
    <t>003IV000010su8LYAQ</t>
  </si>
  <si>
    <t>003IV000010tSmaYAE</t>
  </si>
  <si>
    <t>003IV000010su8NYAQ</t>
  </si>
  <si>
    <t>003IV000010tI5QYAU</t>
  </si>
  <si>
    <t>003IV000010tRThYAM</t>
  </si>
  <si>
    <t>003IV000010su8PYAQ</t>
  </si>
  <si>
    <t>003IV000010tRTiYAM</t>
  </si>
  <si>
    <t>003IV000010t2BcYAI</t>
  </si>
  <si>
    <t>003IV000010su8SYAQ</t>
  </si>
  <si>
    <t>003IV000010t4BKYAY</t>
  </si>
  <si>
    <t>003IV000010t4BOYAY</t>
  </si>
  <si>
    <t>003IV000010tIdSYAU</t>
  </si>
  <si>
    <t>003IV000010su8TYAQ</t>
  </si>
  <si>
    <t>003IV000010su8VYAQ</t>
  </si>
  <si>
    <t>003IV000010t4FTYAY</t>
  </si>
  <si>
    <t>003IV000010su8XYAQ</t>
  </si>
  <si>
    <t>003IV000010su8YYAQ</t>
  </si>
  <si>
    <t>003IV000010su8ZYAQ</t>
  </si>
  <si>
    <t>003IV000010su8bYAA</t>
  </si>
  <si>
    <t>003IV000010su8cYAA</t>
  </si>
  <si>
    <t>003IV000010su8dYAA</t>
  </si>
  <si>
    <t>003IV000010su8eYAA</t>
  </si>
  <si>
    <t>Contact Recouvrement ORANGINA SCHWEPPES France</t>
  </si>
  <si>
    <t>003IV000010su8fYAA</t>
  </si>
  <si>
    <t>003IV000010sxGwYAI</t>
  </si>
  <si>
    <t>003IV000010t0uxYAA</t>
  </si>
  <si>
    <t>003IV000010su8gYAA</t>
  </si>
  <si>
    <t>003IV000010su8hYAA</t>
  </si>
  <si>
    <t>003IV000010su8iYAA</t>
  </si>
  <si>
    <t>Comptabilité Compta Fournisseurs BACCARAT</t>
  </si>
  <si>
    <t>003IV000010t45KYAQ</t>
  </si>
  <si>
    <t>003IV000010t67oYAA</t>
  </si>
  <si>
    <t>003IV000010tSkkYAE</t>
  </si>
  <si>
    <t>003IV000010su8kYAA</t>
  </si>
  <si>
    <t>003IV000010t687YAA</t>
  </si>
  <si>
    <t>003IV000010t688YAA</t>
  </si>
  <si>
    <t>003IV000010su8lYAA</t>
  </si>
  <si>
    <t>003IV000010su8mYAA</t>
  </si>
  <si>
    <t>003IV000010su8nYAA</t>
  </si>
  <si>
    <t>003IV000010su8qYAA</t>
  </si>
  <si>
    <t>003IV000010su8rYAA</t>
  </si>
  <si>
    <t>003IV000010t68lYAA</t>
  </si>
  <si>
    <t>003IV000010su8sYAA</t>
  </si>
  <si>
    <t>003IV000010su8tYAA</t>
  </si>
  <si>
    <t>003IV000010tSn4YAE</t>
  </si>
  <si>
    <t>003IV000010tSn5YAE</t>
  </si>
  <si>
    <t>003IV000010t698YAA</t>
  </si>
  <si>
    <t>003IV000010su8uYAA</t>
  </si>
  <si>
    <t>003IV000010t6CGYAY</t>
  </si>
  <si>
    <t>003IV000010su8wYAA</t>
  </si>
  <si>
    <t>003IV000010tSnAYAU</t>
  </si>
  <si>
    <t>003IV000010su8xYAA</t>
  </si>
  <si>
    <t>003IV000010su8yYAA</t>
  </si>
  <si>
    <t>003IV000010su90YAA</t>
  </si>
  <si>
    <t>003IV000010su91YAA</t>
  </si>
  <si>
    <t>003IV000010su92YAA</t>
  </si>
  <si>
    <t>003IV000010su94YAA</t>
  </si>
  <si>
    <t>003IV000010su96YAA</t>
  </si>
  <si>
    <t>003IV000010su97YAA</t>
  </si>
  <si>
    <t>003IV000010su98YAA</t>
  </si>
  <si>
    <t>003IV000010su99YAA</t>
  </si>
  <si>
    <t>003IV000010su9AYAQ</t>
  </si>
  <si>
    <t>003IV000010su9BYAQ</t>
  </si>
  <si>
    <t>003IV000010su9CYAQ</t>
  </si>
  <si>
    <t>003IV000010su9DYAQ</t>
  </si>
  <si>
    <t>003IV000010tLcYYAU</t>
  </si>
  <si>
    <t>003IV000010su9FYAQ</t>
  </si>
  <si>
    <t>003IV000010su9HYAQ</t>
  </si>
  <si>
    <t>003IV000010t6MdYAI</t>
  </si>
  <si>
    <t>003IV000010su9IYAQ</t>
  </si>
  <si>
    <t>003IV000010su9LYAQ</t>
  </si>
  <si>
    <t>003IV000010tSnLYAU</t>
  </si>
  <si>
    <t>003IV000010tJWDYA2</t>
  </si>
  <si>
    <t>003IV000010su9PYAQ</t>
  </si>
  <si>
    <t>003IV000010su9QYAQ</t>
  </si>
  <si>
    <t>003IV000010su9RYAQ</t>
  </si>
  <si>
    <t>003IV000010su9SYAQ</t>
  </si>
  <si>
    <t>003IV000010tSnNYAU</t>
  </si>
  <si>
    <t>003IV000010su9XYAQ</t>
  </si>
  <si>
    <t>003IV000010su9YYAQ</t>
  </si>
  <si>
    <t>003IV000010tRdrYAE</t>
  </si>
  <si>
    <t>003IV000010tJWHYA2</t>
  </si>
  <si>
    <t>003IV000010tJZPYA2</t>
  </si>
  <si>
    <t>003IV000010tJZRYA2</t>
  </si>
  <si>
    <t>003IV000010tSnSYAU</t>
  </si>
  <si>
    <t>003IV000010tJZSYA2</t>
  </si>
  <si>
    <t>003IV000010tJZVYA2</t>
  </si>
  <si>
    <t>003IV000010tSnVYAU</t>
  </si>
  <si>
    <t>003IV000010tJZXYA2</t>
  </si>
  <si>
    <t>003IV000010tJZYYA2</t>
  </si>
  <si>
    <t>003IV000010tIdXYAU</t>
  </si>
  <si>
    <t>003IV000010tJZfYAM</t>
  </si>
  <si>
    <t>003IV000010tJZgYAM</t>
  </si>
  <si>
    <t>003IV000010tJZhYAM</t>
  </si>
  <si>
    <t>003IV000010tJZoYAM</t>
  </si>
  <si>
    <t>003IV000010tJZpYAM</t>
  </si>
  <si>
    <t>003IV000010tJZqYAM</t>
  </si>
  <si>
    <t>003IV000010tJZsYAM</t>
  </si>
  <si>
    <t>003IV000010tJZxYAM</t>
  </si>
  <si>
    <t>003IV000010tTxvYAE</t>
  </si>
  <si>
    <t>003IV000010tJZyYAM</t>
  </si>
  <si>
    <t>003IV000010t7J0YAI</t>
  </si>
  <si>
    <t>003IV000010tJa4YAE</t>
  </si>
  <si>
    <t>003IV000010tTxyYAE</t>
  </si>
  <si>
    <t>003IV000010t7NpYAI</t>
  </si>
  <si>
    <t>003IV000010tWWPYA2</t>
  </si>
  <si>
    <t>003IV000010tOTEYA2</t>
  </si>
  <si>
    <t>003IV000010tSjCYAU</t>
  </si>
  <si>
    <t>003IV000010tJa7YAE</t>
  </si>
  <si>
    <t>Contact Compta-Facturation ASTRAZENECA</t>
  </si>
  <si>
    <t>003IV000010tJa8YAE</t>
  </si>
  <si>
    <t>003IV000010tJaBYAU</t>
  </si>
  <si>
    <t>003IV000010tJaCYAU</t>
  </si>
  <si>
    <t>003IV000010tJacYAE</t>
  </si>
  <si>
    <t>003IV000010tJaeYAE</t>
  </si>
  <si>
    <t>003IV000010t7tcYAA</t>
  </si>
  <si>
    <t>003IV000010tJajYAE</t>
  </si>
  <si>
    <t>003IV000010tJasYAE</t>
  </si>
  <si>
    <t>003IV000010t8Y4YAI</t>
  </si>
  <si>
    <t>003IV000010sqKfYAI</t>
  </si>
  <si>
    <t>003IV000010tNmEYAU</t>
  </si>
  <si>
    <t>003IV000010tSrXYAU</t>
  </si>
  <si>
    <t>003IV000010t9wmYAA</t>
  </si>
  <si>
    <t>003IV000010tSrYYAU</t>
  </si>
  <si>
    <t>003IV000010t9wwYAA</t>
  </si>
  <si>
    <t>003IV000010t9wzYAA</t>
  </si>
  <si>
    <t>003IV000010sqLJYAY</t>
  </si>
  <si>
    <t>003IV000010sqLKYAY</t>
  </si>
  <si>
    <t>003IV000010sqLMYAY</t>
  </si>
  <si>
    <t>003IV000010sqLNYAY</t>
  </si>
  <si>
    <t>003IV000010t9x4YAA</t>
  </si>
  <si>
    <t>003IV000010sqM3YAI</t>
  </si>
  <si>
    <t>003IV000010tTqfYAE</t>
  </si>
  <si>
    <t>003IV000018MJ4DYAW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</si>
</sst>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3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43" fontId="2" fillId="2" borderId="0" xfId="1" applyFont="1" applyFill="1"/>
    <xf numFmtId="8" fontId="2" fillId="2" borderId="0" xfId="0" applyNumberFormat="1" applyFont="1" applyFill="1"/>
    <xf numFmtId="43" fontId="0" fillId="0" borderId="1" xfId="1" applyFont="1" applyFill="1" applyBorder="1"/>
    <xf numFmtId="8" fontId="0" fillId="0" borderId="1" xfId="0" applyNumberFormat="1" applyBorder="1"/>
    <xf numFmtId="43" fontId="0" fillId="0" borderId="0" xfId="1" applyFont="1" applyFill="1" applyAlignment="1">
      <alignment horizontal="left"/>
    </xf>
    <xf numFmtId="43" fontId="0" fillId="0" borderId="0" xfId="1" applyFont="1"/>
    <xf numFmtId="43" fontId="0" fillId="3" borderId="1" xfId="1" applyFont="1" applyFill="1" applyBorder="1"/>
    <xf numFmtId="8" fontId="0" fillId="3" borderId="1" xfId="0" applyNumberFormat="1" applyFill="1" applyBorder="1"/>
    <xf numFmtId="43" fontId="0" fillId="4" borderId="0" xfId="1" applyFont="1" applyFill="1" applyAlignment="1">
      <alignment horizontal="left"/>
    </xf>
    <xf numFmtId="43" fontId="0" fillId="0" borderId="0" xfId="1" applyFont="1" applyFill="1"/>
    <xf numFmtId="43" fontId="0" fillId="4" borderId="1" xfId="1" applyFont="1" applyFill="1" applyBorder="1"/>
    <xf numFmtId="43" fontId="0" fillId="5" borderId="1" xfId="1" applyFont="1" applyFill="1" applyBorder="1"/>
    <xf numFmtId="8" fontId="3" fillId="0" borderId="2" xfId="0" applyNumberFormat="1" applyFont="1" applyBorder="1"/>
    <xf numFmtId="8" fontId="3" fillId="0" borderId="0" xfId="0" applyNumberFormat="1" applyFont="1"/>
    <xf numFmtId="0" fontId="0" fillId="3" borderId="0" xfId="0" applyFill="1"/>
    <xf numFmtId="8" fontId="0" fillId="4" borderId="1" xfId="0" applyNumberFormat="1" applyFill="1" applyBorder="1"/>
    <xf numFmtId="43" fontId="0" fillId="0" borderId="1" xfId="1" applyFont="1" applyFill="1" applyBorder="1" applyAlignment="1">
      <alignment horizontal="left"/>
    </xf>
    <xf numFmtId="43" fontId="0" fillId="0" borderId="1" xfId="1" applyFont="1" applyBorder="1"/>
    <xf numFmtId="43" fontId="0" fillId="0" borderId="1" xfId="1" applyFont="1" applyBorder="1" applyAlignment="1">
      <alignment horizontal="left"/>
    </xf>
    <xf numFmtId="43" fontId="0" fillId="0" borderId="0" xfId="1" applyFont="1" applyAlignment="1">
      <alignment horizontal="left"/>
    </xf>
    <xf numFmtId="43" fontId="2" fillId="6" borderId="0" xfId="1" applyFont="1" applyFill="1"/>
    <xf numFmtId="43" fontId="0" fillId="7" borderId="1" xfId="1" applyFont="1" applyFill="1" applyBorder="1"/>
    <xf numFmtId="43" fontId="0" fillId="7" borderId="1" xfId="1" applyFont="1" applyFill="1" applyBorder="1" applyAlignment="1">
      <alignment horizontal="left"/>
    </xf>
    <xf numFmtId="14" fontId="0" fillId="7" borderId="1" xfId="1" applyNumberFormat="1" applyFont="1" applyFill="1" applyBorder="1" applyAlignment="1">
      <alignment horizontal="left"/>
    </xf>
    <xf numFmtId="0" fontId="5" fillId="0" borderId="0" xfId="2"/>
    <xf numFmtId="0" fontId="0" fillId="7" borderId="1" xfId="1" applyNumberFormat="1" applyFont="1" applyFill="1" applyBorder="1" applyAlignment="1">
      <alignment horizontal="left"/>
    </xf>
    <xf numFmtId="3" fontId="0" fillId="7" borderId="1" xfId="1" applyNumberFormat="1" applyFont="1" applyFill="1" applyBorder="1" applyAlignment="1">
      <alignment horizontal="left"/>
    </xf>
    <xf numFmtId="0" fontId="0" fillId="7" borderId="1" xfId="1" quotePrefix="1" applyNumberFormat="1" applyFont="1" applyFill="1" applyBorder="1" applyAlignment="1">
      <alignment horizontal="left"/>
    </xf>
    <xf numFmtId="0" fontId="0" fillId="7" borderId="1" xfId="0" applyFill="1" applyBorder="1"/>
    <xf numFmtId="14" fontId="0" fillId="7" borderId="0" xfId="1" applyNumberFormat="1" applyFont="1" applyFill="1" applyBorder="1" applyAlignment="1">
      <alignment horizontal="left"/>
    </xf>
    <xf numFmtId="0" fontId="0" fillId="7" borderId="0" xfId="1" applyNumberFormat="1" applyFont="1" applyFill="1" applyBorder="1" applyAlignment="1">
      <alignment horizontal="left"/>
    </xf>
    <xf numFmtId="0" fontId="2" fillId="6" borderId="0" xfId="1" applyNumberFormat="1" applyFont="1" applyFill="1"/>
    <xf numFmtId="43" fontId="4" fillId="0" borderId="3" xfId="1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0" fontId="4" fillId="0" borderId="4" xfId="1" applyNumberFormat="1" applyFont="1" applyBorder="1" applyAlignment="1">
      <alignment horizontal="center"/>
    </xf>
    <xf numFmtId="43" fontId="2" fillId="8" borderId="0" xfId="1" applyFont="1" applyFill="1"/>
    <xf numFmtId="8" fontId="2" fillId="8" borderId="0" xfId="0" applyNumberFormat="1" applyFont="1" applyFill="1"/>
    <xf numFmtId="43" fontId="2" fillId="9" borderId="0" xfId="1" applyFont="1" applyFill="1"/>
  </cellXfs>
  <cellStyles count="3">
    <cellStyle name="Comma" xfId="1" builtinId="3"/>
    <cellStyle name="Normal" xfId="0" builtinId="0"/>
    <cellStyle name="Normal 2" xfId="2" xr:uid="{8125A175-C760-408D-8ED0-D39DB0FB2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CE21-EA48-477D-A160-E9FBC5C6031B}">
  <dimension ref="A2:L351"/>
  <sheetViews>
    <sheetView topLeftCell="B305" zoomScale="70" zoomScaleNormal="70" workbookViewId="0">
      <selection activeCell="B7" sqref="B7"/>
    </sheetView>
  </sheetViews>
  <sheetFormatPr defaultColWidth="11.42578125" defaultRowHeight="14.45"/>
  <cols>
    <col min="1" max="1" width="19.140625" bestFit="1" customWidth="1"/>
    <col min="2" max="2" width="45.140625" bestFit="1" customWidth="1"/>
    <col min="3" max="3" width="20.85546875" customWidth="1"/>
    <col min="4" max="4" width="21.28515625" bestFit="1" customWidth="1"/>
    <col min="5" max="5" width="21.140625" bestFit="1" customWidth="1"/>
    <col min="6" max="6" width="49.7109375" customWidth="1"/>
    <col min="7" max="7" width="29.7109375" customWidth="1"/>
    <col min="8" max="8" width="12.7109375" customWidth="1"/>
    <col min="9" max="10" width="14.28515625" bestFit="1" customWidth="1"/>
    <col min="11" max="11" width="23.28515625" customWidth="1"/>
    <col min="12" max="12" width="27.42578125" bestFit="1" customWidth="1"/>
  </cols>
  <sheetData>
    <row r="2" spans="1:12">
      <c r="I2" s="14"/>
      <c r="J2" s="14"/>
    </row>
    <row r="3" spans="1:12" ht="21">
      <c r="D3" s="33" t="s">
        <v>0</v>
      </c>
      <c r="E3" s="34"/>
      <c r="F3" s="34"/>
      <c r="G3" s="34"/>
      <c r="H3" s="35"/>
      <c r="I3" s="14"/>
      <c r="J3" s="14"/>
    </row>
    <row r="4" spans="1:12">
      <c r="I4" s="14"/>
      <c r="J4" s="14"/>
    </row>
    <row r="5" spans="1:12" ht="15" thickBot="1">
      <c r="I5" s="14"/>
      <c r="J5" s="13">
        <f>SUM(J8:J351)</f>
        <v>666538</v>
      </c>
    </row>
    <row r="6" spans="1:12" ht="15" thickTop="1">
      <c r="I6" s="14"/>
    </row>
    <row r="7" spans="1:12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2" t="s">
        <v>9</v>
      </c>
      <c r="J7" s="2" t="s">
        <v>10</v>
      </c>
      <c r="K7" s="15" t="s">
        <v>11</v>
      </c>
      <c r="L7" s="15" t="s">
        <v>11</v>
      </c>
    </row>
    <row r="8" spans="1:12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17" t="s">
        <v>18</v>
      </c>
      <c r="H8" s="3">
        <v>1</v>
      </c>
      <c r="I8" s="4">
        <v>1000</v>
      </c>
      <c r="J8" s="4">
        <v>1000</v>
      </c>
      <c r="K8" s="5">
        <v>0</v>
      </c>
      <c r="L8" s="6">
        <v>0</v>
      </c>
    </row>
    <row r="9" spans="1:12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17" t="s">
        <v>18</v>
      </c>
      <c r="H9" s="3">
        <v>1</v>
      </c>
      <c r="I9" s="4">
        <v>1080</v>
      </c>
      <c r="J9" s="4">
        <v>1080</v>
      </c>
      <c r="K9" s="5">
        <v>0</v>
      </c>
      <c r="L9" s="6">
        <v>0</v>
      </c>
    </row>
    <row r="10" spans="1:12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16</v>
      </c>
      <c r="F10" s="3" t="s">
        <v>17</v>
      </c>
      <c r="G10" s="17" t="s">
        <v>18</v>
      </c>
      <c r="H10" s="3">
        <v>1</v>
      </c>
      <c r="I10" s="4">
        <v>3000</v>
      </c>
      <c r="J10" s="4">
        <v>3000</v>
      </c>
      <c r="K10" s="5">
        <v>0</v>
      </c>
      <c r="L10" s="6">
        <v>0</v>
      </c>
    </row>
    <row r="11" spans="1:12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23</v>
      </c>
      <c r="F11" s="3" t="s">
        <v>24</v>
      </c>
      <c r="G11" s="17" t="s">
        <v>18</v>
      </c>
      <c r="H11" s="3">
        <v>1</v>
      </c>
      <c r="I11" s="4">
        <v>1000</v>
      </c>
      <c r="J11" s="4">
        <v>1000</v>
      </c>
      <c r="K11" s="5">
        <v>0</v>
      </c>
      <c r="L11" s="6">
        <v>0</v>
      </c>
    </row>
    <row r="12" spans="1:12">
      <c r="A12" s="3" t="s">
        <v>33</v>
      </c>
      <c r="B12" s="3" t="s">
        <v>34</v>
      </c>
      <c r="C12" s="3" t="s">
        <v>34</v>
      </c>
      <c r="D12" s="3" t="s">
        <v>35</v>
      </c>
      <c r="E12" s="3" t="s">
        <v>23</v>
      </c>
      <c r="F12" s="3" t="s">
        <v>24</v>
      </c>
      <c r="G12" s="17" t="s">
        <v>36</v>
      </c>
      <c r="H12" s="3">
        <v>1</v>
      </c>
      <c r="I12" s="4">
        <v>3440</v>
      </c>
      <c r="J12" s="4">
        <v>3440</v>
      </c>
      <c r="K12" s="5">
        <v>0</v>
      </c>
      <c r="L12" s="6">
        <v>0</v>
      </c>
    </row>
    <row r="13" spans="1:12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23</v>
      </c>
      <c r="F13" s="3" t="s">
        <v>24</v>
      </c>
      <c r="G13" s="17" t="s">
        <v>18</v>
      </c>
      <c r="H13" s="3">
        <v>1</v>
      </c>
      <c r="I13" s="4">
        <v>4200</v>
      </c>
      <c r="J13" s="4">
        <v>4200</v>
      </c>
      <c r="K13" s="5">
        <v>0</v>
      </c>
      <c r="L13" s="6">
        <v>0</v>
      </c>
    </row>
    <row r="14" spans="1:12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16</v>
      </c>
      <c r="F14" s="3" t="s">
        <v>17</v>
      </c>
      <c r="G14" s="17"/>
      <c r="H14" s="3">
        <v>1</v>
      </c>
      <c r="I14" s="4">
        <v>1000</v>
      </c>
      <c r="J14" s="4">
        <v>1000</v>
      </c>
      <c r="K14" s="5"/>
      <c r="L14" s="6"/>
    </row>
    <row r="15" spans="1:12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16</v>
      </c>
      <c r="F15" s="3" t="s">
        <v>17</v>
      </c>
      <c r="G15" s="17" t="s">
        <v>18</v>
      </c>
      <c r="H15" s="3">
        <v>1</v>
      </c>
      <c r="I15" s="4">
        <v>4000</v>
      </c>
      <c r="J15" s="4">
        <v>4000</v>
      </c>
      <c r="K15" s="5">
        <v>0</v>
      </c>
      <c r="L15" s="6">
        <v>0</v>
      </c>
    </row>
    <row r="16" spans="1:12">
      <c r="A16" s="3" t="s">
        <v>49</v>
      </c>
      <c r="B16" s="3" t="s">
        <v>50</v>
      </c>
      <c r="C16" s="3" t="s">
        <v>50</v>
      </c>
      <c r="D16" s="3" t="s">
        <v>51</v>
      </c>
      <c r="E16" s="3" t="s">
        <v>52</v>
      </c>
      <c r="F16" s="3" t="s">
        <v>53</v>
      </c>
      <c r="G16" s="17" t="s">
        <v>18</v>
      </c>
      <c r="H16" s="3">
        <v>1</v>
      </c>
      <c r="I16" s="4">
        <v>2000</v>
      </c>
      <c r="J16" s="4">
        <v>2000</v>
      </c>
      <c r="K16" s="5">
        <v>0</v>
      </c>
      <c r="L16" s="6">
        <v>0</v>
      </c>
    </row>
    <row r="17" spans="1:12">
      <c r="A17" s="3" t="s">
        <v>54</v>
      </c>
      <c r="B17" s="3" t="s">
        <v>55</v>
      </c>
      <c r="C17" s="3" t="s">
        <v>56</v>
      </c>
      <c r="D17" s="3" t="s">
        <v>57</v>
      </c>
      <c r="E17" s="3" t="s">
        <v>16</v>
      </c>
      <c r="F17" s="3" t="s">
        <v>17</v>
      </c>
      <c r="G17" s="17" t="s">
        <v>18</v>
      </c>
      <c r="H17" s="3">
        <v>1</v>
      </c>
      <c r="I17" s="4">
        <v>1000</v>
      </c>
      <c r="J17" s="4">
        <v>1000</v>
      </c>
      <c r="K17" s="5">
        <v>0</v>
      </c>
      <c r="L17" s="6">
        <v>0</v>
      </c>
    </row>
    <row r="18" spans="1:12">
      <c r="A18" s="3" t="s">
        <v>58</v>
      </c>
      <c r="B18" s="3" t="s">
        <v>59</v>
      </c>
      <c r="C18" s="3" t="s">
        <v>59</v>
      </c>
      <c r="D18" s="3" t="s">
        <v>60</v>
      </c>
      <c r="E18" s="3" t="s">
        <v>23</v>
      </c>
      <c r="F18" s="3" t="s">
        <v>24</v>
      </c>
      <c r="G18" s="17" t="s">
        <v>18</v>
      </c>
      <c r="H18" s="3">
        <v>1</v>
      </c>
      <c r="I18" s="4">
        <v>1800</v>
      </c>
      <c r="J18" s="4">
        <v>1800</v>
      </c>
      <c r="K18" s="5">
        <v>0</v>
      </c>
      <c r="L18" s="6">
        <v>0</v>
      </c>
    </row>
    <row r="19" spans="1:12">
      <c r="A19" s="3" t="s">
        <v>61</v>
      </c>
      <c r="B19" s="3" t="s">
        <v>62</v>
      </c>
      <c r="C19" s="3" t="s">
        <v>62</v>
      </c>
      <c r="D19" s="3" t="s">
        <v>63</v>
      </c>
      <c r="E19" s="3" t="s">
        <v>16</v>
      </c>
      <c r="F19" s="3" t="s">
        <v>17</v>
      </c>
      <c r="G19" s="17" t="s">
        <v>18</v>
      </c>
      <c r="H19" s="3">
        <v>1</v>
      </c>
      <c r="I19" s="4">
        <v>1000</v>
      </c>
      <c r="J19" s="4">
        <v>1000</v>
      </c>
      <c r="K19" s="5">
        <v>0</v>
      </c>
      <c r="L19" s="6">
        <v>0</v>
      </c>
    </row>
    <row r="20" spans="1:12">
      <c r="A20" s="3" t="s">
        <v>64</v>
      </c>
      <c r="B20" s="3" t="s">
        <v>65</v>
      </c>
      <c r="C20" s="3" t="s">
        <v>65</v>
      </c>
      <c r="D20" s="3" t="s">
        <v>66</v>
      </c>
      <c r="E20" s="3" t="s">
        <v>16</v>
      </c>
      <c r="F20" s="3" t="s">
        <v>17</v>
      </c>
      <c r="G20" s="17" t="s">
        <v>18</v>
      </c>
      <c r="H20" s="3">
        <v>1</v>
      </c>
      <c r="I20" s="4">
        <v>9000</v>
      </c>
      <c r="J20" s="4">
        <v>9000</v>
      </c>
      <c r="K20" s="5">
        <v>0</v>
      </c>
      <c r="L20" s="6">
        <v>0</v>
      </c>
    </row>
    <row r="21" spans="1:12">
      <c r="A21" s="3" t="s">
        <v>67</v>
      </c>
      <c r="B21" s="3" t="s">
        <v>68</v>
      </c>
      <c r="C21" s="3" t="s">
        <v>68</v>
      </c>
      <c r="D21" s="3" t="s">
        <v>69</v>
      </c>
      <c r="E21" s="3" t="s">
        <v>16</v>
      </c>
      <c r="F21" s="3" t="s">
        <v>17</v>
      </c>
      <c r="G21" s="17" t="s">
        <v>18</v>
      </c>
      <c r="H21" s="3">
        <v>1</v>
      </c>
      <c r="I21" s="4">
        <v>1000</v>
      </c>
      <c r="J21" s="4">
        <v>1000</v>
      </c>
      <c r="K21" s="5"/>
      <c r="L21" s="6"/>
    </row>
    <row r="22" spans="1:12">
      <c r="A22" s="3" t="s">
        <v>70</v>
      </c>
      <c r="B22" s="3" t="s">
        <v>71</v>
      </c>
      <c r="C22" s="3" t="s">
        <v>72</v>
      </c>
      <c r="D22" s="3" t="s">
        <v>73</v>
      </c>
      <c r="E22" s="3" t="s">
        <v>16</v>
      </c>
      <c r="F22" s="3" t="s">
        <v>17</v>
      </c>
      <c r="G22" s="17" t="s">
        <v>18</v>
      </c>
      <c r="H22" s="3">
        <v>1</v>
      </c>
      <c r="I22" s="4">
        <v>3000</v>
      </c>
      <c r="J22" s="4">
        <v>3000</v>
      </c>
      <c r="K22" s="5">
        <v>0</v>
      </c>
      <c r="L22" s="6">
        <v>0</v>
      </c>
    </row>
    <row r="23" spans="1:12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23</v>
      </c>
      <c r="F23" s="3" t="s">
        <v>24</v>
      </c>
      <c r="G23" s="17" t="s">
        <v>18</v>
      </c>
      <c r="H23" s="3">
        <v>1</v>
      </c>
      <c r="I23" s="4">
        <v>1800</v>
      </c>
      <c r="J23" s="4">
        <v>1800</v>
      </c>
      <c r="K23" s="5">
        <v>0</v>
      </c>
      <c r="L23" s="6">
        <v>0</v>
      </c>
    </row>
    <row r="24" spans="1:12">
      <c r="A24" s="3" t="s">
        <v>78</v>
      </c>
      <c r="B24" s="3" t="s">
        <v>79</v>
      </c>
      <c r="C24" s="3" t="s">
        <v>79</v>
      </c>
      <c r="D24" s="3" t="s">
        <v>80</v>
      </c>
      <c r="E24" s="3" t="s">
        <v>16</v>
      </c>
      <c r="F24" s="3" t="s">
        <v>17</v>
      </c>
      <c r="G24" s="17" t="s">
        <v>18</v>
      </c>
      <c r="H24" s="3">
        <v>1</v>
      </c>
      <c r="I24" s="4">
        <v>1000</v>
      </c>
      <c r="J24" s="4">
        <v>1000</v>
      </c>
      <c r="K24" s="5">
        <v>0</v>
      </c>
      <c r="L24" s="6">
        <v>0</v>
      </c>
    </row>
    <row r="25" spans="1:12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23</v>
      </c>
      <c r="F25" s="3" t="s">
        <v>24</v>
      </c>
      <c r="G25" s="17" t="s">
        <v>18</v>
      </c>
      <c r="H25" s="3">
        <v>1</v>
      </c>
      <c r="I25" s="4">
        <v>1080</v>
      </c>
      <c r="J25" s="4">
        <v>1080</v>
      </c>
      <c r="K25" s="5">
        <v>0</v>
      </c>
      <c r="L25" s="6">
        <v>0</v>
      </c>
    </row>
    <row r="26" spans="1:12">
      <c r="A26" s="3" t="s">
        <v>85</v>
      </c>
      <c r="B26" s="3" t="s">
        <v>86</v>
      </c>
      <c r="C26" s="3" t="s">
        <v>87</v>
      </c>
      <c r="D26" s="3" t="s">
        <v>88</v>
      </c>
      <c r="E26" s="3" t="s">
        <v>16</v>
      </c>
      <c r="F26" s="3" t="s">
        <v>17</v>
      </c>
      <c r="G26" s="17" t="s">
        <v>18</v>
      </c>
      <c r="H26" s="3">
        <v>1</v>
      </c>
      <c r="I26" s="4">
        <v>8000</v>
      </c>
      <c r="J26" s="4">
        <v>8000</v>
      </c>
      <c r="K26" s="5">
        <v>0</v>
      </c>
      <c r="L26" s="6">
        <v>0</v>
      </c>
    </row>
    <row r="27" spans="1:12">
      <c r="A27" s="3" t="s">
        <v>89</v>
      </c>
      <c r="B27" s="3" t="s">
        <v>90</v>
      </c>
      <c r="C27" s="3" t="s">
        <v>91</v>
      </c>
      <c r="D27" s="3" t="s">
        <v>92</v>
      </c>
      <c r="E27" s="3" t="s">
        <v>16</v>
      </c>
      <c r="F27" s="3" t="s">
        <v>17</v>
      </c>
      <c r="G27" s="17" t="s">
        <v>18</v>
      </c>
      <c r="H27" s="3">
        <v>1</v>
      </c>
      <c r="I27" s="4">
        <v>2000</v>
      </c>
      <c r="J27" s="4">
        <v>2000</v>
      </c>
      <c r="K27" s="5">
        <v>0</v>
      </c>
      <c r="L27" s="6">
        <v>0</v>
      </c>
    </row>
    <row r="28" spans="1:12">
      <c r="A28" s="3" t="s">
        <v>93</v>
      </c>
      <c r="B28" s="3" t="s">
        <v>94</v>
      </c>
      <c r="C28" s="3" t="s">
        <v>94</v>
      </c>
      <c r="D28" s="3" t="s">
        <v>95</v>
      </c>
      <c r="E28" s="3" t="s">
        <v>16</v>
      </c>
      <c r="F28" s="3" t="s">
        <v>17</v>
      </c>
      <c r="G28" s="17" t="s">
        <v>18</v>
      </c>
      <c r="H28" s="3">
        <v>1</v>
      </c>
      <c r="I28" s="4">
        <v>1000</v>
      </c>
      <c r="J28" s="4">
        <v>1000</v>
      </c>
      <c r="K28" s="5">
        <v>0</v>
      </c>
      <c r="L28" s="6">
        <v>0</v>
      </c>
    </row>
    <row r="29" spans="1:12">
      <c r="A29" s="3" t="s">
        <v>96</v>
      </c>
      <c r="B29" s="3" t="s">
        <v>97</v>
      </c>
      <c r="C29" s="3" t="s">
        <v>97</v>
      </c>
      <c r="D29" s="3" t="s">
        <v>98</v>
      </c>
      <c r="E29" s="3" t="s">
        <v>52</v>
      </c>
      <c r="F29" s="3" t="s">
        <v>53</v>
      </c>
      <c r="G29" s="17" t="s">
        <v>18</v>
      </c>
      <c r="H29" s="3">
        <v>1</v>
      </c>
      <c r="I29" s="4">
        <v>2500</v>
      </c>
      <c r="J29" s="4">
        <v>2500</v>
      </c>
      <c r="K29" s="5">
        <v>0</v>
      </c>
      <c r="L29" s="6">
        <v>0</v>
      </c>
    </row>
    <row r="30" spans="1:12">
      <c r="A30" s="3" t="s">
        <v>99</v>
      </c>
      <c r="B30" s="3" t="s">
        <v>100</v>
      </c>
      <c r="C30" s="3" t="s">
        <v>101</v>
      </c>
      <c r="D30" s="3" t="s">
        <v>102</v>
      </c>
      <c r="E30" s="3" t="s">
        <v>16</v>
      </c>
      <c r="F30" s="3" t="s">
        <v>17</v>
      </c>
      <c r="G30" s="17" t="s">
        <v>18</v>
      </c>
      <c r="H30" s="3">
        <v>1</v>
      </c>
      <c r="I30" s="4">
        <v>3000</v>
      </c>
      <c r="J30" s="4">
        <v>3000</v>
      </c>
      <c r="K30" s="5">
        <v>0</v>
      </c>
      <c r="L30" s="6">
        <v>0</v>
      </c>
    </row>
    <row r="31" spans="1:12">
      <c r="A31" s="3" t="s">
        <v>103</v>
      </c>
      <c r="B31" s="3" t="s">
        <v>104</v>
      </c>
      <c r="C31" s="3" t="s">
        <v>104</v>
      </c>
      <c r="D31" s="3" t="s">
        <v>105</v>
      </c>
      <c r="E31" s="3" t="s">
        <v>16</v>
      </c>
      <c r="F31" s="3" t="s">
        <v>17</v>
      </c>
      <c r="G31" s="17" t="s">
        <v>18</v>
      </c>
      <c r="H31" s="3">
        <v>1</v>
      </c>
      <c r="I31" s="4">
        <v>1000</v>
      </c>
      <c r="J31" s="4">
        <v>1000</v>
      </c>
      <c r="K31" s="5">
        <v>0</v>
      </c>
      <c r="L31" s="6">
        <v>0</v>
      </c>
    </row>
    <row r="32" spans="1:12">
      <c r="A32" s="3" t="s">
        <v>106</v>
      </c>
      <c r="B32" s="3" t="s">
        <v>107</v>
      </c>
      <c r="C32" s="3" t="s">
        <v>107</v>
      </c>
      <c r="D32" s="3" t="s">
        <v>108</v>
      </c>
      <c r="E32" s="3" t="s">
        <v>16</v>
      </c>
      <c r="F32" s="3" t="s">
        <v>17</v>
      </c>
      <c r="G32" s="17" t="s">
        <v>18</v>
      </c>
      <c r="H32" s="3">
        <v>1</v>
      </c>
      <c r="I32" s="4">
        <v>2000</v>
      </c>
      <c r="J32" s="4">
        <v>2000</v>
      </c>
      <c r="K32" s="5">
        <v>0</v>
      </c>
      <c r="L32" s="6">
        <v>0</v>
      </c>
    </row>
    <row r="33" spans="1:12">
      <c r="A33" s="3" t="s">
        <v>109</v>
      </c>
      <c r="B33" s="3" t="s">
        <v>110</v>
      </c>
      <c r="C33" s="3" t="s">
        <v>111</v>
      </c>
      <c r="D33" s="3" t="s">
        <v>112</v>
      </c>
      <c r="E33" s="3" t="s">
        <v>16</v>
      </c>
      <c r="F33" s="3" t="s">
        <v>17</v>
      </c>
      <c r="G33" s="17" t="s">
        <v>18</v>
      </c>
      <c r="H33" s="3">
        <v>1</v>
      </c>
      <c r="I33" s="4">
        <v>2000</v>
      </c>
      <c r="J33" s="4">
        <v>2000</v>
      </c>
      <c r="K33" s="5">
        <v>0</v>
      </c>
      <c r="L33" s="6">
        <v>0</v>
      </c>
    </row>
    <row r="34" spans="1:12">
      <c r="A34" s="3" t="s">
        <v>113</v>
      </c>
      <c r="B34" s="3" t="s">
        <v>114</v>
      </c>
      <c r="C34" s="3" t="s">
        <v>114</v>
      </c>
      <c r="D34" s="3" t="s">
        <v>115</v>
      </c>
      <c r="E34" s="3" t="s">
        <v>16</v>
      </c>
      <c r="F34" s="3" t="s">
        <v>17</v>
      </c>
      <c r="G34" s="17" t="s">
        <v>18</v>
      </c>
      <c r="H34" s="3">
        <v>1</v>
      </c>
      <c r="I34" s="4">
        <v>5000</v>
      </c>
      <c r="J34" s="4">
        <v>5000</v>
      </c>
      <c r="K34" s="5">
        <v>0</v>
      </c>
      <c r="L34" s="6">
        <v>0</v>
      </c>
    </row>
    <row r="35" spans="1:12">
      <c r="A35" s="3" t="s">
        <v>116</v>
      </c>
      <c r="B35" s="3" t="s">
        <v>117</v>
      </c>
      <c r="C35" s="3" t="s">
        <v>118</v>
      </c>
      <c r="D35" s="3" t="s">
        <v>119</v>
      </c>
      <c r="E35" s="3" t="s">
        <v>16</v>
      </c>
      <c r="F35" s="3" t="s">
        <v>17</v>
      </c>
      <c r="G35" s="17" t="s">
        <v>18</v>
      </c>
      <c r="H35" s="3">
        <v>1</v>
      </c>
      <c r="I35" s="4">
        <v>7000</v>
      </c>
      <c r="J35" s="4">
        <v>7000</v>
      </c>
      <c r="K35" s="5">
        <v>0</v>
      </c>
      <c r="L35" s="6">
        <v>0</v>
      </c>
    </row>
    <row r="36" spans="1:12">
      <c r="A36" s="3" t="s">
        <v>120</v>
      </c>
      <c r="B36" s="3" t="s">
        <v>121</v>
      </c>
      <c r="C36" s="3" t="s">
        <v>122</v>
      </c>
      <c r="D36" s="3" t="s">
        <v>123</v>
      </c>
      <c r="E36" s="3" t="s">
        <v>16</v>
      </c>
      <c r="F36" s="3" t="s">
        <v>17</v>
      </c>
      <c r="G36" s="17" t="s">
        <v>18</v>
      </c>
      <c r="H36" s="3">
        <v>1</v>
      </c>
      <c r="I36" s="4">
        <v>2000</v>
      </c>
      <c r="J36" s="4">
        <v>2000</v>
      </c>
      <c r="K36" s="5">
        <v>0</v>
      </c>
      <c r="L36" s="6">
        <v>0</v>
      </c>
    </row>
    <row r="37" spans="1:12">
      <c r="A37" s="3" t="s">
        <v>124</v>
      </c>
      <c r="B37" s="3" t="s">
        <v>125</v>
      </c>
      <c r="C37" s="3" t="s">
        <v>126</v>
      </c>
      <c r="D37" s="3" t="s">
        <v>127</v>
      </c>
      <c r="E37" s="3" t="s">
        <v>16</v>
      </c>
      <c r="F37" s="3" t="s">
        <v>17</v>
      </c>
      <c r="G37" s="17" t="s">
        <v>18</v>
      </c>
      <c r="H37" s="3">
        <v>1</v>
      </c>
      <c r="I37" s="4">
        <v>3000</v>
      </c>
      <c r="J37" s="4">
        <v>3000</v>
      </c>
      <c r="K37" s="5">
        <v>0</v>
      </c>
      <c r="L37" s="6">
        <v>0</v>
      </c>
    </row>
    <row r="38" spans="1:12">
      <c r="A38" s="3" t="s">
        <v>128</v>
      </c>
      <c r="B38" s="3" t="s">
        <v>129</v>
      </c>
      <c r="C38" s="3" t="s">
        <v>130</v>
      </c>
      <c r="D38" s="3" t="s">
        <v>131</v>
      </c>
      <c r="E38" s="3" t="s">
        <v>16</v>
      </c>
      <c r="F38" s="3" t="s">
        <v>17</v>
      </c>
      <c r="G38" s="17" t="s">
        <v>18</v>
      </c>
      <c r="H38" s="3">
        <v>1</v>
      </c>
      <c r="I38" s="4">
        <v>1000</v>
      </c>
      <c r="J38" s="4">
        <v>1000</v>
      </c>
      <c r="K38" s="5">
        <v>0</v>
      </c>
      <c r="L38" s="6">
        <v>0</v>
      </c>
    </row>
    <row r="39" spans="1:12">
      <c r="A39" s="3" t="s">
        <v>132</v>
      </c>
      <c r="B39" s="3" t="s">
        <v>133</v>
      </c>
      <c r="C39" s="3" t="s">
        <v>134</v>
      </c>
      <c r="D39" s="3" t="s">
        <v>135</v>
      </c>
      <c r="E39" s="3" t="s">
        <v>23</v>
      </c>
      <c r="F39" s="3" t="s">
        <v>24</v>
      </c>
      <c r="G39" s="17" t="s">
        <v>18</v>
      </c>
      <c r="H39" s="3">
        <v>1</v>
      </c>
      <c r="I39" s="4">
        <v>1600</v>
      </c>
      <c r="J39" s="4">
        <v>1600</v>
      </c>
      <c r="K39" s="5">
        <v>0</v>
      </c>
      <c r="L39" s="6">
        <v>0</v>
      </c>
    </row>
    <row r="40" spans="1:12">
      <c r="A40" s="3" t="s">
        <v>136</v>
      </c>
      <c r="B40" s="3" t="s">
        <v>137</v>
      </c>
      <c r="C40" s="3" t="s">
        <v>138</v>
      </c>
      <c r="D40" s="3" t="s">
        <v>139</v>
      </c>
      <c r="E40" s="3" t="s">
        <v>16</v>
      </c>
      <c r="F40" s="3" t="s">
        <v>17</v>
      </c>
      <c r="G40" s="17" t="s">
        <v>18</v>
      </c>
      <c r="H40" s="3">
        <v>1</v>
      </c>
      <c r="I40" s="4">
        <v>1000</v>
      </c>
      <c r="J40" s="4">
        <v>1000</v>
      </c>
      <c r="K40" s="5">
        <v>0</v>
      </c>
      <c r="L40" s="6">
        <v>0</v>
      </c>
    </row>
    <row r="41" spans="1:12">
      <c r="A41" s="3" t="s">
        <v>140</v>
      </c>
      <c r="B41" s="3" t="s">
        <v>141</v>
      </c>
      <c r="C41" s="3" t="s">
        <v>142</v>
      </c>
      <c r="D41" s="3" t="s">
        <v>143</v>
      </c>
      <c r="E41" s="3" t="s">
        <v>23</v>
      </c>
      <c r="F41" s="3" t="s">
        <v>24</v>
      </c>
      <c r="G41" s="17" t="s">
        <v>18</v>
      </c>
      <c r="H41" s="3">
        <v>1</v>
      </c>
      <c r="I41" s="4">
        <v>3840</v>
      </c>
      <c r="J41" s="4">
        <v>3840</v>
      </c>
      <c r="K41" s="5">
        <v>0</v>
      </c>
      <c r="L41" s="6">
        <v>0</v>
      </c>
    </row>
    <row r="42" spans="1:12">
      <c r="A42" s="3" t="s">
        <v>144</v>
      </c>
      <c r="B42" s="3" t="s">
        <v>145</v>
      </c>
      <c r="C42" s="3" t="s">
        <v>145</v>
      </c>
      <c r="D42" s="3" t="s">
        <v>146</v>
      </c>
      <c r="E42" s="3" t="s">
        <v>23</v>
      </c>
      <c r="F42" s="3" t="s">
        <v>24</v>
      </c>
      <c r="G42" s="17" t="s">
        <v>18</v>
      </c>
      <c r="H42" s="3">
        <v>1</v>
      </c>
      <c r="I42" s="4">
        <v>2232</v>
      </c>
      <c r="J42" s="4">
        <v>2232</v>
      </c>
      <c r="K42" s="5"/>
      <c r="L42" s="6"/>
    </row>
    <row r="43" spans="1:12">
      <c r="A43" s="3" t="s">
        <v>147</v>
      </c>
      <c r="B43" s="3" t="s">
        <v>148</v>
      </c>
      <c r="C43" s="3" t="s">
        <v>148</v>
      </c>
      <c r="D43" s="3" t="s">
        <v>149</v>
      </c>
      <c r="E43" s="3" t="s">
        <v>16</v>
      </c>
      <c r="F43" s="3" t="s">
        <v>17</v>
      </c>
      <c r="G43" s="17" t="s">
        <v>18</v>
      </c>
      <c r="H43" s="3">
        <v>1</v>
      </c>
      <c r="I43" s="4">
        <v>1000</v>
      </c>
      <c r="J43" s="4">
        <v>1000</v>
      </c>
      <c r="K43" s="5">
        <v>0</v>
      </c>
      <c r="L43" s="6">
        <v>0</v>
      </c>
    </row>
    <row r="44" spans="1:12">
      <c r="A44" s="3" t="s">
        <v>150</v>
      </c>
      <c r="B44" s="3" t="s">
        <v>151</v>
      </c>
      <c r="C44" s="3" t="s">
        <v>152</v>
      </c>
      <c r="D44" s="3" t="s">
        <v>153</v>
      </c>
      <c r="E44" s="3" t="s">
        <v>16</v>
      </c>
      <c r="F44" s="3" t="s">
        <v>17</v>
      </c>
      <c r="G44" s="17" t="s">
        <v>18</v>
      </c>
      <c r="H44" s="3">
        <v>1</v>
      </c>
      <c r="I44" s="4">
        <v>3000</v>
      </c>
      <c r="J44" s="4">
        <v>3000</v>
      </c>
      <c r="K44" s="5">
        <v>0</v>
      </c>
      <c r="L44" s="6">
        <v>0</v>
      </c>
    </row>
    <row r="45" spans="1:12">
      <c r="A45" s="3" t="s">
        <v>154</v>
      </c>
      <c r="B45" s="3" t="s">
        <v>155</v>
      </c>
      <c r="C45" s="3" t="s">
        <v>156</v>
      </c>
      <c r="D45" s="3" t="s">
        <v>157</v>
      </c>
      <c r="E45" s="3" t="s">
        <v>52</v>
      </c>
      <c r="F45" s="3" t="s">
        <v>53</v>
      </c>
      <c r="G45" s="17" t="s">
        <v>18</v>
      </c>
      <c r="H45" s="3">
        <v>1</v>
      </c>
      <c r="I45" s="4">
        <v>1000</v>
      </c>
      <c r="J45" s="4">
        <v>1000</v>
      </c>
      <c r="K45" s="5">
        <v>0</v>
      </c>
      <c r="L45" s="6">
        <v>0</v>
      </c>
    </row>
    <row r="46" spans="1:12">
      <c r="A46" s="3" t="s">
        <v>158</v>
      </c>
      <c r="B46" s="3" t="s">
        <v>159</v>
      </c>
      <c r="C46" s="3" t="s">
        <v>159</v>
      </c>
      <c r="D46" s="3" t="s">
        <v>160</v>
      </c>
      <c r="E46" s="3" t="s">
        <v>16</v>
      </c>
      <c r="F46" s="3" t="s">
        <v>17</v>
      </c>
      <c r="G46" s="17" t="s">
        <v>18</v>
      </c>
      <c r="H46" s="3">
        <v>1</v>
      </c>
      <c r="I46" s="4">
        <v>1000</v>
      </c>
      <c r="J46" s="4">
        <v>1000</v>
      </c>
      <c r="K46" s="5">
        <v>0</v>
      </c>
      <c r="L46" s="6">
        <v>0</v>
      </c>
    </row>
    <row r="47" spans="1:12">
      <c r="A47" s="3" t="s">
        <v>161</v>
      </c>
      <c r="B47" s="3" t="s">
        <v>162</v>
      </c>
      <c r="C47" s="3" t="s">
        <v>163</v>
      </c>
      <c r="D47" s="3" t="s">
        <v>164</v>
      </c>
      <c r="E47" s="3" t="s">
        <v>16</v>
      </c>
      <c r="F47" s="3" t="s">
        <v>17</v>
      </c>
      <c r="G47" s="17" t="s">
        <v>18</v>
      </c>
      <c r="H47" s="3">
        <v>1</v>
      </c>
      <c r="I47" s="4">
        <v>1000</v>
      </c>
      <c r="J47" s="4">
        <v>1000</v>
      </c>
      <c r="K47" s="5">
        <v>0</v>
      </c>
      <c r="L47" s="6">
        <v>0</v>
      </c>
    </row>
    <row r="48" spans="1:12">
      <c r="A48" s="3" t="s">
        <v>165</v>
      </c>
      <c r="B48" s="3" t="s">
        <v>166</v>
      </c>
      <c r="C48" s="3" t="s">
        <v>167</v>
      </c>
      <c r="D48" s="3" t="s">
        <v>168</v>
      </c>
      <c r="E48" s="3" t="s">
        <v>23</v>
      </c>
      <c r="F48" s="3" t="s">
        <v>24</v>
      </c>
      <c r="G48" s="17" t="s">
        <v>18</v>
      </c>
      <c r="H48" s="3">
        <v>1</v>
      </c>
      <c r="I48" s="4">
        <v>2232</v>
      </c>
      <c r="J48" s="4">
        <v>2232</v>
      </c>
      <c r="K48" s="5">
        <v>0</v>
      </c>
      <c r="L48" s="6">
        <v>0</v>
      </c>
    </row>
    <row r="49" spans="1:12">
      <c r="A49" s="3" t="s">
        <v>169</v>
      </c>
      <c r="B49" s="3" t="s">
        <v>170</v>
      </c>
      <c r="C49" s="3" t="s">
        <v>171</v>
      </c>
      <c r="D49" s="3" t="s">
        <v>172</v>
      </c>
      <c r="E49" s="3" t="s">
        <v>16</v>
      </c>
      <c r="F49" s="3" t="s">
        <v>17</v>
      </c>
      <c r="G49" s="17" t="s">
        <v>18</v>
      </c>
      <c r="H49" s="3">
        <v>1</v>
      </c>
      <c r="I49" s="4">
        <v>1000</v>
      </c>
      <c r="J49" s="4">
        <v>1000</v>
      </c>
      <c r="K49" s="5">
        <v>0</v>
      </c>
      <c r="L49" s="6">
        <v>0</v>
      </c>
    </row>
    <row r="50" spans="1:12">
      <c r="A50" s="3" t="s">
        <v>173</v>
      </c>
      <c r="B50" s="3" t="s">
        <v>174</v>
      </c>
      <c r="C50" s="3" t="s">
        <v>175</v>
      </c>
      <c r="D50" s="3" t="s">
        <v>176</v>
      </c>
      <c r="E50" s="3" t="s">
        <v>16</v>
      </c>
      <c r="F50" s="3" t="s">
        <v>17</v>
      </c>
      <c r="G50" s="17" t="s">
        <v>18</v>
      </c>
      <c r="H50" s="3">
        <v>1</v>
      </c>
      <c r="I50" s="4">
        <v>1000</v>
      </c>
      <c r="J50" s="4">
        <v>1000</v>
      </c>
      <c r="K50" s="5">
        <v>0</v>
      </c>
      <c r="L50" s="6">
        <v>0</v>
      </c>
    </row>
    <row r="51" spans="1:12">
      <c r="A51" s="3" t="s">
        <v>177</v>
      </c>
      <c r="B51" s="3" t="s">
        <v>178</v>
      </c>
      <c r="C51" s="3" t="s">
        <v>178</v>
      </c>
      <c r="D51" s="3" t="s">
        <v>179</v>
      </c>
      <c r="E51" s="3" t="s">
        <v>23</v>
      </c>
      <c r="F51" s="3" t="s">
        <v>24</v>
      </c>
      <c r="G51" s="17" t="s">
        <v>18</v>
      </c>
      <c r="H51" s="3">
        <v>1</v>
      </c>
      <c r="I51" s="4">
        <v>4120</v>
      </c>
      <c r="J51" s="4">
        <v>4120</v>
      </c>
      <c r="K51" s="5">
        <v>0</v>
      </c>
      <c r="L51" s="6">
        <v>0</v>
      </c>
    </row>
    <row r="52" spans="1:12">
      <c r="A52" s="3" t="s">
        <v>180</v>
      </c>
      <c r="B52" s="3" t="s">
        <v>181</v>
      </c>
      <c r="C52" s="3" t="s">
        <v>182</v>
      </c>
      <c r="D52" s="3" t="s">
        <v>183</v>
      </c>
      <c r="E52" s="3" t="s">
        <v>16</v>
      </c>
      <c r="F52" s="3" t="s">
        <v>17</v>
      </c>
      <c r="G52" s="17" t="s">
        <v>18</v>
      </c>
      <c r="H52" s="3">
        <v>1</v>
      </c>
      <c r="I52" s="4">
        <v>1000</v>
      </c>
      <c r="J52" s="4">
        <v>1000</v>
      </c>
      <c r="K52" s="5">
        <v>0</v>
      </c>
      <c r="L52" s="6">
        <v>0</v>
      </c>
    </row>
    <row r="53" spans="1:12">
      <c r="A53" s="3" t="s">
        <v>184</v>
      </c>
      <c r="B53" s="3" t="s">
        <v>185</v>
      </c>
      <c r="C53" s="3" t="s">
        <v>186</v>
      </c>
      <c r="D53" s="3" t="s">
        <v>187</v>
      </c>
      <c r="E53" s="3" t="s">
        <v>52</v>
      </c>
      <c r="F53" s="3" t="s">
        <v>53</v>
      </c>
      <c r="G53" s="17" t="s">
        <v>18</v>
      </c>
      <c r="H53" s="3">
        <v>1</v>
      </c>
      <c r="I53" s="4">
        <v>2500</v>
      </c>
      <c r="J53" s="4">
        <v>2500</v>
      </c>
      <c r="K53" s="5">
        <v>0</v>
      </c>
      <c r="L53" s="6">
        <v>0</v>
      </c>
    </row>
    <row r="54" spans="1:12">
      <c r="A54" s="3" t="s">
        <v>188</v>
      </c>
      <c r="B54" s="3" t="s">
        <v>189</v>
      </c>
      <c r="C54" s="3" t="s">
        <v>190</v>
      </c>
      <c r="D54" s="3" t="s">
        <v>191</v>
      </c>
      <c r="E54" s="3" t="s">
        <v>16</v>
      </c>
      <c r="F54" s="3" t="s">
        <v>17</v>
      </c>
      <c r="G54" s="17" t="s">
        <v>18</v>
      </c>
      <c r="H54" s="3">
        <v>1</v>
      </c>
      <c r="I54" s="4">
        <v>2000</v>
      </c>
      <c r="J54" s="4">
        <v>2000</v>
      </c>
      <c r="K54" s="5">
        <v>0</v>
      </c>
      <c r="L54" s="6">
        <v>0</v>
      </c>
    </row>
    <row r="55" spans="1:12">
      <c r="A55" s="3" t="s">
        <v>192</v>
      </c>
      <c r="B55" s="3" t="s">
        <v>193</v>
      </c>
      <c r="C55" s="3" t="s">
        <v>194</v>
      </c>
      <c r="D55" s="3" t="s">
        <v>195</v>
      </c>
      <c r="E55" s="3" t="s">
        <v>16</v>
      </c>
      <c r="F55" s="3" t="s">
        <v>17</v>
      </c>
      <c r="G55" s="17" t="s">
        <v>18</v>
      </c>
      <c r="H55" s="3">
        <v>1</v>
      </c>
      <c r="I55" s="4">
        <v>4000</v>
      </c>
      <c r="J55" s="4">
        <v>4000</v>
      </c>
      <c r="K55" s="5">
        <v>0</v>
      </c>
      <c r="L55" s="6">
        <v>0</v>
      </c>
    </row>
    <row r="56" spans="1:12">
      <c r="A56" s="3" t="s">
        <v>196</v>
      </c>
      <c r="B56" s="3" t="s">
        <v>197</v>
      </c>
      <c r="C56" s="3" t="s">
        <v>197</v>
      </c>
      <c r="D56" s="3" t="s">
        <v>198</v>
      </c>
      <c r="E56" s="3" t="s">
        <v>16</v>
      </c>
      <c r="F56" s="3" t="s">
        <v>17</v>
      </c>
      <c r="G56" s="17" t="s">
        <v>18</v>
      </c>
      <c r="H56" s="3">
        <v>1</v>
      </c>
      <c r="I56" s="4">
        <v>3000</v>
      </c>
      <c r="J56" s="4">
        <v>3000</v>
      </c>
      <c r="K56" s="5">
        <v>0</v>
      </c>
      <c r="L56" s="6">
        <v>0</v>
      </c>
    </row>
    <row r="57" spans="1:12">
      <c r="A57" s="3" t="s">
        <v>199</v>
      </c>
      <c r="B57" s="3" t="s">
        <v>200</v>
      </c>
      <c r="C57" s="3" t="s">
        <v>201</v>
      </c>
      <c r="D57" s="3" t="s">
        <v>202</v>
      </c>
      <c r="E57" s="3" t="s">
        <v>16</v>
      </c>
      <c r="F57" s="3" t="s">
        <v>17</v>
      </c>
      <c r="G57" s="17" t="s">
        <v>18</v>
      </c>
      <c r="H57" s="3">
        <v>1</v>
      </c>
      <c r="I57" s="4">
        <v>3000</v>
      </c>
      <c r="J57" s="4">
        <v>3000</v>
      </c>
      <c r="K57" s="5">
        <v>0</v>
      </c>
      <c r="L57" s="6">
        <v>0</v>
      </c>
    </row>
    <row r="58" spans="1:12">
      <c r="A58" s="3" t="s">
        <v>203</v>
      </c>
      <c r="B58" s="3" t="s">
        <v>204</v>
      </c>
      <c r="C58" s="3" t="s">
        <v>205</v>
      </c>
      <c r="D58" s="3" t="s">
        <v>206</v>
      </c>
      <c r="E58" s="3" t="s">
        <v>16</v>
      </c>
      <c r="F58" s="3" t="s">
        <v>17</v>
      </c>
      <c r="G58" s="17" t="s">
        <v>18</v>
      </c>
      <c r="H58" s="3">
        <v>1</v>
      </c>
      <c r="I58" s="4">
        <v>1000</v>
      </c>
      <c r="J58" s="4">
        <v>1000</v>
      </c>
      <c r="K58" s="5">
        <v>0</v>
      </c>
      <c r="L58" s="6">
        <v>0</v>
      </c>
    </row>
    <row r="59" spans="1:12">
      <c r="A59" s="3" t="s">
        <v>207</v>
      </c>
      <c r="B59" s="3" t="s">
        <v>208</v>
      </c>
      <c r="C59" s="3" t="s">
        <v>208</v>
      </c>
      <c r="D59" s="3" t="s">
        <v>209</v>
      </c>
      <c r="E59" s="3" t="s">
        <v>16</v>
      </c>
      <c r="F59" s="3" t="s">
        <v>17</v>
      </c>
      <c r="G59" s="17" t="s">
        <v>18</v>
      </c>
      <c r="H59" s="3">
        <v>1</v>
      </c>
      <c r="I59" s="4">
        <v>2000</v>
      </c>
      <c r="J59" s="4">
        <v>2000</v>
      </c>
      <c r="K59" s="5">
        <v>0</v>
      </c>
      <c r="L59" s="6">
        <v>0</v>
      </c>
    </row>
    <row r="60" spans="1:12">
      <c r="A60" s="3" t="s">
        <v>210</v>
      </c>
      <c r="B60" s="3" t="s">
        <v>211</v>
      </c>
      <c r="C60" s="3" t="s">
        <v>212</v>
      </c>
      <c r="D60" s="3" t="s">
        <v>213</v>
      </c>
      <c r="E60" s="3" t="s">
        <v>16</v>
      </c>
      <c r="F60" s="3" t="s">
        <v>17</v>
      </c>
      <c r="G60" s="17" t="s">
        <v>18</v>
      </c>
      <c r="H60" s="3">
        <v>1</v>
      </c>
      <c r="I60" s="4">
        <v>1000</v>
      </c>
      <c r="J60" s="4">
        <v>1000</v>
      </c>
      <c r="K60" s="5">
        <v>0</v>
      </c>
      <c r="L60" s="6">
        <v>0</v>
      </c>
    </row>
    <row r="61" spans="1:12">
      <c r="A61" s="3" t="s">
        <v>214</v>
      </c>
      <c r="B61" s="3" t="s">
        <v>215</v>
      </c>
      <c r="C61" s="3" t="s">
        <v>216</v>
      </c>
      <c r="D61" s="3" t="s">
        <v>217</v>
      </c>
      <c r="E61" s="3" t="s">
        <v>52</v>
      </c>
      <c r="F61" s="3" t="s">
        <v>53</v>
      </c>
      <c r="G61" s="17" t="s">
        <v>18</v>
      </c>
      <c r="H61" s="3">
        <v>1</v>
      </c>
      <c r="I61" s="4">
        <v>4000</v>
      </c>
      <c r="J61" s="4">
        <v>4000</v>
      </c>
      <c r="K61" s="5">
        <v>0</v>
      </c>
      <c r="L61" s="6">
        <v>0</v>
      </c>
    </row>
    <row r="62" spans="1:12">
      <c r="A62" s="3" t="s">
        <v>218</v>
      </c>
      <c r="B62" s="3" t="s">
        <v>219</v>
      </c>
      <c r="C62" s="3" t="s">
        <v>220</v>
      </c>
      <c r="D62" s="3" t="s">
        <v>221</v>
      </c>
      <c r="E62" s="3" t="s">
        <v>16</v>
      </c>
      <c r="F62" s="3" t="s">
        <v>17</v>
      </c>
      <c r="G62" s="17" t="s">
        <v>18</v>
      </c>
      <c r="H62" s="3">
        <v>1</v>
      </c>
      <c r="I62" s="4">
        <v>3000</v>
      </c>
      <c r="J62" s="4">
        <v>3000</v>
      </c>
      <c r="K62" s="5">
        <v>0</v>
      </c>
      <c r="L62" s="6">
        <v>0</v>
      </c>
    </row>
    <row r="63" spans="1:12">
      <c r="A63" s="3" t="s">
        <v>222</v>
      </c>
      <c r="B63" s="3" t="s">
        <v>223</v>
      </c>
      <c r="C63" s="3" t="s">
        <v>223</v>
      </c>
      <c r="D63" s="3" t="s">
        <v>224</v>
      </c>
      <c r="E63" s="3" t="s">
        <v>23</v>
      </c>
      <c r="F63" s="3" t="s">
        <v>24</v>
      </c>
      <c r="G63" s="17" t="s">
        <v>18</v>
      </c>
      <c r="H63" s="3">
        <v>1</v>
      </c>
      <c r="I63" s="4">
        <v>1200</v>
      </c>
      <c r="J63" s="4">
        <v>1200</v>
      </c>
      <c r="K63" s="5">
        <v>0</v>
      </c>
      <c r="L63" s="6">
        <v>0</v>
      </c>
    </row>
    <row r="64" spans="1:12">
      <c r="A64" s="3" t="s">
        <v>225</v>
      </c>
      <c r="B64" s="3" t="s">
        <v>226</v>
      </c>
      <c r="C64" s="3" t="s">
        <v>227</v>
      </c>
      <c r="D64" s="3" t="s">
        <v>228</v>
      </c>
      <c r="E64" s="3" t="s">
        <v>16</v>
      </c>
      <c r="F64" s="3" t="s">
        <v>17</v>
      </c>
      <c r="G64" s="17" t="s">
        <v>18</v>
      </c>
      <c r="H64" s="3">
        <v>1</v>
      </c>
      <c r="I64" s="4">
        <v>6000</v>
      </c>
      <c r="J64" s="4">
        <v>6000</v>
      </c>
      <c r="K64" s="5">
        <v>0</v>
      </c>
      <c r="L64" s="6">
        <v>0</v>
      </c>
    </row>
    <row r="65" spans="1:12">
      <c r="A65" s="3" t="s">
        <v>229</v>
      </c>
      <c r="B65" s="3" t="s">
        <v>230</v>
      </c>
      <c r="C65" s="3" t="s">
        <v>231</v>
      </c>
      <c r="D65" s="3" t="s">
        <v>232</v>
      </c>
      <c r="E65" s="3" t="s">
        <v>16</v>
      </c>
      <c r="F65" s="3" t="s">
        <v>17</v>
      </c>
      <c r="G65" s="17" t="s">
        <v>18</v>
      </c>
      <c r="H65" s="3">
        <v>1</v>
      </c>
      <c r="I65" s="4">
        <v>1000</v>
      </c>
      <c r="J65" s="4">
        <v>1000</v>
      </c>
      <c r="K65" s="5">
        <v>0</v>
      </c>
      <c r="L65" s="6">
        <v>0</v>
      </c>
    </row>
    <row r="66" spans="1:12">
      <c r="A66" s="3" t="s">
        <v>233</v>
      </c>
      <c r="B66" s="3" t="s">
        <v>234</v>
      </c>
      <c r="C66" s="3" t="s">
        <v>235</v>
      </c>
      <c r="D66" s="3" t="s">
        <v>236</v>
      </c>
      <c r="E66" s="3" t="s">
        <v>23</v>
      </c>
      <c r="F66" s="3" t="s">
        <v>24</v>
      </c>
      <c r="G66" s="17" t="s">
        <v>18</v>
      </c>
      <c r="H66" s="3">
        <v>1</v>
      </c>
      <c r="I66" s="4">
        <v>10000</v>
      </c>
      <c r="J66" s="4">
        <v>10000</v>
      </c>
      <c r="K66" s="5">
        <v>0</v>
      </c>
      <c r="L66" s="6">
        <v>0</v>
      </c>
    </row>
    <row r="67" spans="1:12">
      <c r="A67" s="3" t="s">
        <v>237</v>
      </c>
      <c r="B67" s="3" t="s">
        <v>238</v>
      </c>
      <c r="C67" s="3" t="s">
        <v>239</v>
      </c>
      <c r="D67" s="3" t="s">
        <v>240</v>
      </c>
      <c r="E67" s="3" t="s">
        <v>16</v>
      </c>
      <c r="F67" s="3" t="s">
        <v>17</v>
      </c>
      <c r="G67" s="17" t="s">
        <v>18</v>
      </c>
      <c r="H67" s="3">
        <v>1</v>
      </c>
      <c r="I67" s="4">
        <v>1000</v>
      </c>
      <c r="J67" s="4">
        <v>1000</v>
      </c>
      <c r="K67" s="5">
        <v>0</v>
      </c>
      <c r="L67" s="6">
        <v>0</v>
      </c>
    </row>
    <row r="68" spans="1:12">
      <c r="A68" s="3" t="s">
        <v>241</v>
      </c>
      <c r="B68" s="3" t="s">
        <v>242</v>
      </c>
      <c r="C68" s="3" t="s">
        <v>242</v>
      </c>
      <c r="D68" s="3" t="s">
        <v>243</v>
      </c>
      <c r="E68" s="3" t="s">
        <v>23</v>
      </c>
      <c r="F68" s="3" t="s">
        <v>24</v>
      </c>
      <c r="G68" s="17" t="s">
        <v>18</v>
      </c>
      <c r="H68" s="3">
        <v>1</v>
      </c>
      <c r="I68" s="4">
        <v>2232</v>
      </c>
      <c r="J68" s="4">
        <v>2232</v>
      </c>
      <c r="K68" s="5">
        <v>0</v>
      </c>
      <c r="L68" s="6">
        <v>0</v>
      </c>
    </row>
    <row r="69" spans="1:12">
      <c r="A69" s="3" t="s">
        <v>244</v>
      </c>
      <c r="B69" s="3" t="s">
        <v>245</v>
      </c>
      <c r="C69" s="3" t="s">
        <v>245</v>
      </c>
      <c r="D69" s="3" t="s">
        <v>246</v>
      </c>
      <c r="E69" s="3" t="s">
        <v>16</v>
      </c>
      <c r="F69" s="3" t="s">
        <v>17</v>
      </c>
      <c r="G69" s="17" t="s">
        <v>18</v>
      </c>
      <c r="H69" s="3">
        <v>1</v>
      </c>
      <c r="I69" s="4">
        <v>1000</v>
      </c>
      <c r="J69" s="4">
        <v>1000</v>
      </c>
      <c r="K69" s="5">
        <v>0</v>
      </c>
      <c r="L69" s="6">
        <v>0</v>
      </c>
    </row>
    <row r="70" spans="1:12">
      <c r="A70" s="3" t="s">
        <v>247</v>
      </c>
      <c r="B70" s="3" t="s">
        <v>248</v>
      </c>
      <c r="C70" s="3" t="s">
        <v>249</v>
      </c>
      <c r="D70" s="3" t="s">
        <v>250</v>
      </c>
      <c r="E70" s="3" t="s">
        <v>23</v>
      </c>
      <c r="F70" s="3" t="s">
        <v>24</v>
      </c>
      <c r="G70" s="17" t="s">
        <v>18</v>
      </c>
      <c r="H70" s="3">
        <v>1</v>
      </c>
      <c r="I70" s="4">
        <v>3600</v>
      </c>
      <c r="J70" s="4">
        <v>3600</v>
      </c>
      <c r="K70" s="5">
        <v>0</v>
      </c>
      <c r="L70" s="6">
        <v>0</v>
      </c>
    </row>
    <row r="71" spans="1:12">
      <c r="A71" s="3" t="s">
        <v>251</v>
      </c>
      <c r="B71" s="3" t="s">
        <v>252</v>
      </c>
      <c r="C71" s="3" t="s">
        <v>252</v>
      </c>
      <c r="D71" s="3" t="s">
        <v>253</v>
      </c>
      <c r="E71" s="3" t="s">
        <v>23</v>
      </c>
      <c r="F71" s="3" t="s">
        <v>24</v>
      </c>
      <c r="G71" s="17" t="s">
        <v>18</v>
      </c>
      <c r="H71" s="3">
        <v>1</v>
      </c>
      <c r="I71" s="4">
        <v>2200</v>
      </c>
      <c r="J71" s="4">
        <v>2200</v>
      </c>
      <c r="K71" s="5">
        <v>0</v>
      </c>
      <c r="L71" s="6">
        <v>0</v>
      </c>
    </row>
    <row r="72" spans="1:12">
      <c r="A72" s="3" t="s">
        <v>254</v>
      </c>
      <c r="B72" s="3" t="s">
        <v>255</v>
      </c>
      <c r="C72" s="3" t="s">
        <v>256</v>
      </c>
      <c r="D72" s="3" t="s">
        <v>257</v>
      </c>
      <c r="E72" s="3" t="s">
        <v>16</v>
      </c>
      <c r="F72" s="3" t="s">
        <v>17</v>
      </c>
      <c r="G72" s="17" t="s">
        <v>18</v>
      </c>
      <c r="H72" s="3">
        <v>1</v>
      </c>
      <c r="I72" s="4">
        <v>2000</v>
      </c>
      <c r="J72" s="4">
        <v>2000</v>
      </c>
      <c r="K72" s="5">
        <v>0</v>
      </c>
      <c r="L72" s="6">
        <v>0</v>
      </c>
    </row>
    <row r="73" spans="1:12">
      <c r="A73" s="3" t="s">
        <v>258</v>
      </c>
      <c r="B73" s="3" t="s">
        <v>259</v>
      </c>
      <c r="C73" s="3" t="s">
        <v>259</v>
      </c>
      <c r="D73" s="3" t="s">
        <v>260</v>
      </c>
      <c r="E73" s="3" t="s">
        <v>16</v>
      </c>
      <c r="F73" s="3" t="s">
        <v>17</v>
      </c>
      <c r="G73" s="17" t="s">
        <v>18</v>
      </c>
      <c r="H73" s="3">
        <v>1</v>
      </c>
      <c r="I73" s="4">
        <v>1000</v>
      </c>
      <c r="J73" s="4">
        <v>1000</v>
      </c>
      <c r="K73" s="5">
        <v>0</v>
      </c>
      <c r="L73" s="6">
        <v>0</v>
      </c>
    </row>
    <row r="74" spans="1:12">
      <c r="A74" s="3" t="s">
        <v>261</v>
      </c>
      <c r="B74" s="3" t="s">
        <v>262</v>
      </c>
      <c r="C74" s="3" t="s">
        <v>263</v>
      </c>
      <c r="D74" s="3" t="s">
        <v>264</v>
      </c>
      <c r="E74" s="3" t="s">
        <v>16</v>
      </c>
      <c r="F74" s="3" t="s">
        <v>17</v>
      </c>
      <c r="G74" s="17" t="s">
        <v>18</v>
      </c>
      <c r="H74" s="3">
        <v>1</v>
      </c>
      <c r="I74" s="4">
        <v>6000</v>
      </c>
      <c r="J74" s="4">
        <v>6000</v>
      </c>
      <c r="K74" s="5">
        <v>0</v>
      </c>
      <c r="L74" s="6">
        <v>0</v>
      </c>
    </row>
    <row r="75" spans="1:12">
      <c r="A75" s="3" t="s">
        <v>265</v>
      </c>
      <c r="B75" s="3" t="s">
        <v>266</v>
      </c>
      <c r="C75" s="3" t="s">
        <v>267</v>
      </c>
      <c r="D75" s="3" t="s">
        <v>268</v>
      </c>
      <c r="E75" s="3" t="s">
        <v>16</v>
      </c>
      <c r="F75" s="3" t="s">
        <v>17</v>
      </c>
      <c r="G75" s="17" t="s">
        <v>18</v>
      </c>
      <c r="H75" s="3">
        <v>1</v>
      </c>
      <c r="I75" s="4">
        <v>3000</v>
      </c>
      <c r="J75" s="4">
        <v>3000</v>
      </c>
      <c r="K75" s="5">
        <v>0</v>
      </c>
      <c r="L75" s="6">
        <v>0</v>
      </c>
    </row>
    <row r="76" spans="1:12">
      <c r="A76" s="3" t="s">
        <v>269</v>
      </c>
      <c r="B76" s="3" t="s">
        <v>270</v>
      </c>
      <c r="C76" s="3" t="s">
        <v>271</v>
      </c>
      <c r="D76" s="3" t="s">
        <v>272</v>
      </c>
      <c r="E76" s="3" t="s">
        <v>23</v>
      </c>
      <c r="F76" s="3" t="s">
        <v>24</v>
      </c>
      <c r="G76" s="17" t="s">
        <v>18</v>
      </c>
      <c r="H76" s="3">
        <v>1</v>
      </c>
      <c r="I76" s="4">
        <v>1080</v>
      </c>
      <c r="J76" s="4">
        <v>1080</v>
      </c>
      <c r="K76" s="5"/>
      <c r="L76" s="6"/>
    </row>
    <row r="77" spans="1:12">
      <c r="A77" s="3" t="s">
        <v>273</v>
      </c>
      <c r="B77" s="3" t="s">
        <v>274</v>
      </c>
      <c r="C77" s="3" t="s">
        <v>275</v>
      </c>
      <c r="D77" s="3" t="s">
        <v>276</v>
      </c>
      <c r="E77" s="3" t="s">
        <v>16</v>
      </c>
      <c r="F77" s="3" t="s">
        <v>17</v>
      </c>
      <c r="G77" s="17" t="s">
        <v>18</v>
      </c>
      <c r="H77" s="3">
        <v>1</v>
      </c>
      <c r="I77" s="4">
        <v>3000</v>
      </c>
      <c r="J77" s="4">
        <v>3000</v>
      </c>
      <c r="K77" s="5">
        <v>0</v>
      </c>
      <c r="L77" s="6">
        <v>0</v>
      </c>
    </row>
    <row r="78" spans="1:12">
      <c r="A78" s="3" t="s">
        <v>277</v>
      </c>
      <c r="B78" s="3" t="s">
        <v>278</v>
      </c>
      <c r="C78" s="3" t="s">
        <v>279</v>
      </c>
      <c r="D78" s="3" t="s">
        <v>280</v>
      </c>
      <c r="E78" s="3" t="s">
        <v>16</v>
      </c>
      <c r="F78" s="3" t="s">
        <v>17</v>
      </c>
      <c r="G78" s="17" t="s">
        <v>18</v>
      </c>
      <c r="H78" s="3">
        <v>1</v>
      </c>
      <c r="I78" s="4">
        <v>3000</v>
      </c>
      <c r="J78" s="4">
        <v>3000</v>
      </c>
      <c r="K78" s="5">
        <v>0</v>
      </c>
      <c r="L78" s="6">
        <v>0</v>
      </c>
    </row>
    <row r="79" spans="1:12">
      <c r="A79" s="3" t="s">
        <v>281</v>
      </c>
      <c r="B79" s="3" t="s">
        <v>282</v>
      </c>
      <c r="C79" s="3" t="s">
        <v>283</v>
      </c>
      <c r="D79" s="3" t="s">
        <v>284</v>
      </c>
      <c r="E79" s="3" t="s">
        <v>16</v>
      </c>
      <c r="F79" s="3" t="s">
        <v>17</v>
      </c>
      <c r="G79" s="17" t="s">
        <v>18</v>
      </c>
      <c r="H79" s="3">
        <v>1</v>
      </c>
      <c r="I79" s="4">
        <v>6000</v>
      </c>
      <c r="J79" s="4">
        <v>6000</v>
      </c>
      <c r="K79" s="5">
        <v>0</v>
      </c>
      <c r="L79" s="6">
        <v>0</v>
      </c>
    </row>
    <row r="80" spans="1:12">
      <c r="A80" s="3" t="s">
        <v>285</v>
      </c>
      <c r="B80" s="3" t="s">
        <v>286</v>
      </c>
      <c r="C80" s="3" t="s">
        <v>286</v>
      </c>
      <c r="D80" s="3" t="s">
        <v>287</v>
      </c>
      <c r="E80" s="3" t="s">
        <v>16</v>
      </c>
      <c r="F80" s="3" t="s">
        <v>17</v>
      </c>
      <c r="G80" s="17" t="s">
        <v>18</v>
      </c>
      <c r="H80" s="3">
        <v>1</v>
      </c>
      <c r="I80" s="4">
        <v>2000</v>
      </c>
      <c r="J80" s="4">
        <v>2000</v>
      </c>
      <c r="K80" s="5">
        <v>0</v>
      </c>
      <c r="L80" s="6">
        <v>0</v>
      </c>
    </row>
    <row r="81" spans="1:12">
      <c r="A81" s="3" t="s">
        <v>288</v>
      </c>
      <c r="B81" s="3" t="s">
        <v>289</v>
      </c>
      <c r="C81" s="3" t="s">
        <v>289</v>
      </c>
      <c r="D81" s="3" t="s">
        <v>290</v>
      </c>
      <c r="E81" s="3" t="s">
        <v>23</v>
      </c>
      <c r="F81" s="3" t="s">
        <v>24</v>
      </c>
      <c r="G81" s="17" t="s">
        <v>18</v>
      </c>
      <c r="H81" s="3">
        <v>1</v>
      </c>
      <c r="I81" s="4">
        <v>2232</v>
      </c>
      <c r="J81" s="4">
        <v>2232</v>
      </c>
      <c r="K81" s="5">
        <v>0</v>
      </c>
      <c r="L81" s="6">
        <v>0</v>
      </c>
    </row>
    <row r="82" spans="1:12">
      <c r="A82" s="3" t="s">
        <v>291</v>
      </c>
      <c r="B82" s="3" t="s">
        <v>292</v>
      </c>
      <c r="C82" s="3" t="s">
        <v>293</v>
      </c>
      <c r="D82" s="3" t="s">
        <v>294</v>
      </c>
      <c r="E82" s="3" t="s">
        <v>16</v>
      </c>
      <c r="F82" s="3" t="s">
        <v>17</v>
      </c>
      <c r="G82" s="17" t="s">
        <v>18</v>
      </c>
      <c r="H82" s="3">
        <v>1</v>
      </c>
      <c r="I82" s="4">
        <v>4000</v>
      </c>
      <c r="J82" s="4">
        <v>4000</v>
      </c>
      <c r="K82" s="5">
        <v>0</v>
      </c>
      <c r="L82" s="6">
        <v>0</v>
      </c>
    </row>
    <row r="83" spans="1:12">
      <c r="A83" s="3" t="s">
        <v>295</v>
      </c>
      <c r="B83" s="3" t="s">
        <v>296</v>
      </c>
      <c r="C83" s="3" t="s">
        <v>296</v>
      </c>
      <c r="D83" s="3" t="s">
        <v>297</v>
      </c>
      <c r="E83" s="3" t="s">
        <v>16</v>
      </c>
      <c r="F83" s="3" t="s">
        <v>17</v>
      </c>
      <c r="G83" s="17" t="s">
        <v>18</v>
      </c>
      <c r="H83" s="3">
        <v>1</v>
      </c>
      <c r="I83" s="4">
        <v>2000</v>
      </c>
      <c r="J83" s="4">
        <v>2000</v>
      </c>
      <c r="K83" s="5">
        <v>0</v>
      </c>
      <c r="L83" s="6">
        <v>0</v>
      </c>
    </row>
    <row r="84" spans="1:12">
      <c r="A84" s="3" t="s">
        <v>298</v>
      </c>
      <c r="B84" s="3" t="s">
        <v>299</v>
      </c>
      <c r="C84" s="3" t="s">
        <v>300</v>
      </c>
      <c r="D84" s="3" t="s">
        <v>301</v>
      </c>
      <c r="E84" s="3" t="s">
        <v>16</v>
      </c>
      <c r="F84" s="3" t="s">
        <v>17</v>
      </c>
      <c r="G84" s="17" t="s">
        <v>18</v>
      </c>
      <c r="H84" s="3">
        <v>1</v>
      </c>
      <c r="I84" s="4">
        <v>1000</v>
      </c>
      <c r="J84" s="4">
        <v>1000</v>
      </c>
      <c r="K84" s="5">
        <v>0</v>
      </c>
      <c r="L84" s="6">
        <v>0</v>
      </c>
    </row>
    <row r="85" spans="1:12">
      <c r="A85" s="3" t="s">
        <v>302</v>
      </c>
      <c r="B85" s="3" t="s">
        <v>303</v>
      </c>
      <c r="C85" s="3" t="s">
        <v>304</v>
      </c>
      <c r="D85" s="3" t="s">
        <v>305</v>
      </c>
      <c r="E85" s="3" t="s">
        <v>16</v>
      </c>
      <c r="F85" s="3" t="s">
        <v>17</v>
      </c>
      <c r="G85" s="17" t="s">
        <v>18</v>
      </c>
      <c r="H85" s="3">
        <v>1</v>
      </c>
      <c r="I85" s="4">
        <v>2000</v>
      </c>
      <c r="J85" s="4">
        <v>2000</v>
      </c>
      <c r="K85" s="5">
        <v>0</v>
      </c>
      <c r="L85" s="6">
        <v>0</v>
      </c>
    </row>
    <row r="86" spans="1:12">
      <c r="A86" s="3" t="s">
        <v>306</v>
      </c>
      <c r="B86" s="3" t="s">
        <v>307</v>
      </c>
      <c r="C86" s="3" t="s">
        <v>308</v>
      </c>
      <c r="D86" s="3" t="s">
        <v>309</v>
      </c>
      <c r="E86" s="3" t="s">
        <v>16</v>
      </c>
      <c r="F86" s="3" t="s">
        <v>17</v>
      </c>
      <c r="G86" s="17" t="s">
        <v>18</v>
      </c>
      <c r="H86" s="3">
        <v>1</v>
      </c>
      <c r="I86" s="4">
        <v>21000</v>
      </c>
      <c r="J86" s="4">
        <v>21000</v>
      </c>
      <c r="K86" s="5">
        <v>0</v>
      </c>
      <c r="L86" s="6">
        <v>0</v>
      </c>
    </row>
    <row r="87" spans="1:12">
      <c r="A87" s="3" t="s">
        <v>310</v>
      </c>
      <c r="B87" s="3" t="s">
        <v>311</v>
      </c>
      <c r="C87" s="3" t="s">
        <v>312</v>
      </c>
      <c r="D87" s="3" t="s">
        <v>313</v>
      </c>
      <c r="E87" s="3" t="s">
        <v>16</v>
      </c>
      <c r="F87" s="3" t="s">
        <v>17</v>
      </c>
      <c r="G87" s="17" t="s">
        <v>18</v>
      </c>
      <c r="H87" s="3">
        <v>1</v>
      </c>
      <c r="I87" s="4">
        <v>2000</v>
      </c>
      <c r="J87" s="4">
        <v>2000</v>
      </c>
      <c r="K87" s="5">
        <v>0</v>
      </c>
      <c r="L87" s="6">
        <v>0</v>
      </c>
    </row>
    <row r="88" spans="1:12">
      <c r="A88" s="3" t="s">
        <v>314</v>
      </c>
      <c r="B88" s="3" t="s">
        <v>315</v>
      </c>
      <c r="C88" s="3" t="s">
        <v>316</v>
      </c>
      <c r="D88" s="3" t="s">
        <v>317</v>
      </c>
      <c r="E88" s="3" t="s">
        <v>16</v>
      </c>
      <c r="F88" s="3" t="s">
        <v>17</v>
      </c>
      <c r="G88" s="17" t="s">
        <v>18</v>
      </c>
      <c r="H88" s="3">
        <v>1</v>
      </c>
      <c r="I88" s="4">
        <v>1000</v>
      </c>
      <c r="J88" s="4">
        <v>1000</v>
      </c>
      <c r="K88" s="5"/>
      <c r="L88" s="6"/>
    </row>
    <row r="89" spans="1:12">
      <c r="A89" s="3" t="s">
        <v>318</v>
      </c>
      <c r="B89" s="3" t="s">
        <v>319</v>
      </c>
      <c r="C89" s="3" t="s">
        <v>320</v>
      </c>
      <c r="D89" s="3" t="s">
        <v>321</v>
      </c>
      <c r="E89" s="3" t="s">
        <v>16</v>
      </c>
      <c r="F89" s="3" t="s">
        <v>17</v>
      </c>
      <c r="G89" s="17" t="s">
        <v>18</v>
      </c>
      <c r="H89" s="3">
        <v>1</v>
      </c>
      <c r="I89" s="4">
        <v>1000</v>
      </c>
      <c r="J89" s="4">
        <v>1000</v>
      </c>
      <c r="K89" s="5">
        <v>0</v>
      </c>
      <c r="L89" s="6">
        <v>0</v>
      </c>
    </row>
    <row r="90" spans="1:12">
      <c r="A90" s="3" t="s">
        <v>322</v>
      </c>
      <c r="B90" s="3" t="s">
        <v>323</v>
      </c>
      <c r="C90" s="3" t="s">
        <v>323</v>
      </c>
      <c r="D90" s="3" t="s">
        <v>324</v>
      </c>
      <c r="E90" s="3" t="s">
        <v>16</v>
      </c>
      <c r="F90" s="3" t="s">
        <v>17</v>
      </c>
      <c r="G90" s="17" t="s">
        <v>18</v>
      </c>
      <c r="H90" s="3">
        <v>1</v>
      </c>
      <c r="I90" s="4">
        <v>1000</v>
      </c>
      <c r="J90" s="4">
        <v>1000</v>
      </c>
      <c r="K90" s="5">
        <v>0</v>
      </c>
      <c r="L90" s="6">
        <v>0</v>
      </c>
    </row>
    <row r="91" spans="1:12">
      <c r="A91" s="3" t="s">
        <v>325</v>
      </c>
      <c r="B91" s="3" t="s">
        <v>326</v>
      </c>
      <c r="C91" s="3" t="s">
        <v>327</v>
      </c>
      <c r="D91" s="3" t="s">
        <v>328</v>
      </c>
      <c r="E91" s="3" t="s">
        <v>16</v>
      </c>
      <c r="F91" s="3" t="s">
        <v>17</v>
      </c>
      <c r="G91" s="17" t="s">
        <v>18</v>
      </c>
      <c r="H91" s="3">
        <v>1</v>
      </c>
      <c r="I91" s="4">
        <v>1000</v>
      </c>
      <c r="J91" s="4">
        <v>1000</v>
      </c>
      <c r="K91" s="5"/>
      <c r="L91" s="6"/>
    </row>
    <row r="92" spans="1:12">
      <c r="A92" s="3" t="s">
        <v>329</v>
      </c>
      <c r="B92" s="3" t="s">
        <v>330</v>
      </c>
      <c r="C92" s="3" t="s">
        <v>331</v>
      </c>
      <c r="D92" s="3" t="s">
        <v>332</v>
      </c>
      <c r="E92" s="3" t="s">
        <v>16</v>
      </c>
      <c r="F92" s="3" t="s">
        <v>17</v>
      </c>
      <c r="G92" s="17" t="s">
        <v>18</v>
      </c>
      <c r="H92" s="3">
        <v>1</v>
      </c>
      <c r="I92" s="4">
        <v>4000</v>
      </c>
      <c r="J92" s="4">
        <v>4000</v>
      </c>
      <c r="K92" s="5">
        <v>0</v>
      </c>
      <c r="L92" s="6">
        <v>0</v>
      </c>
    </row>
    <row r="93" spans="1:12">
      <c r="A93" s="3" t="s">
        <v>333</v>
      </c>
      <c r="B93" s="3" t="s">
        <v>334</v>
      </c>
      <c r="C93" s="3" t="s">
        <v>335</v>
      </c>
      <c r="D93" s="3" t="s">
        <v>336</v>
      </c>
      <c r="E93" s="3" t="s">
        <v>16</v>
      </c>
      <c r="F93" s="3" t="s">
        <v>17</v>
      </c>
      <c r="G93" s="17" t="s">
        <v>18</v>
      </c>
      <c r="H93" s="3">
        <v>1</v>
      </c>
      <c r="I93" s="4">
        <v>1000</v>
      </c>
      <c r="J93" s="4">
        <v>1000</v>
      </c>
      <c r="K93" s="5">
        <v>0</v>
      </c>
      <c r="L93" s="6">
        <v>0</v>
      </c>
    </row>
    <row r="94" spans="1:12">
      <c r="A94" s="3" t="s">
        <v>337</v>
      </c>
      <c r="B94" s="3" t="s">
        <v>338</v>
      </c>
      <c r="C94" s="3" t="s">
        <v>338</v>
      </c>
      <c r="D94" s="3" t="s">
        <v>339</v>
      </c>
      <c r="E94" s="3" t="s">
        <v>16</v>
      </c>
      <c r="F94" s="3" t="s">
        <v>17</v>
      </c>
      <c r="G94" s="17" t="s">
        <v>18</v>
      </c>
      <c r="H94" s="3">
        <v>1</v>
      </c>
      <c r="I94" s="4">
        <v>1000</v>
      </c>
      <c r="J94" s="4">
        <v>1000</v>
      </c>
      <c r="K94" s="5">
        <v>0</v>
      </c>
      <c r="L94" s="6">
        <v>0</v>
      </c>
    </row>
    <row r="95" spans="1:12">
      <c r="A95" s="3" t="s">
        <v>340</v>
      </c>
      <c r="B95" s="3" t="s">
        <v>341</v>
      </c>
      <c r="C95" s="3" t="s">
        <v>341</v>
      </c>
      <c r="D95" s="3" t="s">
        <v>342</v>
      </c>
      <c r="E95" s="3" t="s">
        <v>16</v>
      </c>
      <c r="F95" s="3" t="s">
        <v>17</v>
      </c>
      <c r="G95" s="17" t="s">
        <v>18</v>
      </c>
      <c r="H95" s="3">
        <v>1</v>
      </c>
      <c r="I95" s="4">
        <v>1000</v>
      </c>
      <c r="J95" s="4">
        <v>1000</v>
      </c>
      <c r="K95" s="5">
        <v>0</v>
      </c>
      <c r="L95" s="6">
        <v>0</v>
      </c>
    </row>
    <row r="96" spans="1:12">
      <c r="A96" s="3" t="s">
        <v>343</v>
      </c>
      <c r="B96" s="3" t="s">
        <v>344</v>
      </c>
      <c r="C96" s="3" t="s">
        <v>344</v>
      </c>
      <c r="D96" s="3" t="s">
        <v>345</v>
      </c>
      <c r="E96" s="3" t="s">
        <v>16</v>
      </c>
      <c r="F96" s="3" t="s">
        <v>17</v>
      </c>
      <c r="G96" s="17" t="s">
        <v>18</v>
      </c>
      <c r="H96" s="3">
        <v>1</v>
      </c>
      <c r="I96" s="4">
        <v>1000</v>
      </c>
      <c r="J96" s="4">
        <v>1000</v>
      </c>
      <c r="K96" s="5">
        <v>0</v>
      </c>
      <c r="L96" s="6">
        <v>0</v>
      </c>
    </row>
    <row r="97" spans="1:12">
      <c r="A97" s="3" t="s">
        <v>346</v>
      </c>
      <c r="B97" s="3" t="s">
        <v>347</v>
      </c>
      <c r="C97" s="3" t="s">
        <v>347</v>
      </c>
      <c r="D97" s="3" t="s">
        <v>348</v>
      </c>
      <c r="E97" s="3" t="s">
        <v>16</v>
      </c>
      <c r="F97" s="3" t="s">
        <v>17</v>
      </c>
      <c r="G97" s="17" t="s">
        <v>18</v>
      </c>
      <c r="H97" s="3">
        <v>1</v>
      </c>
      <c r="I97" s="4">
        <v>1000</v>
      </c>
      <c r="J97" s="4">
        <v>1000</v>
      </c>
      <c r="K97" s="5">
        <v>0</v>
      </c>
      <c r="L97" s="6">
        <v>0</v>
      </c>
    </row>
    <row r="98" spans="1:12">
      <c r="A98" s="3" t="s">
        <v>349</v>
      </c>
      <c r="B98" s="3" t="s">
        <v>350</v>
      </c>
      <c r="C98" s="3" t="s">
        <v>351</v>
      </c>
      <c r="D98" s="3" t="s">
        <v>352</v>
      </c>
      <c r="E98" s="3" t="s">
        <v>16</v>
      </c>
      <c r="F98" s="3" t="s">
        <v>17</v>
      </c>
      <c r="G98" s="17" t="s">
        <v>18</v>
      </c>
      <c r="H98" s="3">
        <v>1</v>
      </c>
      <c r="I98" s="4">
        <v>1000</v>
      </c>
      <c r="J98" s="4">
        <v>1000</v>
      </c>
      <c r="K98" s="5">
        <v>0</v>
      </c>
      <c r="L98" s="6">
        <v>0</v>
      </c>
    </row>
    <row r="99" spans="1:12">
      <c r="A99" s="3" t="s">
        <v>353</v>
      </c>
      <c r="B99" s="3" t="s">
        <v>354</v>
      </c>
      <c r="C99" s="3" t="s">
        <v>354</v>
      </c>
      <c r="D99" s="3" t="s">
        <v>355</v>
      </c>
      <c r="E99" s="3" t="s">
        <v>23</v>
      </c>
      <c r="F99" s="3" t="s">
        <v>24</v>
      </c>
      <c r="G99" s="17" t="s">
        <v>18</v>
      </c>
      <c r="H99" s="3">
        <v>1</v>
      </c>
      <c r="I99" s="4">
        <v>2000</v>
      </c>
      <c r="J99" s="4">
        <v>2000</v>
      </c>
      <c r="K99" s="5">
        <v>0</v>
      </c>
      <c r="L99" s="6">
        <v>0</v>
      </c>
    </row>
    <row r="100" spans="1:12">
      <c r="A100" s="3" t="s">
        <v>356</v>
      </c>
      <c r="B100" s="3" t="s">
        <v>357</v>
      </c>
      <c r="C100" s="3" t="s">
        <v>357</v>
      </c>
      <c r="D100" s="3" t="s">
        <v>358</v>
      </c>
      <c r="E100" s="3" t="s">
        <v>16</v>
      </c>
      <c r="F100" s="3" t="s">
        <v>17</v>
      </c>
      <c r="G100" s="17" t="s">
        <v>18</v>
      </c>
      <c r="H100" s="3">
        <v>1</v>
      </c>
      <c r="I100" s="4">
        <v>1000</v>
      </c>
      <c r="J100" s="4">
        <v>1000</v>
      </c>
      <c r="K100" s="5">
        <v>0</v>
      </c>
      <c r="L100" s="6">
        <v>0</v>
      </c>
    </row>
    <row r="101" spans="1:12">
      <c r="A101" s="3" t="s">
        <v>359</v>
      </c>
      <c r="B101" s="3" t="s">
        <v>360</v>
      </c>
      <c r="C101" s="3" t="s">
        <v>361</v>
      </c>
      <c r="D101" s="3" t="s">
        <v>362</v>
      </c>
      <c r="E101" s="3" t="s">
        <v>16</v>
      </c>
      <c r="F101" s="3" t="s">
        <v>17</v>
      </c>
      <c r="G101" s="17" t="s">
        <v>18</v>
      </c>
      <c r="H101" s="3">
        <v>1</v>
      </c>
      <c r="I101" s="4">
        <v>1000</v>
      </c>
      <c r="J101" s="4">
        <v>1000</v>
      </c>
      <c r="K101" s="5">
        <v>0</v>
      </c>
      <c r="L101" s="6">
        <v>0</v>
      </c>
    </row>
    <row r="102" spans="1:12">
      <c r="A102" s="3" t="s">
        <v>363</v>
      </c>
      <c r="B102" s="3" t="s">
        <v>364</v>
      </c>
      <c r="C102" s="3" t="s">
        <v>365</v>
      </c>
      <c r="D102" s="3" t="s">
        <v>366</v>
      </c>
      <c r="E102" s="3" t="s">
        <v>16</v>
      </c>
      <c r="F102" s="3" t="s">
        <v>17</v>
      </c>
      <c r="G102" s="17" t="s">
        <v>18</v>
      </c>
      <c r="H102" s="3">
        <v>1</v>
      </c>
      <c r="I102" s="4">
        <v>4000</v>
      </c>
      <c r="J102" s="4">
        <v>4000</v>
      </c>
      <c r="K102" s="5">
        <v>0</v>
      </c>
      <c r="L102" s="6">
        <v>0</v>
      </c>
    </row>
    <row r="103" spans="1:12">
      <c r="A103" s="3" t="s">
        <v>367</v>
      </c>
      <c r="B103" s="3" t="s">
        <v>368</v>
      </c>
      <c r="C103" s="3" t="s">
        <v>368</v>
      </c>
      <c r="D103" s="3" t="s">
        <v>369</v>
      </c>
      <c r="E103" s="3" t="s">
        <v>16</v>
      </c>
      <c r="F103" s="3" t="s">
        <v>17</v>
      </c>
      <c r="G103" s="17" t="s">
        <v>18</v>
      </c>
      <c r="H103" s="3">
        <v>1</v>
      </c>
      <c r="I103" s="4">
        <v>7000</v>
      </c>
      <c r="J103" s="4">
        <v>7000</v>
      </c>
      <c r="K103" s="5">
        <v>0</v>
      </c>
      <c r="L103" s="6">
        <v>0</v>
      </c>
    </row>
    <row r="104" spans="1:12">
      <c r="A104" s="3" t="s">
        <v>370</v>
      </c>
      <c r="B104" s="3" t="s">
        <v>371</v>
      </c>
      <c r="C104" s="3" t="s">
        <v>372</v>
      </c>
      <c r="D104" s="3" t="s">
        <v>373</v>
      </c>
      <c r="E104" s="3" t="s">
        <v>16</v>
      </c>
      <c r="F104" s="3" t="s">
        <v>17</v>
      </c>
      <c r="G104" s="17" t="s">
        <v>18</v>
      </c>
      <c r="H104" s="3">
        <v>1</v>
      </c>
      <c r="I104" s="4">
        <v>5000</v>
      </c>
      <c r="J104" s="4">
        <v>5000</v>
      </c>
      <c r="K104" s="5">
        <v>0</v>
      </c>
      <c r="L104" s="6">
        <v>0</v>
      </c>
    </row>
    <row r="105" spans="1:12">
      <c r="A105" s="3" t="s">
        <v>374</v>
      </c>
      <c r="B105" s="3" t="s">
        <v>375</v>
      </c>
      <c r="C105" s="3" t="s">
        <v>375</v>
      </c>
      <c r="D105" s="3" t="s">
        <v>376</v>
      </c>
      <c r="E105" s="3" t="s">
        <v>16</v>
      </c>
      <c r="F105" s="3" t="s">
        <v>17</v>
      </c>
      <c r="G105" s="17" t="s">
        <v>18</v>
      </c>
      <c r="H105" s="3">
        <v>1</v>
      </c>
      <c r="I105" s="4">
        <v>1000</v>
      </c>
      <c r="J105" s="4">
        <v>1000</v>
      </c>
      <c r="K105" s="5">
        <v>0</v>
      </c>
      <c r="L105" s="6">
        <v>0</v>
      </c>
    </row>
    <row r="106" spans="1:12">
      <c r="A106" s="3" t="s">
        <v>377</v>
      </c>
      <c r="B106" s="3" t="s">
        <v>378</v>
      </c>
      <c r="C106" s="3" t="s">
        <v>379</v>
      </c>
      <c r="D106" s="3" t="s">
        <v>380</v>
      </c>
      <c r="E106" s="3" t="s">
        <v>16</v>
      </c>
      <c r="F106" s="3" t="s">
        <v>17</v>
      </c>
      <c r="G106" s="17" t="s">
        <v>18</v>
      </c>
      <c r="H106" s="3">
        <v>1</v>
      </c>
      <c r="I106" s="4">
        <v>2000</v>
      </c>
      <c r="J106" s="4">
        <v>2000</v>
      </c>
      <c r="K106" s="5">
        <v>0</v>
      </c>
      <c r="L106" s="6">
        <v>0</v>
      </c>
    </row>
    <row r="107" spans="1:12">
      <c r="A107" s="3" t="s">
        <v>381</v>
      </c>
      <c r="B107" s="3" t="s">
        <v>382</v>
      </c>
      <c r="C107" s="3" t="s">
        <v>382</v>
      </c>
      <c r="D107" s="3" t="s">
        <v>383</v>
      </c>
      <c r="E107" s="3" t="s">
        <v>16</v>
      </c>
      <c r="F107" s="3" t="s">
        <v>17</v>
      </c>
      <c r="G107" s="17" t="s">
        <v>18</v>
      </c>
      <c r="H107" s="3">
        <v>1</v>
      </c>
      <c r="I107" s="4">
        <v>1000</v>
      </c>
      <c r="J107" s="4">
        <v>1000</v>
      </c>
      <c r="K107" s="5">
        <v>0</v>
      </c>
      <c r="L107" s="6">
        <v>0</v>
      </c>
    </row>
    <row r="108" spans="1:12">
      <c r="A108" s="3" t="s">
        <v>384</v>
      </c>
      <c r="B108" s="3" t="s">
        <v>385</v>
      </c>
      <c r="C108" s="3" t="s">
        <v>385</v>
      </c>
      <c r="D108" s="3" t="s">
        <v>386</v>
      </c>
      <c r="E108" s="3" t="s">
        <v>23</v>
      </c>
      <c r="F108" s="3" t="s">
        <v>24</v>
      </c>
      <c r="G108" s="17" t="s">
        <v>18</v>
      </c>
      <c r="H108" s="3">
        <v>1</v>
      </c>
      <c r="I108" s="4">
        <v>1000</v>
      </c>
      <c r="J108" s="4">
        <v>1000</v>
      </c>
      <c r="K108" s="5">
        <v>0</v>
      </c>
      <c r="L108" s="6">
        <v>0</v>
      </c>
    </row>
    <row r="109" spans="1:12">
      <c r="A109" s="3" t="s">
        <v>387</v>
      </c>
      <c r="B109" s="3" t="s">
        <v>388</v>
      </c>
      <c r="C109" s="3" t="s">
        <v>389</v>
      </c>
      <c r="D109" s="3" t="s">
        <v>390</v>
      </c>
      <c r="E109" s="3" t="s">
        <v>16</v>
      </c>
      <c r="F109" s="3" t="s">
        <v>17</v>
      </c>
      <c r="G109" s="17" t="s">
        <v>18</v>
      </c>
      <c r="H109" s="3">
        <v>1</v>
      </c>
      <c r="I109" s="4">
        <v>1000</v>
      </c>
      <c r="J109" s="4">
        <v>1000</v>
      </c>
      <c r="K109" s="5">
        <v>0</v>
      </c>
      <c r="L109" s="6">
        <v>0</v>
      </c>
    </row>
    <row r="110" spans="1:12">
      <c r="A110" s="3" t="s">
        <v>391</v>
      </c>
      <c r="B110" s="3" t="s">
        <v>392</v>
      </c>
      <c r="C110" s="3" t="s">
        <v>393</v>
      </c>
      <c r="D110" s="3" t="s">
        <v>394</v>
      </c>
      <c r="E110" s="3" t="s">
        <v>16</v>
      </c>
      <c r="F110" s="3" t="s">
        <v>17</v>
      </c>
      <c r="G110" s="17" t="s">
        <v>18</v>
      </c>
      <c r="H110" s="3">
        <v>1</v>
      </c>
      <c r="I110" s="4">
        <v>1000</v>
      </c>
      <c r="J110" s="4">
        <v>1000</v>
      </c>
      <c r="K110" s="5"/>
      <c r="L110" s="6"/>
    </row>
    <row r="111" spans="1:12">
      <c r="A111" s="3" t="s">
        <v>395</v>
      </c>
      <c r="B111" s="3" t="s">
        <v>396</v>
      </c>
      <c r="C111" s="3" t="s">
        <v>397</v>
      </c>
      <c r="D111" s="3" t="s">
        <v>398</v>
      </c>
      <c r="E111" s="3" t="s">
        <v>16</v>
      </c>
      <c r="F111" s="3" t="s">
        <v>17</v>
      </c>
      <c r="G111" s="17" t="s">
        <v>18</v>
      </c>
      <c r="H111" s="3">
        <v>1</v>
      </c>
      <c r="I111" s="4">
        <v>3000</v>
      </c>
      <c r="J111" s="4">
        <v>3000</v>
      </c>
      <c r="K111" s="5">
        <v>0</v>
      </c>
      <c r="L111" s="6">
        <v>0</v>
      </c>
    </row>
    <row r="112" spans="1:12">
      <c r="A112" s="3" t="s">
        <v>399</v>
      </c>
      <c r="B112" s="3" t="s">
        <v>400</v>
      </c>
      <c r="C112" s="3" t="s">
        <v>400</v>
      </c>
      <c r="D112" s="3" t="s">
        <v>401</v>
      </c>
      <c r="E112" s="3" t="s">
        <v>16</v>
      </c>
      <c r="F112" s="3" t="s">
        <v>17</v>
      </c>
      <c r="G112" s="17" t="s">
        <v>18</v>
      </c>
      <c r="H112" s="3">
        <v>1</v>
      </c>
      <c r="I112" s="4">
        <v>4000</v>
      </c>
      <c r="J112" s="4">
        <v>4000</v>
      </c>
      <c r="K112" s="5">
        <v>0</v>
      </c>
      <c r="L112" s="6">
        <v>0</v>
      </c>
    </row>
    <row r="113" spans="1:12">
      <c r="A113" s="3" t="s">
        <v>402</v>
      </c>
      <c r="B113" s="3" t="s">
        <v>403</v>
      </c>
      <c r="C113" s="3" t="s">
        <v>404</v>
      </c>
      <c r="D113" s="3" t="s">
        <v>405</v>
      </c>
      <c r="E113" s="3" t="s">
        <v>16</v>
      </c>
      <c r="F113" s="3" t="s">
        <v>17</v>
      </c>
      <c r="G113" s="17" t="s">
        <v>18</v>
      </c>
      <c r="H113" s="3">
        <v>1</v>
      </c>
      <c r="I113" s="4">
        <v>2000</v>
      </c>
      <c r="J113" s="4">
        <v>2000</v>
      </c>
      <c r="K113" s="5">
        <v>0</v>
      </c>
      <c r="L113" s="6">
        <v>0</v>
      </c>
    </row>
    <row r="114" spans="1:12">
      <c r="A114" s="3" t="s">
        <v>406</v>
      </c>
      <c r="B114" s="3" t="s">
        <v>407</v>
      </c>
      <c r="C114" s="3" t="s">
        <v>408</v>
      </c>
      <c r="D114" s="3" t="s">
        <v>409</v>
      </c>
      <c r="E114" s="3" t="s">
        <v>16</v>
      </c>
      <c r="F114" s="3" t="s">
        <v>17</v>
      </c>
      <c r="G114" s="17" t="s">
        <v>18</v>
      </c>
      <c r="H114" s="3">
        <v>1</v>
      </c>
      <c r="I114" s="4">
        <v>3000</v>
      </c>
      <c r="J114" s="4">
        <v>3000</v>
      </c>
      <c r="K114" s="5">
        <v>0</v>
      </c>
      <c r="L114" s="6">
        <v>0</v>
      </c>
    </row>
    <row r="115" spans="1:12">
      <c r="A115" s="3" t="s">
        <v>410</v>
      </c>
      <c r="B115" s="3" t="s">
        <v>411</v>
      </c>
      <c r="C115" s="3" t="s">
        <v>411</v>
      </c>
      <c r="D115" s="3" t="s">
        <v>412</v>
      </c>
      <c r="E115" s="3" t="s">
        <v>23</v>
      </c>
      <c r="F115" s="3" t="s">
        <v>24</v>
      </c>
      <c r="G115" s="17" t="s">
        <v>18</v>
      </c>
      <c r="H115" s="3">
        <v>1</v>
      </c>
      <c r="I115" s="4">
        <v>3120</v>
      </c>
      <c r="J115" s="4">
        <v>3120</v>
      </c>
      <c r="K115" s="5">
        <v>0</v>
      </c>
      <c r="L115" s="6">
        <v>0</v>
      </c>
    </row>
    <row r="116" spans="1:12">
      <c r="A116" s="3" t="s">
        <v>413</v>
      </c>
      <c r="B116" s="3" t="s">
        <v>414</v>
      </c>
      <c r="C116" s="3" t="s">
        <v>415</v>
      </c>
      <c r="D116" s="3" t="s">
        <v>416</v>
      </c>
      <c r="E116" s="3" t="s">
        <v>23</v>
      </c>
      <c r="F116" s="3" t="s">
        <v>24</v>
      </c>
      <c r="G116" s="17" t="s">
        <v>18</v>
      </c>
      <c r="H116" s="3">
        <v>1</v>
      </c>
      <c r="I116" s="4">
        <v>4000</v>
      </c>
      <c r="J116" s="4">
        <v>4000</v>
      </c>
      <c r="K116" s="5">
        <v>0</v>
      </c>
      <c r="L116" s="6">
        <v>0</v>
      </c>
    </row>
    <row r="117" spans="1:12">
      <c r="A117" s="3" t="s">
        <v>417</v>
      </c>
      <c r="B117" s="3" t="s">
        <v>418</v>
      </c>
      <c r="C117" s="3" t="s">
        <v>419</v>
      </c>
      <c r="D117" s="3" t="s">
        <v>420</v>
      </c>
      <c r="E117" s="3" t="s">
        <v>16</v>
      </c>
      <c r="F117" s="3" t="s">
        <v>17</v>
      </c>
      <c r="G117" s="17" t="s">
        <v>18</v>
      </c>
      <c r="H117" s="3">
        <v>1</v>
      </c>
      <c r="I117" s="4">
        <v>4000</v>
      </c>
      <c r="J117" s="4">
        <v>4000</v>
      </c>
      <c r="K117" s="5">
        <v>0</v>
      </c>
      <c r="L117" s="6">
        <v>0</v>
      </c>
    </row>
    <row r="118" spans="1:12">
      <c r="A118" s="3" t="s">
        <v>421</v>
      </c>
      <c r="B118" s="3" t="s">
        <v>422</v>
      </c>
      <c r="C118" s="3" t="s">
        <v>423</v>
      </c>
      <c r="D118" s="3" t="s">
        <v>424</v>
      </c>
      <c r="E118" s="3" t="s">
        <v>52</v>
      </c>
      <c r="F118" s="3" t="s">
        <v>53</v>
      </c>
      <c r="G118" s="17" t="s">
        <v>425</v>
      </c>
      <c r="H118" s="3">
        <v>1</v>
      </c>
      <c r="I118" s="4">
        <v>3500</v>
      </c>
      <c r="J118" s="4">
        <v>3500</v>
      </c>
      <c r="K118" s="5">
        <v>0</v>
      </c>
      <c r="L118" s="6">
        <v>0</v>
      </c>
    </row>
    <row r="119" spans="1:12">
      <c r="A119" s="3" t="s">
        <v>426</v>
      </c>
      <c r="B119" s="3" t="s">
        <v>427</v>
      </c>
      <c r="C119" s="3" t="s">
        <v>427</v>
      </c>
      <c r="D119" s="3" t="s">
        <v>428</v>
      </c>
      <c r="E119" s="3" t="s">
        <v>52</v>
      </c>
      <c r="F119" s="3" t="s">
        <v>53</v>
      </c>
      <c r="G119" s="17" t="s">
        <v>18</v>
      </c>
      <c r="H119" s="3">
        <v>1</v>
      </c>
      <c r="I119" s="4">
        <v>1000</v>
      </c>
      <c r="J119" s="4">
        <v>1000</v>
      </c>
      <c r="K119" s="5">
        <v>0</v>
      </c>
      <c r="L119" s="6">
        <v>0</v>
      </c>
    </row>
    <row r="120" spans="1:12">
      <c r="A120" s="3" t="s">
        <v>429</v>
      </c>
      <c r="B120" s="3" t="s">
        <v>430</v>
      </c>
      <c r="C120" s="3" t="s">
        <v>431</v>
      </c>
      <c r="D120" s="3" t="s">
        <v>432</v>
      </c>
      <c r="E120" s="3" t="s">
        <v>52</v>
      </c>
      <c r="F120" s="3" t="s">
        <v>53</v>
      </c>
      <c r="G120" s="17" t="s">
        <v>18</v>
      </c>
      <c r="H120" s="3">
        <v>1</v>
      </c>
      <c r="I120" s="4">
        <v>1000</v>
      </c>
      <c r="J120" s="4">
        <v>1000</v>
      </c>
      <c r="K120" s="5">
        <v>0</v>
      </c>
      <c r="L120" s="6">
        <v>0</v>
      </c>
    </row>
    <row r="121" spans="1:12">
      <c r="A121" s="3" t="s">
        <v>433</v>
      </c>
      <c r="B121" s="3" t="s">
        <v>434</v>
      </c>
      <c r="C121" s="3" t="s">
        <v>435</v>
      </c>
      <c r="D121" s="3" t="s">
        <v>436</v>
      </c>
      <c r="E121" s="3" t="s">
        <v>52</v>
      </c>
      <c r="F121" s="3" t="s">
        <v>53</v>
      </c>
      <c r="G121" s="17" t="s">
        <v>18</v>
      </c>
      <c r="H121" s="3">
        <v>1</v>
      </c>
      <c r="I121" s="4">
        <v>500</v>
      </c>
      <c r="J121" s="4">
        <v>500</v>
      </c>
      <c r="K121" s="5">
        <v>0</v>
      </c>
      <c r="L121" s="6">
        <v>0</v>
      </c>
    </row>
    <row r="122" spans="1:12">
      <c r="A122" s="3" t="s">
        <v>437</v>
      </c>
      <c r="B122" s="3" t="s">
        <v>438</v>
      </c>
      <c r="C122" s="3">
        <v>0</v>
      </c>
      <c r="D122" s="3" t="s">
        <v>439</v>
      </c>
      <c r="E122" s="3" t="s">
        <v>52</v>
      </c>
      <c r="F122" s="3" t="s">
        <v>53</v>
      </c>
      <c r="G122" s="17" t="s">
        <v>18</v>
      </c>
      <c r="H122" s="3">
        <v>1</v>
      </c>
      <c r="I122" s="4">
        <v>4000</v>
      </c>
      <c r="J122" s="4">
        <v>4000</v>
      </c>
      <c r="K122" s="5">
        <v>0</v>
      </c>
      <c r="L122" s="6">
        <v>0</v>
      </c>
    </row>
    <row r="123" spans="1:12">
      <c r="A123" s="3" t="s">
        <v>440</v>
      </c>
      <c r="B123" s="3" t="s">
        <v>441</v>
      </c>
      <c r="C123" s="3" t="s">
        <v>442</v>
      </c>
      <c r="D123" s="3" t="s">
        <v>443</v>
      </c>
      <c r="E123" s="3" t="s">
        <v>52</v>
      </c>
      <c r="F123" s="3" t="s">
        <v>53</v>
      </c>
      <c r="G123" s="17" t="s">
        <v>18</v>
      </c>
      <c r="H123" s="3">
        <v>1</v>
      </c>
      <c r="I123" s="4">
        <v>3500</v>
      </c>
      <c r="J123" s="4">
        <v>3500</v>
      </c>
      <c r="K123" s="5">
        <v>0</v>
      </c>
      <c r="L123" s="6">
        <v>0</v>
      </c>
    </row>
    <row r="124" spans="1:12">
      <c r="A124" s="11" t="s">
        <v>444</v>
      </c>
      <c r="B124" s="11" t="s">
        <v>445</v>
      </c>
      <c r="C124" s="11" t="s">
        <v>445</v>
      </c>
      <c r="D124" s="11" t="s">
        <v>446</v>
      </c>
      <c r="E124" s="11" t="s">
        <v>447</v>
      </c>
      <c r="F124" s="11" t="s">
        <v>448</v>
      </c>
      <c r="G124" s="17" t="s">
        <v>18</v>
      </c>
      <c r="H124" s="11">
        <v>1</v>
      </c>
      <c r="I124" s="16">
        <v>2000</v>
      </c>
      <c r="J124" s="16">
        <v>2000</v>
      </c>
      <c r="K124" s="9" t="s">
        <v>449</v>
      </c>
      <c r="L124" s="6">
        <v>0</v>
      </c>
    </row>
    <row r="125" spans="1:12">
      <c r="A125" s="3" t="s">
        <v>450</v>
      </c>
      <c r="B125" s="3" t="s">
        <v>451</v>
      </c>
      <c r="C125" s="3" t="s">
        <v>452</v>
      </c>
      <c r="D125" s="3" t="s">
        <v>453</v>
      </c>
      <c r="E125" s="3" t="s">
        <v>52</v>
      </c>
      <c r="F125" s="3" t="s">
        <v>53</v>
      </c>
      <c r="G125" s="17" t="s">
        <v>18</v>
      </c>
      <c r="H125" s="3">
        <v>1</v>
      </c>
      <c r="I125" s="4">
        <v>500</v>
      </c>
      <c r="J125" s="4">
        <v>500</v>
      </c>
      <c r="K125" s="5">
        <v>0</v>
      </c>
      <c r="L125" s="6">
        <v>0</v>
      </c>
    </row>
    <row r="126" spans="1:12">
      <c r="A126" s="3" t="s">
        <v>454</v>
      </c>
      <c r="B126" s="3" t="s">
        <v>455</v>
      </c>
      <c r="C126" s="3" t="s">
        <v>455</v>
      </c>
      <c r="D126" s="3" t="s">
        <v>456</v>
      </c>
      <c r="E126" s="3" t="s">
        <v>52</v>
      </c>
      <c r="F126" s="3" t="s">
        <v>53</v>
      </c>
      <c r="G126" s="17" t="s">
        <v>18</v>
      </c>
      <c r="H126" s="3">
        <v>1</v>
      </c>
      <c r="I126" s="4">
        <v>500</v>
      </c>
      <c r="J126" s="4">
        <v>500</v>
      </c>
      <c r="K126" s="5"/>
      <c r="L126" s="6"/>
    </row>
    <row r="127" spans="1:12">
      <c r="A127" s="3" t="s">
        <v>457</v>
      </c>
      <c r="B127" s="3" t="s">
        <v>458</v>
      </c>
      <c r="C127" s="3" t="s">
        <v>458</v>
      </c>
      <c r="D127" s="3" t="s">
        <v>459</v>
      </c>
      <c r="E127" s="3" t="s">
        <v>52</v>
      </c>
      <c r="F127" s="3" t="s">
        <v>53</v>
      </c>
      <c r="G127" s="17" t="s">
        <v>18</v>
      </c>
      <c r="H127" s="3">
        <v>1</v>
      </c>
      <c r="I127" s="4">
        <v>500</v>
      </c>
      <c r="J127" s="4">
        <v>500</v>
      </c>
      <c r="K127" s="5"/>
      <c r="L127" s="6"/>
    </row>
    <row r="128" spans="1:12">
      <c r="A128" s="3" t="s">
        <v>460</v>
      </c>
      <c r="B128" s="3" t="s">
        <v>461</v>
      </c>
      <c r="C128" s="3" t="s">
        <v>462</v>
      </c>
      <c r="D128" s="3" t="s">
        <v>463</v>
      </c>
      <c r="E128" s="3" t="s">
        <v>52</v>
      </c>
      <c r="F128" s="3" t="s">
        <v>53</v>
      </c>
      <c r="G128" s="17" t="s">
        <v>18</v>
      </c>
      <c r="H128" s="3">
        <v>1</v>
      </c>
      <c r="I128" s="4">
        <v>1000</v>
      </c>
      <c r="J128" s="4">
        <v>1000</v>
      </c>
      <c r="K128" s="5">
        <v>0</v>
      </c>
      <c r="L128" s="6">
        <v>0</v>
      </c>
    </row>
    <row r="129" spans="1:12">
      <c r="A129" s="3" t="s">
        <v>464</v>
      </c>
      <c r="B129" s="3" t="s">
        <v>465</v>
      </c>
      <c r="C129" s="3" t="s">
        <v>466</v>
      </c>
      <c r="D129" s="3" t="s">
        <v>467</v>
      </c>
      <c r="E129" s="3" t="s">
        <v>52</v>
      </c>
      <c r="F129" s="3" t="s">
        <v>53</v>
      </c>
      <c r="G129" s="17" t="s">
        <v>18</v>
      </c>
      <c r="H129" s="3">
        <v>1</v>
      </c>
      <c r="I129" s="4">
        <v>500</v>
      </c>
      <c r="J129" s="4">
        <v>500</v>
      </c>
      <c r="K129" s="5">
        <v>0</v>
      </c>
      <c r="L129" s="6">
        <v>0</v>
      </c>
    </row>
    <row r="130" spans="1:12">
      <c r="A130" s="3" t="s">
        <v>468</v>
      </c>
      <c r="B130" s="3" t="s">
        <v>469</v>
      </c>
      <c r="C130" s="3" t="s">
        <v>470</v>
      </c>
      <c r="D130" s="3" t="s">
        <v>471</v>
      </c>
      <c r="E130" s="3" t="s">
        <v>52</v>
      </c>
      <c r="F130" s="3" t="s">
        <v>53</v>
      </c>
      <c r="G130" s="17" t="s">
        <v>18</v>
      </c>
      <c r="H130" s="3">
        <v>1</v>
      </c>
      <c r="I130" s="4">
        <v>1500</v>
      </c>
      <c r="J130" s="4">
        <v>1500</v>
      </c>
      <c r="K130" s="5">
        <v>0</v>
      </c>
      <c r="L130" s="6">
        <v>0</v>
      </c>
    </row>
    <row r="131" spans="1:12">
      <c r="A131" s="3" t="s">
        <v>472</v>
      </c>
      <c r="B131" s="3" t="s">
        <v>473</v>
      </c>
      <c r="C131" s="3" t="s">
        <v>474</v>
      </c>
      <c r="D131" s="3" t="s">
        <v>475</v>
      </c>
      <c r="E131" s="3" t="s">
        <v>52</v>
      </c>
      <c r="F131" s="3" t="s">
        <v>53</v>
      </c>
      <c r="G131" s="17" t="s">
        <v>18</v>
      </c>
      <c r="H131" s="3">
        <v>1</v>
      </c>
      <c r="I131" s="4">
        <v>1000</v>
      </c>
      <c r="J131" s="4">
        <v>1000</v>
      </c>
      <c r="K131" s="5">
        <v>0</v>
      </c>
      <c r="L131" s="6">
        <v>0</v>
      </c>
    </row>
    <row r="132" spans="1:12">
      <c r="A132" s="3" t="s">
        <v>476</v>
      </c>
      <c r="B132" s="3" t="s">
        <v>477</v>
      </c>
      <c r="C132" s="3" t="s">
        <v>478</v>
      </c>
      <c r="D132" s="3" t="s">
        <v>479</v>
      </c>
      <c r="E132" s="3" t="s">
        <v>52</v>
      </c>
      <c r="F132" s="3" t="s">
        <v>53</v>
      </c>
      <c r="G132" s="17" t="s">
        <v>18</v>
      </c>
      <c r="H132" s="3">
        <v>1</v>
      </c>
      <c r="I132" s="4">
        <v>1000</v>
      </c>
      <c r="J132" s="4">
        <v>1000</v>
      </c>
      <c r="K132" s="5">
        <v>0</v>
      </c>
      <c r="L132" s="6">
        <v>0</v>
      </c>
    </row>
    <row r="133" spans="1:12">
      <c r="A133" s="3" t="s">
        <v>480</v>
      </c>
      <c r="B133" s="3" t="s">
        <v>481</v>
      </c>
      <c r="C133" s="3" t="s">
        <v>482</v>
      </c>
      <c r="D133" s="3" t="s">
        <v>483</v>
      </c>
      <c r="E133" s="3" t="s">
        <v>52</v>
      </c>
      <c r="F133" s="3" t="s">
        <v>53</v>
      </c>
      <c r="G133" s="17" t="s">
        <v>18</v>
      </c>
      <c r="H133" s="3">
        <v>1</v>
      </c>
      <c r="I133" s="4">
        <v>500</v>
      </c>
      <c r="J133" s="4">
        <v>500</v>
      </c>
      <c r="K133" s="5"/>
      <c r="L133" s="6"/>
    </row>
    <row r="134" spans="1:12">
      <c r="A134" s="3" t="s">
        <v>484</v>
      </c>
      <c r="B134" s="3" t="s">
        <v>485</v>
      </c>
      <c r="C134" s="3" t="s">
        <v>486</v>
      </c>
      <c r="D134" s="3" t="s">
        <v>487</v>
      </c>
      <c r="E134" s="3" t="s">
        <v>52</v>
      </c>
      <c r="F134" s="3" t="s">
        <v>53</v>
      </c>
      <c r="G134" s="17" t="s">
        <v>18</v>
      </c>
      <c r="H134" s="3">
        <v>1</v>
      </c>
      <c r="I134" s="4">
        <v>500</v>
      </c>
      <c r="J134" s="4">
        <v>500</v>
      </c>
      <c r="K134" s="5"/>
      <c r="L134" s="6"/>
    </row>
    <row r="135" spans="1:12">
      <c r="A135" s="3" t="s">
        <v>488</v>
      </c>
      <c r="B135" s="3" t="s">
        <v>489</v>
      </c>
      <c r="C135" s="3" t="s">
        <v>489</v>
      </c>
      <c r="D135" s="3" t="s">
        <v>490</v>
      </c>
      <c r="E135" s="3" t="s">
        <v>52</v>
      </c>
      <c r="F135" s="3" t="s">
        <v>53</v>
      </c>
      <c r="G135" s="17" t="s">
        <v>18</v>
      </c>
      <c r="H135" s="3">
        <v>1</v>
      </c>
      <c r="I135" s="4">
        <v>500</v>
      </c>
      <c r="J135" s="4">
        <v>500</v>
      </c>
      <c r="K135" s="5">
        <v>0</v>
      </c>
      <c r="L135" s="6">
        <v>0</v>
      </c>
    </row>
    <row r="136" spans="1:12">
      <c r="A136" s="3" t="s">
        <v>491</v>
      </c>
      <c r="B136" s="3" t="s">
        <v>492</v>
      </c>
      <c r="C136" s="3" t="s">
        <v>492</v>
      </c>
      <c r="D136" s="3" t="s">
        <v>493</v>
      </c>
      <c r="E136" s="3" t="s">
        <v>52</v>
      </c>
      <c r="F136" s="3" t="s">
        <v>53</v>
      </c>
      <c r="G136" s="17" t="s">
        <v>18</v>
      </c>
      <c r="H136" s="3">
        <v>1</v>
      </c>
      <c r="I136" s="4">
        <v>500</v>
      </c>
      <c r="J136" s="4">
        <v>500</v>
      </c>
      <c r="K136" s="5">
        <v>0</v>
      </c>
      <c r="L136" s="6">
        <v>0</v>
      </c>
    </row>
    <row r="137" spans="1:12">
      <c r="A137" s="3" t="s">
        <v>494</v>
      </c>
      <c r="B137" s="3" t="s">
        <v>495</v>
      </c>
      <c r="C137" s="3" t="s">
        <v>496</v>
      </c>
      <c r="D137" s="3" t="s">
        <v>497</v>
      </c>
      <c r="E137" s="3" t="s">
        <v>52</v>
      </c>
      <c r="F137" s="3" t="s">
        <v>53</v>
      </c>
      <c r="G137" s="17" t="s">
        <v>18</v>
      </c>
      <c r="H137" s="3">
        <v>1</v>
      </c>
      <c r="I137" s="4">
        <v>500</v>
      </c>
      <c r="J137" s="4">
        <v>500</v>
      </c>
      <c r="K137" s="5">
        <v>0</v>
      </c>
      <c r="L137" s="6">
        <v>0</v>
      </c>
    </row>
    <row r="138" spans="1:12">
      <c r="A138" s="3" t="s">
        <v>498</v>
      </c>
      <c r="B138" s="3" t="s">
        <v>499</v>
      </c>
      <c r="C138" s="3" t="s">
        <v>500</v>
      </c>
      <c r="D138" s="3" t="s">
        <v>501</v>
      </c>
      <c r="E138" s="3" t="s">
        <v>52</v>
      </c>
      <c r="F138" s="3" t="s">
        <v>53</v>
      </c>
      <c r="G138" s="17" t="s">
        <v>18</v>
      </c>
      <c r="H138" s="3">
        <v>1</v>
      </c>
      <c r="I138" s="4">
        <v>4000</v>
      </c>
      <c r="J138" s="4">
        <v>4000</v>
      </c>
      <c r="K138" s="5">
        <v>0</v>
      </c>
      <c r="L138" s="6">
        <v>0</v>
      </c>
    </row>
    <row r="139" spans="1:12">
      <c r="A139" s="3" t="s">
        <v>502</v>
      </c>
      <c r="B139" s="3" t="s">
        <v>503</v>
      </c>
      <c r="C139" s="3" t="s">
        <v>503</v>
      </c>
      <c r="D139" s="3" t="s">
        <v>504</v>
      </c>
      <c r="E139" s="3" t="s">
        <v>52</v>
      </c>
      <c r="F139" s="3" t="s">
        <v>53</v>
      </c>
      <c r="G139" s="17" t="s">
        <v>18</v>
      </c>
      <c r="H139" s="3">
        <v>1</v>
      </c>
      <c r="I139" s="4">
        <v>500</v>
      </c>
      <c r="J139" s="4">
        <v>500</v>
      </c>
      <c r="K139" s="5"/>
      <c r="L139" s="6"/>
    </row>
    <row r="140" spans="1:12">
      <c r="A140" s="3" t="s">
        <v>505</v>
      </c>
      <c r="B140" s="3" t="s">
        <v>506</v>
      </c>
      <c r="C140" s="3" t="s">
        <v>506</v>
      </c>
      <c r="D140" s="3" t="s">
        <v>507</v>
      </c>
      <c r="E140" s="3" t="s">
        <v>52</v>
      </c>
      <c r="F140" s="3" t="s">
        <v>53</v>
      </c>
      <c r="G140" s="17" t="s">
        <v>18</v>
      </c>
      <c r="H140" s="3">
        <v>1</v>
      </c>
      <c r="I140" s="4">
        <v>500</v>
      </c>
      <c r="J140" s="4">
        <v>500</v>
      </c>
      <c r="K140" s="5">
        <v>0</v>
      </c>
      <c r="L140" s="6">
        <v>0</v>
      </c>
    </row>
    <row r="141" spans="1:12">
      <c r="A141" s="11" t="s">
        <v>508</v>
      </c>
      <c r="B141" s="11" t="s">
        <v>509</v>
      </c>
      <c r="C141" s="11" t="s">
        <v>509</v>
      </c>
      <c r="D141" s="11" t="s">
        <v>510</v>
      </c>
      <c r="E141" s="11" t="s">
        <v>447</v>
      </c>
      <c r="F141" s="11" t="s">
        <v>448</v>
      </c>
      <c r="G141" s="17" t="s">
        <v>18</v>
      </c>
      <c r="H141" s="11">
        <v>1</v>
      </c>
      <c r="I141" s="16">
        <v>500</v>
      </c>
      <c r="J141" s="16">
        <v>500</v>
      </c>
      <c r="K141" s="9" t="s">
        <v>449</v>
      </c>
      <c r="L141" s="6">
        <v>0</v>
      </c>
    </row>
    <row r="142" spans="1:12">
      <c r="A142" s="3" t="s">
        <v>511</v>
      </c>
      <c r="B142" s="3" t="s">
        <v>512</v>
      </c>
      <c r="C142" s="3" t="s">
        <v>513</v>
      </c>
      <c r="D142" s="3" t="s">
        <v>514</v>
      </c>
      <c r="E142" s="3" t="s">
        <v>52</v>
      </c>
      <c r="F142" s="3" t="s">
        <v>53</v>
      </c>
      <c r="G142" s="17" t="s">
        <v>18</v>
      </c>
      <c r="H142" s="3">
        <v>1</v>
      </c>
      <c r="I142" s="4">
        <v>1000</v>
      </c>
      <c r="J142" s="4">
        <v>1000</v>
      </c>
      <c r="K142" s="5">
        <v>0</v>
      </c>
      <c r="L142" s="6">
        <v>0</v>
      </c>
    </row>
    <row r="143" spans="1:12">
      <c r="A143" s="3" t="s">
        <v>515</v>
      </c>
      <c r="B143" s="3" t="s">
        <v>516</v>
      </c>
      <c r="C143" s="3" t="s">
        <v>517</v>
      </c>
      <c r="D143" s="3" t="s">
        <v>518</v>
      </c>
      <c r="E143" s="3" t="s">
        <v>52</v>
      </c>
      <c r="F143" s="3" t="s">
        <v>53</v>
      </c>
      <c r="G143" s="17" t="s">
        <v>18</v>
      </c>
      <c r="H143" s="3">
        <v>1</v>
      </c>
      <c r="I143" s="4">
        <v>2000</v>
      </c>
      <c r="J143" s="4">
        <v>2000</v>
      </c>
      <c r="K143" s="5">
        <v>0</v>
      </c>
      <c r="L143" s="6">
        <v>0</v>
      </c>
    </row>
    <row r="144" spans="1:12">
      <c r="A144" s="3" t="s">
        <v>519</v>
      </c>
      <c r="B144" s="3" t="s">
        <v>520</v>
      </c>
      <c r="C144" s="3" t="s">
        <v>521</v>
      </c>
      <c r="D144" s="3" t="s">
        <v>522</v>
      </c>
      <c r="E144" s="3" t="s">
        <v>52</v>
      </c>
      <c r="F144" s="3" t="s">
        <v>53</v>
      </c>
      <c r="G144" s="17" t="s">
        <v>18</v>
      </c>
      <c r="H144" s="3">
        <v>1</v>
      </c>
      <c r="I144" s="4">
        <v>500</v>
      </c>
      <c r="J144" s="4">
        <v>500</v>
      </c>
      <c r="K144" s="5">
        <v>0</v>
      </c>
      <c r="L144" s="6">
        <v>0</v>
      </c>
    </row>
    <row r="145" spans="1:12">
      <c r="A145" s="3" t="s">
        <v>523</v>
      </c>
      <c r="B145" s="3" t="s">
        <v>524</v>
      </c>
      <c r="C145" s="3" t="s">
        <v>524</v>
      </c>
      <c r="D145" s="3" t="s">
        <v>525</v>
      </c>
      <c r="E145" s="3" t="s">
        <v>52</v>
      </c>
      <c r="F145" s="3" t="s">
        <v>53</v>
      </c>
      <c r="G145" s="17" t="s">
        <v>18</v>
      </c>
      <c r="H145" s="3">
        <v>1</v>
      </c>
      <c r="I145" s="4">
        <v>500</v>
      </c>
      <c r="J145" s="4">
        <v>500</v>
      </c>
      <c r="K145" s="5">
        <v>0</v>
      </c>
      <c r="L145" s="6">
        <v>0</v>
      </c>
    </row>
    <row r="146" spans="1:12">
      <c r="A146" s="3" t="s">
        <v>526</v>
      </c>
      <c r="B146" s="3" t="s">
        <v>527</v>
      </c>
      <c r="C146" s="3" t="s">
        <v>527</v>
      </c>
      <c r="D146" s="3" t="s">
        <v>528</v>
      </c>
      <c r="E146" s="3" t="s">
        <v>52</v>
      </c>
      <c r="F146" s="3" t="s">
        <v>53</v>
      </c>
      <c r="G146" s="17" t="s">
        <v>18</v>
      </c>
      <c r="H146" s="3">
        <v>1</v>
      </c>
      <c r="I146" s="4">
        <v>1000</v>
      </c>
      <c r="J146" s="4">
        <v>1000</v>
      </c>
      <c r="K146" s="5">
        <v>0</v>
      </c>
      <c r="L146" s="6">
        <v>0</v>
      </c>
    </row>
    <row r="147" spans="1:12">
      <c r="A147" s="3" t="s">
        <v>529</v>
      </c>
      <c r="B147" s="3" t="s">
        <v>530</v>
      </c>
      <c r="C147" s="3" t="s">
        <v>530</v>
      </c>
      <c r="D147" s="3" t="s">
        <v>531</v>
      </c>
      <c r="E147" s="3" t="s">
        <v>52</v>
      </c>
      <c r="F147" s="3" t="s">
        <v>53</v>
      </c>
      <c r="G147" s="17" t="s">
        <v>18</v>
      </c>
      <c r="H147" s="3">
        <v>1</v>
      </c>
      <c r="I147" s="4">
        <v>2000</v>
      </c>
      <c r="J147" s="4">
        <v>2000</v>
      </c>
      <c r="K147" s="5">
        <v>0</v>
      </c>
      <c r="L147" s="6">
        <v>0</v>
      </c>
    </row>
    <row r="148" spans="1:12">
      <c r="A148" s="3" t="s">
        <v>532</v>
      </c>
      <c r="B148" s="3" t="s">
        <v>533</v>
      </c>
      <c r="C148" s="3" t="s">
        <v>533</v>
      </c>
      <c r="D148" s="3" t="s">
        <v>534</v>
      </c>
      <c r="E148" s="3" t="s">
        <v>52</v>
      </c>
      <c r="F148" s="3" t="s">
        <v>53</v>
      </c>
      <c r="G148" s="17" t="s">
        <v>18</v>
      </c>
      <c r="H148" s="3">
        <v>1</v>
      </c>
      <c r="I148" s="4">
        <v>4000</v>
      </c>
      <c r="J148" s="4">
        <v>4000</v>
      </c>
      <c r="K148" s="5">
        <v>0</v>
      </c>
      <c r="L148" s="6">
        <v>0</v>
      </c>
    </row>
    <row r="149" spans="1:12">
      <c r="A149" s="3" t="s">
        <v>535</v>
      </c>
      <c r="B149" s="3" t="s">
        <v>536</v>
      </c>
      <c r="C149" s="3" t="s">
        <v>537</v>
      </c>
      <c r="D149" s="3" t="s">
        <v>538</v>
      </c>
      <c r="E149" s="3" t="s">
        <v>52</v>
      </c>
      <c r="F149" s="3" t="s">
        <v>53</v>
      </c>
      <c r="G149" s="17" t="s">
        <v>18</v>
      </c>
      <c r="H149" s="3">
        <v>1</v>
      </c>
      <c r="I149" s="4">
        <v>500</v>
      </c>
      <c r="J149" s="4">
        <v>500</v>
      </c>
      <c r="K149" s="5">
        <v>0</v>
      </c>
      <c r="L149" s="6">
        <v>0</v>
      </c>
    </row>
    <row r="150" spans="1:12">
      <c r="A150" s="3" t="s">
        <v>539</v>
      </c>
      <c r="B150" s="3" t="s">
        <v>540</v>
      </c>
      <c r="C150" s="3" t="s">
        <v>541</v>
      </c>
      <c r="D150" s="3" t="s">
        <v>542</v>
      </c>
      <c r="E150" s="3" t="s">
        <v>52</v>
      </c>
      <c r="F150" s="3" t="s">
        <v>53</v>
      </c>
      <c r="G150" s="17" t="s">
        <v>18</v>
      </c>
      <c r="H150" s="3">
        <v>1</v>
      </c>
      <c r="I150" s="4">
        <v>3000</v>
      </c>
      <c r="J150" s="4">
        <v>3000</v>
      </c>
      <c r="K150" s="5">
        <v>0</v>
      </c>
      <c r="L150" s="6">
        <v>0</v>
      </c>
    </row>
    <row r="151" spans="1:12">
      <c r="A151" s="3" t="s">
        <v>543</v>
      </c>
      <c r="B151" s="3" t="s">
        <v>544</v>
      </c>
      <c r="C151" s="3" t="s">
        <v>545</v>
      </c>
      <c r="D151" s="3" t="s">
        <v>546</v>
      </c>
      <c r="E151" s="3" t="s">
        <v>52</v>
      </c>
      <c r="F151" s="3" t="s">
        <v>53</v>
      </c>
      <c r="G151" s="17" t="s">
        <v>18</v>
      </c>
      <c r="H151" s="3">
        <v>1</v>
      </c>
      <c r="I151" s="4">
        <v>1000</v>
      </c>
      <c r="J151" s="4">
        <v>1000</v>
      </c>
      <c r="K151" s="5">
        <v>0</v>
      </c>
      <c r="L151" s="6">
        <v>0</v>
      </c>
    </row>
    <row r="152" spans="1:12">
      <c r="A152" s="3" t="s">
        <v>547</v>
      </c>
      <c r="B152" s="3" t="s">
        <v>548</v>
      </c>
      <c r="C152" s="3" t="s">
        <v>548</v>
      </c>
      <c r="D152" s="3" t="s">
        <v>549</v>
      </c>
      <c r="E152" s="3" t="s">
        <v>52</v>
      </c>
      <c r="F152" s="3" t="s">
        <v>53</v>
      </c>
      <c r="G152" s="17" t="s">
        <v>18</v>
      </c>
      <c r="H152" s="3">
        <v>1</v>
      </c>
      <c r="I152" s="4">
        <v>500</v>
      </c>
      <c r="J152" s="4">
        <v>500</v>
      </c>
      <c r="K152" s="5">
        <v>0</v>
      </c>
      <c r="L152" s="6">
        <v>0</v>
      </c>
    </row>
    <row r="153" spans="1:12">
      <c r="A153" s="3" t="s">
        <v>550</v>
      </c>
      <c r="B153" s="3" t="s">
        <v>551</v>
      </c>
      <c r="C153" s="3" t="s">
        <v>551</v>
      </c>
      <c r="D153" s="3" t="s">
        <v>552</v>
      </c>
      <c r="E153" s="3" t="s">
        <v>52</v>
      </c>
      <c r="F153" s="3" t="s">
        <v>53</v>
      </c>
      <c r="G153" s="17" t="s">
        <v>18</v>
      </c>
      <c r="H153" s="3">
        <v>1</v>
      </c>
      <c r="I153" s="4">
        <v>1500</v>
      </c>
      <c r="J153" s="4">
        <v>1500</v>
      </c>
      <c r="K153" s="5">
        <v>0</v>
      </c>
      <c r="L153" s="6">
        <v>0</v>
      </c>
    </row>
    <row r="154" spans="1:12">
      <c r="A154" s="3" t="s">
        <v>553</v>
      </c>
      <c r="B154" s="3" t="s">
        <v>554</v>
      </c>
      <c r="C154" s="3" t="s">
        <v>555</v>
      </c>
      <c r="D154" s="3" t="s">
        <v>556</v>
      </c>
      <c r="E154" s="3" t="s">
        <v>52</v>
      </c>
      <c r="F154" s="3" t="s">
        <v>53</v>
      </c>
      <c r="G154" s="17" t="s">
        <v>18</v>
      </c>
      <c r="H154" s="3">
        <v>1</v>
      </c>
      <c r="I154" s="4">
        <v>3000</v>
      </c>
      <c r="J154" s="4">
        <v>3000</v>
      </c>
      <c r="K154" s="5">
        <v>0</v>
      </c>
      <c r="L154" s="6">
        <v>0</v>
      </c>
    </row>
    <row r="155" spans="1:12">
      <c r="A155" s="3" t="s">
        <v>557</v>
      </c>
      <c r="B155" s="3" t="s">
        <v>558</v>
      </c>
      <c r="C155" s="3" t="s">
        <v>559</v>
      </c>
      <c r="D155" s="3" t="s">
        <v>560</v>
      </c>
      <c r="E155" s="3" t="s">
        <v>52</v>
      </c>
      <c r="F155" s="3" t="s">
        <v>53</v>
      </c>
      <c r="G155" s="17" t="s">
        <v>18</v>
      </c>
      <c r="H155" s="3">
        <v>1</v>
      </c>
      <c r="I155" s="4">
        <v>2000</v>
      </c>
      <c r="J155" s="4">
        <v>2000</v>
      </c>
      <c r="K155" s="5">
        <v>0</v>
      </c>
      <c r="L155" s="6">
        <v>0</v>
      </c>
    </row>
    <row r="156" spans="1:12">
      <c r="A156" s="3" t="s">
        <v>561</v>
      </c>
      <c r="B156" s="3" t="s">
        <v>562</v>
      </c>
      <c r="C156" s="3" t="s">
        <v>563</v>
      </c>
      <c r="D156" s="3" t="s">
        <v>564</v>
      </c>
      <c r="E156" s="3" t="s">
        <v>52</v>
      </c>
      <c r="F156" s="3" t="s">
        <v>53</v>
      </c>
      <c r="G156" s="17" t="s">
        <v>18</v>
      </c>
      <c r="H156" s="3">
        <v>1</v>
      </c>
      <c r="I156" s="4">
        <v>500</v>
      </c>
      <c r="J156" s="4">
        <v>500</v>
      </c>
      <c r="K156" s="5"/>
      <c r="L156" s="6"/>
    </row>
    <row r="157" spans="1:12">
      <c r="A157" s="3" t="s">
        <v>565</v>
      </c>
      <c r="B157" s="3" t="s">
        <v>566</v>
      </c>
      <c r="C157" s="3" t="s">
        <v>567</v>
      </c>
      <c r="D157" s="3" t="s">
        <v>568</v>
      </c>
      <c r="E157" s="3" t="s">
        <v>52</v>
      </c>
      <c r="F157" s="3" t="s">
        <v>53</v>
      </c>
      <c r="G157" s="17" t="s">
        <v>18</v>
      </c>
      <c r="H157" s="3">
        <v>1</v>
      </c>
      <c r="I157" s="4">
        <v>4000</v>
      </c>
      <c r="J157" s="4">
        <v>4000</v>
      </c>
      <c r="K157" s="5">
        <v>0</v>
      </c>
      <c r="L157" s="6">
        <v>0</v>
      </c>
    </row>
    <row r="158" spans="1:12">
      <c r="A158" s="3" t="s">
        <v>569</v>
      </c>
      <c r="B158" s="3" t="s">
        <v>570</v>
      </c>
      <c r="C158" s="3" t="s">
        <v>571</v>
      </c>
      <c r="D158" s="3" t="s">
        <v>572</v>
      </c>
      <c r="E158" s="3" t="s">
        <v>52</v>
      </c>
      <c r="F158" s="3" t="s">
        <v>53</v>
      </c>
      <c r="G158" s="17" t="s">
        <v>18</v>
      </c>
      <c r="H158" s="3">
        <v>1</v>
      </c>
      <c r="I158" s="4">
        <v>2000</v>
      </c>
      <c r="J158" s="4">
        <v>2000</v>
      </c>
      <c r="K158" s="5">
        <v>0</v>
      </c>
      <c r="L158" s="6">
        <v>0</v>
      </c>
    </row>
    <row r="159" spans="1:12">
      <c r="A159" s="3" t="s">
        <v>573</v>
      </c>
      <c r="B159" s="3" t="s">
        <v>574</v>
      </c>
      <c r="C159" s="3" t="s">
        <v>574</v>
      </c>
      <c r="D159" s="3" t="s">
        <v>575</v>
      </c>
      <c r="E159" s="3" t="s">
        <v>52</v>
      </c>
      <c r="F159" s="3" t="s">
        <v>53</v>
      </c>
      <c r="G159" s="17" t="s">
        <v>18</v>
      </c>
      <c r="H159" s="3">
        <v>1</v>
      </c>
      <c r="I159" s="4">
        <v>500</v>
      </c>
      <c r="J159" s="4">
        <v>500</v>
      </c>
      <c r="K159" s="5">
        <v>0</v>
      </c>
      <c r="L159" s="6">
        <v>0</v>
      </c>
    </row>
    <row r="160" spans="1:12">
      <c r="A160" s="3" t="s">
        <v>576</v>
      </c>
      <c r="B160" s="3" t="s">
        <v>577</v>
      </c>
      <c r="C160" s="3" t="s">
        <v>578</v>
      </c>
      <c r="D160" s="3" t="s">
        <v>579</v>
      </c>
      <c r="E160" s="3" t="s">
        <v>52</v>
      </c>
      <c r="F160" s="3" t="s">
        <v>53</v>
      </c>
      <c r="G160" s="17" t="s">
        <v>18</v>
      </c>
      <c r="H160" s="3">
        <v>1</v>
      </c>
      <c r="I160" s="4">
        <v>1000</v>
      </c>
      <c r="J160" s="4">
        <v>1000</v>
      </c>
      <c r="K160" s="5">
        <v>0</v>
      </c>
      <c r="L160" s="6">
        <v>0</v>
      </c>
    </row>
    <row r="161" spans="1:12">
      <c r="A161" s="3" t="s">
        <v>580</v>
      </c>
      <c r="B161" s="3" t="s">
        <v>581</v>
      </c>
      <c r="C161" s="3" t="s">
        <v>582</v>
      </c>
      <c r="D161" s="3" t="s">
        <v>583</v>
      </c>
      <c r="E161" s="3" t="s">
        <v>52</v>
      </c>
      <c r="F161" s="3" t="s">
        <v>53</v>
      </c>
      <c r="G161" s="17" t="s">
        <v>18</v>
      </c>
      <c r="H161" s="3">
        <v>1</v>
      </c>
      <c r="I161" s="4">
        <v>2000</v>
      </c>
      <c r="J161" s="4">
        <v>2000</v>
      </c>
      <c r="K161" s="5">
        <v>0</v>
      </c>
      <c r="L161" s="6">
        <v>0</v>
      </c>
    </row>
    <row r="162" spans="1:12">
      <c r="A162" s="3" t="s">
        <v>584</v>
      </c>
      <c r="B162" s="3" t="s">
        <v>585</v>
      </c>
      <c r="C162" s="3" t="s">
        <v>585</v>
      </c>
      <c r="D162" s="3" t="s">
        <v>586</v>
      </c>
      <c r="E162" s="3" t="s">
        <v>52</v>
      </c>
      <c r="F162" s="3" t="s">
        <v>53</v>
      </c>
      <c r="G162" s="17" t="s">
        <v>18</v>
      </c>
      <c r="H162" s="3">
        <v>1</v>
      </c>
      <c r="I162" s="4">
        <v>500</v>
      </c>
      <c r="J162" s="4">
        <v>500</v>
      </c>
      <c r="K162" s="5">
        <v>0</v>
      </c>
      <c r="L162" s="6">
        <v>0</v>
      </c>
    </row>
    <row r="163" spans="1:12">
      <c r="A163" s="3" t="s">
        <v>587</v>
      </c>
      <c r="B163" s="3" t="s">
        <v>588</v>
      </c>
      <c r="C163" s="3" t="s">
        <v>588</v>
      </c>
      <c r="D163" s="3" t="s">
        <v>589</v>
      </c>
      <c r="E163" s="3" t="s">
        <v>52</v>
      </c>
      <c r="F163" s="3" t="s">
        <v>53</v>
      </c>
      <c r="G163" s="17" t="s">
        <v>18</v>
      </c>
      <c r="H163" s="3">
        <v>1</v>
      </c>
      <c r="I163" s="4">
        <v>500</v>
      </c>
      <c r="J163" s="4">
        <v>500</v>
      </c>
      <c r="K163" s="5">
        <v>0</v>
      </c>
      <c r="L163" s="6">
        <v>0</v>
      </c>
    </row>
    <row r="164" spans="1:12">
      <c r="A164" s="3" t="s">
        <v>590</v>
      </c>
      <c r="B164" s="3" t="s">
        <v>591</v>
      </c>
      <c r="C164" s="3" t="s">
        <v>592</v>
      </c>
      <c r="D164" s="3" t="s">
        <v>593</v>
      </c>
      <c r="E164" s="3" t="s">
        <v>52</v>
      </c>
      <c r="F164" s="3" t="s">
        <v>53</v>
      </c>
      <c r="G164" s="17" t="s">
        <v>18</v>
      </c>
      <c r="H164" s="3">
        <v>1</v>
      </c>
      <c r="I164" s="4">
        <v>500</v>
      </c>
      <c r="J164" s="4">
        <v>500</v>
      </c>
      <c r="K164" s="5">
        <v>0</v>
      </c>
      <c r="L164" s="6">
        <v>0</v>
      </c>
    </row>
    <row r="165" spans="1:12">
      <c r="A165" s="3" t="s">
        <v>594</v>
      </c>
      <c r="B165" s="3" t="s">
        <v>595</v>
      </c>
      <c r="C165" s="3" t="s">
        <v>595</v>
      </c>
      <c r="D165" s="3" t="s">
        <v>596</v>
      </c>
      <c r="E165" s="3" t="s">
        <v>52</v>
      </c>
      <c r="F165" s="3" t="s">
        <v>53</v>
      </c>
      <c r="G165" s="17" t="s">
        <v>18</v>
      </c>
      <c r="H165" s="3">
        <v>1</v>
      </c>
      <c r="I165" s="4">
        <v>1000</v>
      </c>
      <c r="J165" s="4">
        <v>1000</v>
      </c>
      <c r="K165" s="5">
        <v>0</v>
      </c>
      <c r="L165" s="6">
        <v>0</v>
      </c>
    </row>
    <row r="166" spans="1:12">
      <c r="A166" s="3" t="s">
        <v>597</v>
      </c>
      <c r="B166" s="3" t="s">
        <v>598</v>
      </c>
      <c r="C166" s="3" t="s">
        <v>599</v>
      </c>
      <c r="D166" s="3" t="s">
        <v>600</v>
      </c>
      <c r="E166" s="3" t="s">
        <v>52</v>
      </c>
      <c r="F166" s="3" t="s">
        <v>53</v>
      </c>
      <c r="G166" s="17" t="s">
        <v>18</v>
      </c>
      <c r="H166" s="3">
        <v>1</v>
      </c>
      <c r="I166" s="4">
        <v>1000</v>
      </c>
      <c r="J166" s="4">
        <v>1000</v>
      </c>
      <c r="K166" s="5">
        <v>0</v>
      </c>
      <c r="L166" s="6">
        <v>0</v>
      </c>
    </row>
    <row r="167" spans="1:12">
      <c r="A167" s="3" t="s">
        <v>601</v>
      </c>
      <c r="B167" s="3" t="s">
        <v>602</v>
      </c>
      <c r="C167" s="3" t="s">
        <v>602</v>
      </c>
      <c r="D167" s="3" t="s">
        <v>603</v>
      </c>
      <c r="E167" s="3" t="s">
        <v>52</v>
      </c>
      <c r="F167" s="3" t="s">
        <v>53</v>
      </c>
      <c r="G167" s="17" t="s">
        <v>18</v>
      </c>
      <c r="H167" s="3">
        <v>1</v>
      </c>
      <c r="I167" s="4">
        <v>1500</v>
      </c>
      <c r="J167" s="4">
        <v>1500</v>
      </c>
      <c r="K167" s="5">
        <v>0</v>
      </c>
      <c r="L167" s="6">
        <v>0</v>
      </c>
    </row>
    <row r="168" spans="1:12">
      <c r="A168" s="3" t="s">
        <v>604</v>
      </c>
      <c r="B168" s="3" t="s">
        <v>605</v>
      </c>
      <c r="C168" s="3" t="s">
        <v>606</v>
      </c>
      <c r="D168" s="3" t="s">
        <v>607</v>
      </c>
      <c r="E168" s="3" t="s">
        <v>52</v>
      </c>
      <c r="F168" s="3" t="s">
        <v>53</v>
      </c>
      <c r="G168" s="17" t="s">
        <v>18</v>
      </c>
      <c r="H168" s="3">
        <v>1</v>
      </c>
      <c r="I168" s="4">
        <v>1000</v>
      </c>
      <c r="J168" s="4">
        <v>1000</v>
      </c>
      <c r="K168" s="5">
        <v>0</v>
      </c>
      <c r="L168" s="6">
        <v>0</v>
      </c>
    </row>
    <row r="169" spans="1:12">
      <c r="A169" s="3" t="s">
        <v>608</v>
      </c>
      <c r="B169" s="3" t="s">
        <v>609</v>
      </c>
      <c r="C169" s="3" t="s">
        <v>610</v>
      </c>
      <c r="D169" s="3" t="s">
        <v>611</v>
      </c>
      <c r="E169" s="3" t="s">
        <v>52</v>
      </c>
      <c r="F169" s="3" t="s">
        <v>53</v>
      </c>
      <c r="G169" s="17" t="s">
        <v>18</v>
      </c>
      <c r="H169" s="3">
        <v>1</v>
      </c>
      <c r="I169" s="4">
        <v>1000</v>
      </c>
      <c r="J169" s="4">
        <v>1000</v>
      </c>
      <c r="K169" s="5">
        <v>0</v>
      </c>
      <c r="L169" s="6">
        <v>0</v>
      </c>
    </row>
    <row r="170" spans="1:12">
      <c r="A170" s="3" t="s">
        <v>612</v>
      </c>
      <c r="B170" s="3" t="s">
        <v>613</v>
      </c>
      <c r="C170" s="3" t="s">
        <v>614</v>
      </c>
      <c r="D170" s="3" t="s">
        <v>615</v>
      </c>
      <c r="E170" s="3" t="s">
        <v>52</v>
      </c>
      <c r="F170" s="3" t="s">
        <v>53</v>
      </c>
      <c r="G170" s="17" t="s">
        <v>18</v>
      </c>
      <c r="H170" s="3">
        <v>1</v>
      </c>
      <c r="I170" s="4">
        <v>500</v>
      </c>
      <c r="J170" s="4">
        <v>500</v>
      </c>
      <c r="K170" s="5">
        <v>0</v>
      </c>
      <c r="L170" s="6">
        <v>0</v>
      </c>
    </row>
    <row r="171" spans="1:12">
      <c r="A171" s="3" t="s">
        <v>616</v>
      </c>
      <c r="B171" s="3" t="s">
        <v>617</v>
      </c>
      <c r="C171" s="3">
        <v>0</v>
      </c>
      <c r="D171" s="3" t="s">
        <v>618</v>
      </c>
      <c r="E171" s="3" t="s">
        <v>52</v>
      </c>
      <c r="F171" s="3" t="s">
        <v>53</v>
      </c>
      <c r="G171" s="17" t="s">
        <v>18</v>
      </c>
      <c r="H171" s="3">
        <v>1</v>
      </c>
      <c r="I171" s="4">
        <v>4500</v>
      </c>
      <c r="J171" s="4">
        <v>4500</v>
      </c>
      <c r="K171" s="5">
        <v>0</v>
      </c>
      <c r="L171" s="6">
        <v>0</v>
      </c>
    </row>
    <row r="172" spans="1:12">
      <c r="A172" s="3" t="s">
        <v>619</v>
      </c>
      <c r="B172" s="3" t="s">
        <v>620</v>
      </c>
      <c r="C172" s="3" t="s">
        <v>620</v>
      </c>
      <c r="D172" s="3" t="s">
        <v>621</v>
      </c>
      <c r="E172" s="3" t="s">
        <v>52</v>
      </c>
      <c r="F172" s="3" t="s">
        <v>53</v>
      </c>
      <c r="G172" s="17" t="s">
        <v>18</v>
      </c>
      <c r="H172" s="3">
        <v>1</v>
      </c>
      <c r="I172" s="4">
        <v>1000</v>
      </c>
      <c r="J172" s="4">
        <v>1000</v>
      </c>
      <c r="K172" s="5">
        <v>0</v>
      </c>
      <c r="L172" s="6">
        <v>0</v>
      </c>
    </row>
    <row r="173" spans="1:12">
      <c r="A173" s="3" t="s">
        <v>622</v>
      </c>
      <c r="B173" s="3" t="s">
        <v>623</v>
      </c>
      <c r="C173" s="3" t="s">
        <v>624</v>
      </c>
      <c r="D173" s="3" t="s">
        <v>625</v>
      </c>
      <c r="E173" s="3" t="s">
        <v>52</v>
      </c>
      <c r="F173" s="3" t="s">
        <v>53</v>
      </c>
      <c r="G173" s="17" t="s">
        <v>18</v>
      </c>
      <c r="H173" s="3">
        <v>1</v>
      </c>
      <c r="I173" s="4">
        <v>500</v>
      </c>
      <c r="J173" s="4">
        <v>500</v>
      </c>
      <c r="K173" s="5">
        <v>0</v>
      </c>
      <c r="L173" s="6">
        <v>0</v>
      </c>
    </row>
    <row r="174" spans="1:12">
      <c r="A174" s="3" t="s">
        <v>626</v>
      </c>
      <c r="B174" s="3" t="s">
        <v>627</v>
      </c>
      <c r="C174" s="3" t="s">
        <v>627</v>
      </c>
      <c r="D174" s="3" t="s">
        <v>628</v>
      </c>
      <c r="E174" s="3" t="s">
        <v>52</v>
      </c>
      <c r="F174" s="3" t="s">
        <v>53</v>
      </c>
      <c r="G174" s="17" t="s">
        <v>18</v>
      </c>
      <c r="H174" s="3">
        <v>1</v>
      </c>
      <c r="I174" s="4">
        <v>500</v>
      </c>
      <c r="J174" s="4">
        <v>500</v>
      </c>
      <c r="K174" s="5">
        <v>0</v>
      </c>
      <c r="L174" s="6">
        <v>0</v>
      </c>
    </row>
    <row r="175" spans="1:12">
      <c r="A175" s="3" t="s">
        <v>629</v>
      </c>
      <c r="B175" s="3" t="s">
        <v>630</v>
      </c>
      <c r="C175" s="3" t="s">
        <v>631</v>
      </c>
      <c r="D175" s="3" t="s">
        <v>632</v>
      </c>
      <c r="E175" s="3" t="s">
        <v>52</v>
      </c>
      <c r="F175" s="3" t="s">
        <v>53</v>
      </c>
      <c r="G175" s="17" t="s">
        <v>18</v>
      </c>
      <c r="H175" s="3">
        <v>1</v>
      </c>
      <c r="I175" s="4">
        <v>500</v>
      </c>
      <c r="J175" s="4">
        <v>500</v>
      </c>
      <c r="K175" s="5">
        <v>0</v>
      </c>
      <c r="L175" s="6">
        <v>0</v>
      </c>
    </row>
    <row r="176" spans="1:12">
      <c r="A176" s="3" t="s">
        <v>633</v>
      </c>
      <c r="B176" s="3" t="s">
        <v>634</v>
      </c>
      <c r="C176" s="3" t="s">
        <v>635</v>
      </c>
      <c r="D176" s="3" t="s">
        <v>636</v>
      </c>
      <c r="E176" s="3" t="s">
        <v>52</v>
      </c>
      <c r="F176" s="3" t="s">
        <v>53</v>
      </c>
      <c r="G176" s="17" t="s">
        <v>18</v>
      </c>
      <c r="H176" s="3">
        <v>1</v>
      </c>
      <c r="I176" s="4">
        <v>4000</v>
      </c>
      <c r="J176" s="4">
        <v>4000</v>
      </c>
      <c r="K176" s="5">
        <v>0</v>
      </c>
      <c r="L176" s="6">
        <v>0</v>
      </c>
    </row>
    <row r="177" spans="1:12">
      <c r="A177" s="3" t="s">
        <v>637</v>
      </c>
      <c r="B177" s="3" t="s">
        <v>638</v>
      </c>
      <c r="C177" s="3" t="s">
        <v>639</v>
      </c>
      <c r="D177" s="3" t="s">
        <v>640</v>
      </c>
      <c r="E177" s="3" t="s">
        <v>52</v>
      </c>
      <c r="F177" s="3" t="s">
        <v>53</v>
      </c>
      <c r="G177" s="17" t="s">
        <v>18</v>
      </c>
      <c r="H177" s="3">
        <v>1</v>
      </c>
      <c r="I177" s="4">
        <v>1000</v>
      </c>
      <c r="J177" s="4">
        <v>1000</v>
      </c>
      <c r="K177" s="5">
        <v>0</v>
      </c>
      <c r="L177" s="6">
        <v>0</v>
      </c>
    </row>
    <row r="178" spans="1:12">
      <c r="A178" s="3" t="s">
        <v>641</v>
      </c>
      <c r="B178" s="3" t="s">
        <v>642</v>
      </c>
      <c r="C178" s="3" t="s">
        <v>643</v>
      </c>
      <c r="D178" s="3" t="s">
        <v>644</v>
      </c>
      <c r="E178" s="3" t="s">
        <v>52</v>
      </c>
      <c r="F178" s="3" t="s">
        <v>53</v>
      </c>
      <c r="G178" s="17" t="s">
        <v>18</v>
      </c>
      <c r="H178" s="3">
        <v>1</v>
      </c>
      <c r="I178" s="4">
        <v>1500</v>
      </c>
      <c r="J178" s="4">
        <v>1500</v>
      </c>
      <c r="K178" s="5">
        <v>0</v>
      </c>
      <c r="L178" s="6">
        <v>0</v>
      </c>
    </row>
    <row r="179" spans="1:12">
      <c r="A179" s="3" t="s">
        <v>645</v>
      </c>
      <c r="B179" s="3" t="s">
        <v>646</v>
      </c>
      <c r="C179" s="3" t="s">
        <v>647</v>
      </c>
      <c r="D179" s="3" t="s">
        <v>648</v>
      </c>
      <c r="E179" s="3" t="s">
        <v>52</v>
      </c>
      <c r="F179" s="3" t="s">
        <v>53</v>
      </c>
      <c r="G179" s="17" t="s">
        <v>18</v>
      </c>
      <c r="H179" s="3">
        <v>1</v>
      </c>
      <c r="I179" s="4">
        <v>1500</v>
      </c>
      <c r="J179" s="4">
        <v>1500</v>
      </c>
      <c r="K179" s="5">
        <v>0</v>
      </c>
      <c r="L179" s="6">
        <v>0</v>
      </c>
    </row>
    <row r="180" spans="1:12">
      <c r="A180" s="3" t="s">
        <v>649</v>
      </c>
      <c r="B180" s="3" t="s">
        <v>650</v>
      </c>
      <c r="C180" s="3" t="s">
        <v>650</v>
      </c>
      <c r="D180" s="3" t="s">
        <v>651</v>
      </c>
      <c r="E180" s="3" t="s">
        <v>52</v>
      </c>
      <c r="F180" s="3" t="s">
        <v>53</v>
      </c>
      <c r="G180" s="17" t="s">
        <v>18</v>
      </c>
      <c r="H180" s="3">
        <v>1</v>
      </c>
      <c r="I180" s="4">
        <v>2000</v>
      </c>
      <c r="J180" s="4">
        <v>2000</v>
      </c>
      <c r="K180" s="5">
        <v>0</v>
      </c>
      <c r="L180" s="6">
        <v>0</v>
      </c>
    </row>
    <row r="181" spans="1:12">
      <c r="A181" s="3" t="s">
        <v>652</v>
      </c>
      <c r="B181" s="3" t="s">
        <v>653</v>
      </c>
      <c r="C181" s="3" t="s">
        <v>654</v>
      </c>
      <c r="D181" s="3" t="s">
        <v>655</v>
      </c>
      <c r="E181" s="3" t="s">
        <v>52</v>
      </c>
      <c r="F181" s="3" t="s">
        <v>53</v>
      </c>
      <c r="G181" s="17" t="s">
        <v>18</v>
      </c>
      <c r="H181" s="3">
        <v>1</v>
      </c>
      <c r="I181" s="4">
        <v>3000</v>
      </c>
      <c r="J181" s="4">
        <v>3000</v>
      </c>
      <c r="K181" s="5">
        <v>0</v>
      </c>
      <c r="L181" s="6">
        <v>0</v>
      </c>
    </row>
    <row r="182" spans="1:12">
      <c r="A182" s="3" t="s">
        <v>656</v>
      </c>
      <c r="B182" s="3" t="s">
        <v>657</v>
      </c>
      <c r="C182" s="3" t="s">
        <v>657</v>
      </c>
      <c r="D182" s="3" t="s">
        <v>658</v>
      </c>
      <c r="E182" s="3" t="s">
        <v>52</v>
      </c>
      <c r="F182" s="3" t="s">
        <v>53</v>
      </c>
      <c r="G182" s="17" t="s">
        <v>18</v>
      </c>
      <c r="H182" s="3">
        <v>1</v>
      </c>
      <c r="I182" s="4">
        <v>500</v>
      </c>
      <c r="J182" s="4">
        <v>500</v>
      </c>
      <c r="K182" s="5">
        <v>0</v>
      </c>
      <c r="L182" s="6">
        <v>0</v>
      </c>
    </row>
    <row r="183" spans="1:12">
      <c r="A183" s="3" t="s">
        <v>659</v>
      </c>
      <c r="B183" s="3" t="s">
        <v>660</v>
      </c>
      <c r="C183" s="3" t="s">
        <v>661</v>
      </c>
      <c r="D183" s="3" t="s">
        <v>662</v>
      </c>
      <c r="E183" s="3" t="s">
        <v>52</v>
      </c>
      <c r="F183" s="3" t="s">
        <v>53</v>
      </c>
      <c r="G183" s="17" t="s">
        <v>18</v>
      </c>
      <c r="H183" s="3">
        <v>1</v>
      </c>
      <c r="I183" s="4">
        <v>500</v>
      </c>
      <c r="J183" s="4">
        <v>500</v>
      </c>
      <c r="K183" s="5"/>
      <c r="L183" s="6"/>
    </row>
    <row r="184" spans="1:12">
      <c r="A184" s="3" t="s">
        <v>663</v>
      </c>
      <c r="B184" s="3" t="s">
        <v>664</v>
      </c>
      <c r="C184" s="3" t="s">
        <v>664</v>
      </c>
      <c r="D184" s="3" t="s">
        <v>665</v>
      </c>
      <c r="E184" s="3" t="s">
        <v>52</v>
      </c>
      <c r="F184" s="3" t="s">
        <v>53</v>
      </c>
      <c r="G184" s="17" t="s">
        <v>18</v>
      </c>
      <c r="H184" s="3">
        <v>1</v>
      </c>
      <c r="I184" s="4">
        <v>1000</v>
      </c>
      <c r="J184" s="4">
        <v>1000</v>
      </c>
      <c r="K184" s="5">
        <v>0</v>
      </c>
      <c r="L184" s="6">
        <v>0</v>
      </c>
    </row>
    <row r="185" spans="1:12">
      <c r="A185" s="3" t="s">
        <v>666</v>
      </c>
      <c r="B185" s="3" t="s">
        <v>667</v>
      </c>
      <c r="C185" s="3" t="s">
        <v>667</v>
      </c>
      <c r="D185" s="3" t="s">
        <v>668</v>
      </c>
      <c r="E185" s="3" t="s">
        <v>52</v>
      </c>
      <c r="F185" s="3" t="s">
        <v>53</v>
      </c>
      <c r="G185" s="17" t="s">
        <v>18</v>
      </c>
      <c r="H185" s="3">
        <v>1</v>
      </c>
      <c r="I185" s="4">
        <v>500</v>
      </c>
      <c r="J185" s="4">
        <v>500</v>
      </c>
      <c r="K185" s="5">
        <v>0</v>
      </c>
      <c r="L185" s="6">
        <v>0</v>
      </c>
    </row>
    <row r="186" spans="1:12">
      <c r="A186" s="3" t="s">
        <v>669</v>
      </c>
      <c r="B186" s="3" t="s">
        <v>670</v>
      </c>
      <c r="C186" s="3" t="s">
        <v>670</v>
      </c>
      <c r="D186" s="3" t="s">
        <v>671</v>
      </c>
      <c r="E186" s="3" t="s">
        <v>52</v>
      </c>
      <c r="F186" s="3" t="s">
        <v>53</v>
      </c>
      <c r="G186" s="17" t="s">
        <v>18</v>
      </c>
      <c r="H186" s="3">
        <v>1</v>
      </c>
      <c r="I186" s="4">
        <v>2500</v>
      </c>
      <c r="J186" s="4">
        <v>2500</v>
      </c>
      <c r="K186" s="5">
        <v>0</v>
      </c>
      <c r="L186" s="6">
        <v>0</v>
      </c>
    </row>
    <row r="187" spans="1:12">
      <c r="A187" s="3" t="s">
        <v>672</v>
      </c>
      <c r="B187" s="3" t="s">
        <v>673</v>
      </c>
      <c r="C187" s="3" t="s">
        <v>674</v>
      </c>
      <c r="D187" s="3" t="s">
        <v>675</v>
      </c>
      <c r="E187" s="3" t="s">
        <v>52</v>
      </c>
      <c r="F187" s="3" t="s">
        <v>53</v>
      </c>
      <c r="G187" s="17" t="s">
        <v>18</v>
      </c>
      <c r="H187" s="3">
        <v>1</v>
      </c>
      <c r="I187" s="4">
        <v>2000</v>
      </c>
      <c r="J187" s="4">
        <v>2000</v>
      </c>
      <c r="K187" s="5">
        <v>0</v>
      </c>
      <c r="L187" s="6">
        <v>0</v>
      </c>
    </row>
    <row r="188" spans="1:12">
      <c r="A188" s="3" t="s">
        <v>676</v>
      </c>
      <c r="B188" s="3" t="s">
        <v>677</v>
      </c>
      <c r="C188" s="3" t="s">
        <v>678</v>
      </c>
      <c r="D188" s="3" t="s">
        <v>679</v>
      </c>
      <c r="E188" s="3" t="s">
        <v>52</v>
      </c>
      <c r="F188" s="3" t="s">
        <v>53</v>
      </c>
      <c r="G188" s="17" t="s">
        <v>18</v>
      </c>
      <c r="H188" s="3">
        <v>1</v>
      </c>
      <c r="I188" s="4">
        <v>500</v>
      </c>
      <c r="J188" s="4">
        <v>500</v>
      </c>
      <c r="K188" s="5"/>
      <c r="L188" s="6"/>
    </row>
    <row r="189" spans="1:12">
      <c r="A189" s="3" t="s">
        <v>680</v>
      </c>
      <c r="B189" s="3" t="s">
        <v>681</v>
      </c>
      <c r="C189" s="3" t="s">
        <v>682</v>
      </c>
      <c r="D189" s="3" t="s">
        <v>683</v>
      </c>
      <c r="E189" s="3" t="s">
        <v>52</v>
      </c>
      <c r="F189" s="3" t="s">
        <v>53</v>
      </c>
      <c r="G189" s="17" t="s">
        <v>18</v>
      </c>
      <c r="H189" s="3">
        <v>1</v>
      </c>
      <c r="I189" s="4">
        <v>500</v>
      </c>
      <c r="J189" s="4">
        <v>500</v>
      </c>
      <c r="K189" s="5">
        <v>0</v>
      </c>
      <c r="L189" s="6">
        <v>0</v>
      </c>
    </row>
    <row r="190" spans="1:12">
      <c r="A190" s="3" t="s">
        <v>684</v>
      </c>
      <c r="B190" s="3" t="s">
        <v>685</v>
      </c>
      <c r="C190" s="3" t="s">
        <v>686</v>
      </c>
      <c r="D190" s="3" t="s">
        <v>687</v>
      </c>
      <c r="E190" s="3" t="s">
        <v>52</v>
      </c>
      <c r="F190" s="3" t="s">
        <v>53</v>
      </c>
      <c r="G190" s="17" t="s">
        <v>18</v>
      </c>
      <c r="H190" s="3">
        <v>1</v>
      </c>
      <c r="I190" s="4">
        <v>1500</v>
      </c>
      <c r="J190" s="4">
        <v>1500</v>
      </c>
      <c r="K190" s="5">
        <v>0</v>
      </c>
      <c r="L190" s="6">
        <v>0</v>
      </c>
    </row>
    <row r="191" spans="1:12">
      <c r="A191" s="3" t="s">
        <v>688</v>
      </c>
      <c r="B191" s="3" t="s">
        <v>689</v>
      </c>
      <c r="C191" s="3" t="s">
        <v>690</v>
      </c>
      <c r="D191" s="3" t="s">
        <v>691</v>
      </c>
      <c r="E191" s="3" t="s">
        <v>52</v>
      </c>
      <c r="F191" s="3" t="s">
        <v>53</v>
      </c>
      <c r="G191" s="17" t="s">
        <v>18</v>
      </c>
      <c r="H191" s="3">
        <v>1</v>
      </c>
      <c r="I191" s="4">
        <v>1000</v>
      </c>
      <c r="J191" s="4">
        <v>1000</v>
      </c>
      <c r="K191" s="5">
        <v>0</v>
      </c>
      <c r="L191" s="6">
        <v>0</v>
      </c>
    </row>
    <row r="192" spans="1:12">
      <c r="A192" s="3" t="s">
        <v>692</v>
      </c>
      <c r="B192" s="3" t="s">
        <v>693</v>
      </c>
      <c r="C192" s="3" t="s">
        <v>693</v>
      </c>
      <c r="D192" s="3" t="s">
        <v>694</v>
      </c>
      <c r="E192" s="3" t="s">
        <v>52</v>
      </c>
      <c r="F192" s="3" t="s">
        <v>53</v>
      </c>
      <c r="G192" s="17" t="s">
        <v>18</v>
      </c>
      <c r="H192" s="3">
        <v>1</v>
      </c>
      <c r="I192" s="4">
        <v>1000</v>
      </c>
      <c r="J192" s="4">
        <v>1000</v>
      </c>
      <c r="K192" s="5">
        <v>0</v>
      </c>
      <c r="L192" s="6">
        <v>0</v>
      </c>
    </row>
    <row r="193" spans="1:12">
      <c r="A193" s="3" t="s">
        <v>695</v>
      </c>
      <c r="B193" s="3" t="s">
        <v>696</v>
      </c>
      <c r="C193" s="3" t="s">
        <v>697</v>
      </c>
      <c r="D193" s="3" t="s">
        <v>698</v>
      </c>
      <c r="E193" s="3" t="s">
        <v>52</v>
      </c>
      <c r="F193" s="3" t="s">
        <v>53</v>
      </c>
      <c r="G193" s="17" t="s">
        <v>18</v>
      </c>
      <c r="H193" s="3">
        <v>1</v>
      </c>
      <c r="I193" s="4">
        <v>500</v>
      </c>
      <c r="J193" s="4">
        <v>500</v>
      </c>
      <c r="K193" s="5">
        <v>0</v>
      </c>
      <c r="L193" s="6">
        <v>0</v>
      </c>
    </row>
    <row r="194" spans="1:12">
      <c r="A194" s="3" t="s">
        <v>699</v>
      </c>
      <c r="B194" s="3" t="s">
        <v>700</v>
      </c>
      <c r="C194" s="3" t="s">
        <v>701</v>
      </c>
      <c r="D194" s="3" t="s">
        <v>702</v>
      </c>
      <c r="E194" s="3" t="s">
        <v>52</v>
      </c>
      <c r="F194" s="3" t="s">
        <v>53</v>
      </c>
      <c r="G194" s="17" t="s">
        <v>18</v>
      </c>
      <c r="H194" s="3">
        <v>1</v>
      </c>
      <c r="I194" s="4">
        <v>1000</v>
      </c>
      <c r="J194" s="4">
        <v>1000</v>
      </c>
      <c r="K194" s="5">
        <v>0</v>
      </c>
      <c r="L194" s="6">
        <v>0</v>
      </c>
    </row>
    <row r="195" spans="1:12">
      <c r="A195" s="3" t="s">
        <v>703</v>
      </c>
      <c r="B195" s="3" t="s">
        <v>704</v>
      </c>
      <c r="C195" s="3" t="s">
        <v>705</v>
      </c>
      <c r="D195" s="3" t="s">
        <v>706</v>
      </c>
      <c r="E195" s="3" t="s">
        <v>52</v>
      </c>
      <c r="F195" s="3" t="s">
        <v>53</v>
      </c>
      <c r="G195" s="17" t="s">
        <v>18</v>
      </c>
      <c r="H195" s="3">
        <v>1</v>
      </c>
      <c r="I195" s="4">
        <v>2500</v>
      </c>
      <c r="J195" s="4">
        <v>2500</v>
      </c>
      <c r="K195" s="5">
        <v>0</v>
      </c>
      <c r="L195" s="6">
        <v>0</v>
      </c>
    </row>
    <row r="196" spans="1:12">
      <c r="A196" s="3" t="s">
        <v>707</v>
      </c>
      <c r="B196" s="3" t="s">
        <v>708</v>
      </c>
      <c r="C196" s="3" t="s">
        <v>708</v>
      </c>
      <c r="D196" s="3" t="s">
        <v>709</v>
      </c>
      <c r="E196" s="3" t="s">
        <v>52</v>
      </c>
      <c r="F196" s="3" t="s">
        <v>53</v>
      </c>
      <c r="G196" s="17" t="s">
        <v>18</v>
      </c>
      <c r="H196" s="3">
        <v>1</v>
      </c>
      <c r="I196" s="4">
        <v>3500</v>
      </c>
      <c r="J196" s="4">
        <v>3500</v>
      </c>
      <c r="K196" s="5">
        <v>0</v>
      </c>
      <c r="L196" s="6">
        <v>0</v>
      </c>
    </row>
    <row r="197" spans="1:12">
      <c r="A197" s="3" t="s">
        <v>710</v>
      </c>
      <c r="B197" s="3" t="s">
        <v>711</v>
      </c>
      <c r="C197" s="3" t="s">
        <v>711</v>
      </c>
      <c r="D197" s="3" t="s">
        <v>712</v>
      </c>
      <c r="E197" s="3" t="s">
        <v>52</v>
      </c>
      <c r="F197" s="3" t="s">
        <v>53</v>
      </c>
      <c r="G197" s="17" t="s">
        <v>18</v>
      </c>
      <c r="H197" s="3">
        <v>1</v>
      </c>
      <c r="I197" s="4">
        <v>1000</v>
      </c>
      <c r="J197" s="4">
        <v>1000</v>
      </c>
      <c r="K197" s="5">
        <v>0</v>
      </c>
      <c r="L197" s="6">
        <v>0</v>
      </c>
    </row>
    <row r="198" spans="1:12">
      <c r="A198" s="3" t="s">
        <v>713</v>
      </c>
      <c r="B198" s="3" t="s">
        <v>714</v>
      </c>
      <c r="C198" s="3" t="s">
        <v>715</v>
      </c>
      <c r="D198" s="3" t="s">
        <v>716</v>
      </c>
      <c r="E198" s="3" t="s">
        <v>52</v>
      </c>
      <c r="F198" s="3" t="s">
        <v>53</v>
      </c>
      <c r="G198" s="17" t="s">
        <v>18</v>
      </c>
      <c r="H198" s="3">
        <v>1</v>
      </c>
      <c r="I198" s="4">
        <v>500</v>
      </c>
      <c r="J198" s="4">
        <v>500</v>
      </c>
      <c r="K198" s="5">
        <v>0</v>
      </c>
      <c r="L198" s="6">
        <v>0</v>
      </c>
    </row>
    <row r="199" spans="1:12">
      <c r="A199" s="3" t="s">
        <v>717</v>
      </c>
      <c r="B199" s="3" t="s">
        <v>718</v>
      </c>
      <c r="C199" s="3" t="s">
        <v>719</v>
      </c>
      <c r="D199" s="3" t="s">
        <v>720</v>
      </c>
      <c r="E199" s="3" t="s">
        <v>52</v>
      </c>
      <c r="F199" s="3" t="s">
        <v>53</v>
      </c>
      <c r="G199" s="17" t="s">
        <v>18</v>
      </c>
      <c r="H199" s="3">
        <v>1</v>
      </c>
      <c r="I199" s="4">
        <v>500</v>
      </c>
      <c r="J199" s="4">
        <v>500</v>
      </c>
      <c r="K199" s="5">
        <v>0</v>
      </c>
      <c r="L199" s="6">
        <v>0</v>
      </c>
    </row>
    <row r="200" spans="1:12">
      <c r="A200" s="3" t="s">
        <v>721</v>
      </c>
      <c r="B200" s="3" t="s">
        <v>722</v>
      </c>
      <c r="C200" s="3" t="s">
        <v>723</v>
      </c>
      <c r="D200" s="3" t="s">
        <v>724</v>
      </c>
      <c r="E200" s="3" t="s">
        <v>52</v>
      </c>
      <c r="F200" s="3" t="s">
        <v>53</v>
      </c>
      <c r="G200" s="17" t="s">
        <v>18</v>
      </c>
      <c r="H200" s="3">
        <v>1</v>
      </c>
      <c r="I200" s="4">
        <v>500</v>
      </c>
      <c r="J200" s="4">
        <v>500</v>
      </c>
      <c r="K200" s="5">
        <v>0</v>
      </c>
      <c r="L200" s="6">
        <v>0</v>
      </c>
    </row>
    <row r="201" spans="1:12">
      <c r="A201" s="3" t="s">
        <v>725</v>
      </c>
      <c r="B201" s="3" t="s">
        <v>726</v>
      </c>
      <c r="C201" s="3" t="s">
        <v>726</v>
      </c>
      <c r="D201" s="3" t="s">
        <v>727</v>
      </c>
      <c r="E201" s="3" t="s">
        <v>52</v>
      </c>
      <c r="F201" s="3" t="s">
        <v>53</v>
      </c>
      <c r="G201" s="17" t="s">
        <v>18</v>
      </c>
      <c r="H201" s="3">
        <v>1</v>
      </c>
      <c r="I201" s="4">
        <v>500</v>
      </c>
      <c r="J201" s="4">
        <v>500</v>
      </c>
      <c r="K201" s="5">
        <v>0</v>
      </c>
      <c r="L201" s="6">
        <v>0</v>
      </c>
    </row>
    <row r="202" spans="1:12">
      <c r="A202" s="3" t="s">
        <v>728</v>
      </c>
      <c r="B202" s="3" t="s">
        <v>729</v>
      </c>
      <c r="C202" s="3" t="s">
        <v>730</v>
      </c>
      <c r="D202" s="3" t="s">
        <v>731</v>
      </c>
      <c r="E202" s="3" t="s">
        <v>52</v>
      </c>
      <c r="F202" s="3" t="s">
        <v>53</v>
      </c>
      <c r="G202" s="17" t="s">
        <v>18</v>
      </c>
      <c r="H202" s="3">
        <v>1</v>
      </c>
      <c r="I202" s="4">
        <v>1000</v>
      </c>
      <c r="J202" s="4">
        <v>1000</v>
      </c>
      <c r="K202" s="5">
        <v>0</v>
      </c>
      <c r="L202" s="6">
        <v>0</v>
      </c>
    </row>
    <row r="203" spans="1:12">
      <c r="A203" s="3" t="s">
        <v>732</v>
      </c>
      <c r="B203" s="3" t="s">
        <v>733</v>
      </c>
      <c r="C203" s="3" t="s">
        <v>734</v>
      </c>
      <c r="D203" s="3" t="s">
        <v>735</v>
      </c>
      <c r="E203" s="3" t="s">
        <v>52</v>
      </c>
      <c r="F203" s="3" t="s">
        <v>53</v>
      </c>
      <c r="G203" s="17" t="s">
        <v>18</v>
      </c>
      <c r="H203" s="3">
        <v>1</v>
      </c>
      <c r="I203" s="4">
        <v>500</v>
      </c>
      <c r="J203" s="4">
        <v>500</v>
      </c>
      <c r="K203" s="5">
        <v>0</v>
      </c>
      <c r="L203" s="6">
        <v>0</v>
      </c>
    </row>
    <row r="204" spans="1:12">
      <c r="A204" s="11" t="s">
        <v>736</v>
      </c>
      <c r="B204" s="11" t="s">
        <v>737</v>
      </c>
      <c r="C204" s="11">
        <v>0</v>
      </c>
      <c r="D204" s="11" t="e">
        <v>#N/A</v>
      </c>
      <c r="E204" s="11" t="s">
        <v>447</v>
      </c>
      <c r="F204" s="11" t="s">
        <v>448</v>
      </c>
      <c r="G204" s="17"/>
      <c r="H204" s="11">
        <v>1</v>
      </c>
      <c r="I204" s="16">
        <v>500</v>
      </c>
      <c r="J204" s="16">
        <v>500</v>
      </c>
      <c r="K204" s="9" t="s">
        <v>449</v>
      </c>
      <c r="L204" s="6" t="s">
        <v>736</v>
      </c>
    </row>
    <row r="205" spans="1:12">
      <c r="A205" s="3" t="s">
        <v>738</v>
      </c>
      <c r="B205" s="3" t="s">
        <v>739</v>
      </c>
      <c r="C205" s="3" t="s">
        <v>739</v>
      </c>
      <c r="D205" s="3" t="s">
        <v>740</v>
      </c>
      <c r="E205" s="3" t="s">
        <v>52</v>
      </c>
      <c r="F205" s="3" t="s">
        <v>53</v>
      </c>
      <c r="G205" s="17" t="s">
        <v>18</v>
      </c>
      <c r="H205" s="3">
        <v>1</v>
      </c>
      <c r="I205" s="4">
        <v>2000</v>
      </c>
      <c r="J205" s="4">
        <v>2000</v>
      </c>
      <c r="K205" s="5">
        <v>0</v>
      </c>
      <c r="L205" s="6">
        <v>0</v>
      </c>
    </row>
    <row r="206" spans="1:12">
      <c r="A206" s="3" t="s">
        <v>741</v>
      </c>
      <c r="B206" s="3" t="s">
        <v>742</v>
      </c>
      <c r="C206" s="3" t="s">
        <v>743</v>
      </c>
      <c r="D206" s="3" t="s">
        <v>744</v>
      </c>
      <c r="E206" s="3" t="s">
        <v>52</v>
      </c>
      <c r="F206" s="3" t="s">
        <v>53</v>
      </c>
      <c r="G206" s="17" t="s">
        <v>18</v>
      </c>
      <c r="H206" s="3">
        <v>1</v>
      </c>
      <c r="I206" s="4">
        <v>1000</v>
      </c>
      <c r="J206" s="4">
        <v>1000</v>
      </c>
      <c r="K206" s="5">
        <v>0</v>
      </c>
      <c r="L206" s="6">
        <v>0</v>
      </c>
    </row>
    <row r="207" spans="1:12">
      <c r="A207" s="3" t="s">
        <v>745</v>
      </c>
      <c r="B207" s="3" t="s">
        <v>746</v>
      </c>
      <c r="C207" s="3" t="s">
        <v>747</v>
      </c>
      <c r="D207" s="3" t="s">
        <v>748</v>
      </c>
      <c r="E207" s="3" t="s">
        <v>52</v>
      </c>
      <c r="F207" s="3" t="s">
        <v>53</v>
      </c>
      <c r="G207" s="17" t="s">
        <v>18</v>
      </c>
      <c r="H207" s="3">
        <v>1</v>
      </c>
      <c r="I207" s="4">
        <v>1000</v>
      </c>
      <c r="J207" s="4">
        <v>1000</v>
      </c>
      <c r="K207" s="5">
        <v>0</v>
      </c>
      <c r="L207" s="6">
        <v>0</v>
      </c>
    </row>
    <row r="208" spans="1:12">
      <c r="A208" s="3" t="s">
        <v>749</v>
      </c>
      <c r="B208" s="3" t="s">
        <v>750</v>
      </c>
      <c r="C208" s="3" t="s">
        <v>751</v>
      </c>
      <c r="D208" s="3" t="s">
        <v>752</v>
      </c>
      <c r="E208" s="3" t="s">
        <v>52</v>
      </c>
      <c r="F208" s="3" t="s">
        <v>53</v>
      </c>
      <c r="G208" s="17" t="s">
        <v>18</v>
      </c>
      <c r="H208" s="3">
        <v>1</v>
      </c>
      <c r="I208" s="4">
        <v>500</v>
      </c>
      <c r="J208" s="4">
        <v>500</v>
      </c>
      <c r="K208" s="5"/>
      <c r="L208" s="6"/>
    </row>
    <row r="209" spans="1:12">
      <c r="A209" s="3" t="s">
        <v>753</v>
      </c>
      <c r="B209" s="3" t="s">
        <v>754</v>
      </c>
      <c r="C209" s="3" t="s">
        <v>754</v>
      </c>
      <c r="D209" s="3" t="s">
        <v>755</v>
      </c>
      <c r="E209" s="3" t="s">
        <v>52</v>
      </c>
      <c r="F209" s="3" t="s">
        <v>53</v>
      </c>
      <c r="G209" s="17" t="s">
        <v>18</v>
      </c>
      <c r="H209" s="3">
        <v>1</v>
      </c>
      <c r="I209" s="4">
        <v>1000</v>
      </c>
      <c r="J209" s="4">
        <v>1000</v>
      </c>
      <c r="K209" s="5">
        <v>0</v>
      </c>
      <c r="L209" s="6">
        <v>0</v>
      </c>
    </row>
    <row r="210" spans="1:12">
      <c r="A210" s="3" t="s">
        <v>756</v>
      </c>
      <c r="B210" s="3" t="s">
        <v>757</v>
      </c>
      <c r="C210" s="3" t="s">
        <v>758</v>
      </c>
      <c r="D210" s="3" t="s">
        <v>759</v>
      </c>
      <c r="E210" s="3" t="s">
        <v>52</v>
      </c>
      <c r="F210" s="3" t="s">
        <v>53</v>
      </c>
      <c r="G210" s="17" t="s">
        <v>18</v>
      </c>
      <c r="H210" s="3">
        <v>1</v>
      </c>
      <c r="I210" s="4">
        <v>500</v>
      </c>
      <c r="J210" s="4">
        <v>500</v>
      </c>
      <c r="K210" s="5">
        <v>0</v>
      </c>
      <c r="L210" s="6">
        <v>0</v>
      </c>
    </row>
    <row r="211" spans="1:12">
      <c r="A211" s="3" t="s">
        <v>760</v>
      </c>
      <c r="B211" s="3" t="s">
        <v>761</v>
      </c>
      <c r="C211" s="3" t="s">
        <v>761</v>
      </c>
      <c r="D211" s="3" t="s">
        <v>762</v>
      </c>
      <c r="E211" s="3" t="s">
        <v>52</v>
      </c>
      <c r="F211" s="3" t="s">
        <v>53</v>
      </c>
      <c r="G211" s="17" t="s">
        <v>18</v>
      </c>
      <c r="H211" s="3">
        <v>1</v>
      </c>
      <c r="I211" s="4">
        <v>1000</v>
      </c>
      <c r="J211" s="4">
        <v>1000</v>
      </c>
      <c r="K211" s="5">
        <v>0</v>
      </c>
      <c r="L211" s="6">
        <v>0</v>
      </c>
    </row>
    <row r="212" spans="1:12">
      <c r="A212" s="3" t="s">
        <v>763</v>
      </c>
      <c r="B212" s="3" t="s">
        <v>764</v>
      </c>
      <c r="C212" s="3" t="s">
        <v>765</v>
      </c>
      <c r="D212" s="3" t="s">
        <v>766</v>
      </c>
      <c r="E212" s="3" t="s">
        <v>52</v>
      </c>
      <c r="F212" s="3" t="s">
        <v>53</v>
      </c>
      <c r="G212" s="17" t="s">
        <v>18</v>
      </c>
      <c r="H212" s="3">
        <v>1</v>
      </c>
      <c r="I212" s="4">
        <v>1500</v>
      </c>
      <c r="J212" s="4">
        <v>1500</v>
      </c>
      <c r="K212" s="5">
        <v>0</v>
      </c>
      <c r="L212" s="6">
        <v>0</v>
      </c>
    </row>
    <row r="213" spans="1:12">
      <c r="A213" s="3" t="s">
        <v>767</v>
      </c>
      <c r="B213" s="3" t="s">
        <v>768</v>
      </c>
      <c r="C213" s="3" t="s">
        <v>769</v>
      </c>
      <c r="D213" s="3" t="s">
        <v>770</v>
      </c>
      <c r="E213" s="3" t="s">
        <v>52</v>
      </c>
      <c r="F213" s="3" t="s">
        <v>53</v>
      </c>
      <c r="G213" s="17" t="s">
        <v>18</v>
      </c>
      <c r="H213" s="3">
        <v>1</v>
      </c>
      <c r="I213" s="4">
        <v>1000</v>
      </c>
      <c r="J213" s="4">
        <v>1000</v>
      </c>
      <c r="K213" s="5">
        <v>0</v>
      </c>
      <c r="L213" s="6">
        <v>0</v>
      </c>
    </row>
    <row r="214" spans="1:12">
      <c r="A214" s="3" t="s">
        <v>771</v>
      </c>
      <c r="B214" s="3" t="s">
        <v>772</v>
      </c>
      <c r="C214" s="3" t="s">
        <v>773</v>
      </c>
      <c r="D214" s="3" t="s">
        <v>774</v>
      </c>
      <c r="E214" s="3" t="s">
        <v>52</v>
      </c>
      <c r="F214" s="3" t="s">
        <v>53</v>
      </c>
      <c r="G214" s="17" t="s">
        <v>18</v>
      </c>
      <c r="H214" s="3">
        <v>1</v>
      </c>
      <c r="I214" s="4">
        <v>500</v>
      </c>
      <c r="J214" s="4">
        <v>500</v>
      </c>
      <c r="K214" s="5">
        <v>0</v>
      </c>
      <c r="L214" s="6">
        <v>0</v>
      </c>
    </row>
    <row r="215" spans="1:12">
      <c r="A215" s="3" t="s">
        <v>775</v>
      </c>
      <c r="B215" s="3" t="s">
        <v>776</v>
      </c>
      <c r="C215" s="3" t="s">
        <v>777</v>
      </c>
      <c r="D215" s="3" t="s">
        <v>778</v>
      </c>
      <c r="E215" s="3" t="s">
        <v>52</v>
      </c>
      <c r="F215" s="3" t="s">
        <v>53</v>
      </c>
      <c r="G215" s="17" t="s">
        <v>18</v>
      </c>
      <c r="H215" s="3">
        <v>1</v>
      </c>
      <c r="I215" s="4">
        <v>500</v>
      </c>
      <c r="J215" s="4">
        <v>500</v>
      </c>
      <c r="K215" s="5">
        <v>0</v>
      </c>
      <c r="L215" s="6">
        <v>0</v>
      </c>
    </row>
    <row r="216" spans="1:12">
      <c r="A216" s="3" t="s">
        <v>779</v>
      </c>
      <c r="B216" s="3" t="s">
        <v>780</v>
      </c>
      <c r="C216" s="3" t="s">
        <v>780</v>
      </c>
      <c r="D216" s="3" t="s">
        <v>781</v>
      </c>
      <c r="E216" s="3" t="s">
        <v>52</v>
      </c>
      <c r="F216" s="3" t="s">
        <v>53</v>
      </c>
      <c r="G216" s="17" t="s">
        <v>18</v>
      </c>
      <c r="H216" s="3">
        <v>1</v>
      </c>
      <c r="I216" s="4">
        <v>1000</v>
      </c>
      <c r="J216" s="4">
        <v>1000</v>
      </c>
      <c r="K216" s="5">
        <v>0</v>
      </c>
      <c r="L216" s="6">
        <v>0</v>
      </c>
    </row>
    <row r="217" spans="1:12">
      <c r="A217" s="3" t="s">
        <v>782</v>
      </c>
      <c r="B217" s="3" t="s">
        <v>783</v>
      </c>
      <c r="C217" s="3" t="s">
        <v>784</v>
      </c>
      <c r="D217" s="3" t="s">
        <v>785</v>
      </c>
      <c r="E217" s="3" t="s">
        <v>52</v>
      </c>
      <c r="F217" s="3" t="s">
        <v>53</v>
      </c>
      <c r="G217" s="17" t="s">
        <v>18</v>
      </c>
      <c r="H217" s="3">
        <v>1</v>
      </c>
      <c r="I217" s="4">
        <v>500</v>
      </c>
      <c r="J217" s="4">
        <v>500</v>
      </c>
      <c r="K217" s="5">
        <v>0</v>
      </c>
      <c r="L217" s="6">
        <v>0</v>
      </c>
    </row>
    <row r="218" spans="1:12">
      <c r="A218" s="3" t="s">
        <v>786</v>
      </c>
      <c r="B218" s="3" t="s">
        <v>787</v>
      </c>
      <c r="C218" s="3" t="s">
        <v>788</v>
      </c>
      <c r="D218" s="3" t="s">
        <v>789</v>
      </c>
      <c r="E218" s="3" t="s">
        <v>52</v>
      </c>
      <c r="F218" s="3" t="s">
        <v>53</v>
      </c>
      <c r="G218" s="17" t="s">
        <v>18</v>
      </c>
      <c r="H218" s="3">
        <v>1</v>
      </c>
      <c r="I218" s="4">
        <v>2000</v>
      </c>
      <c r="J218" s="4">
        <v>2000</v>
      </c>
      <c r="K218" s="5">
        <v>0</v>
      </c>
      <c r="L218" s="6">
        <v>0</v>
      </c>
    </row>
    <row r="219" spans="1:12">
      <c r="A219" s="3" t="s">
        <v>790</v>
      </c>
      <c r="B219" s="3" t="s">
        <v>791</v>
      </c>
      <c r="C219" s="3" t="s">
        <v>791</v>
      </c>
      <c r="D219" s="3" t="s">
        <v>792</v>
      </c>
      <c r="E219" s="3" t="s">
        <v>52</v>
      </c>
      <c r="F219" s="3" t="s">
        <v>53</v>
      </c>
      <c r="G219" s="17" t="s">
        <v>18</v>
      </c>
      <c r="H219" s="3">
        <v>1</v>
      </c>
      <c r="I219" s="4">
        <v>1000</v>
      </c>
      <c r="J219" s="4">
        <v>1000</v>
      </c>
      <c r="K219" s="5">
        <v>0</v>
      </c>
      <c r="L219" s="6">
        <v>0</v>
      </c>
    </row>
    <row r="220" spans="1:12">
      <c r="A220" s="3" t="s">
        <v>793</v>
      </c>
      <c r="B220" s="3" t="s">
        <v>794</v>
      </c>
      <c r="C220" s="3" t="s">
        <v>795</v>
      </c>
      <c r="D220" s="3" t="s">
        <v>796</v>
      </c>
      <c r="E220" s="3" t="s">
        <v>52</v>
      </c>
      <c r="F220" s="3" t="s">
        <v>53</v>
      </c>
      <c r="G220" s="17" t="s">
        <v>18</v>
      </c>
      <c r="H220" s="3">
        <v>1</v>
      </c>
      <c r="I220" s="4">
        <v>3000</v>
      </c>
      <c r="J220" s="4">
        <v>3000</v>
      </c>
      <c r="K220" s="5">
        <v>0</v>
      </c>
      <c r="L220" s="6">
        <v>0</v>
      </c>
    </row>
    <row r="221" spans="1:12">
      <c r="A221" s="3" t="s">
        <v>797</v>
      </c>
      <c r="B221" s="3" t="s">
        <v>798</v>
      </c>
      <c r="C221" s="3" t="s">
        <v>799</v>
      </c>
      <c r="D221" s="3" t="s">
        <v>800</v>
      </c>
      <c r="E221" s="3" t="s">
        <v>52</v>
      </c>
      <c r="F221" s="3" t="s">
        <v>53</v>
      </c>
      <c r="G221" s="17" t="s">
        <v>18</v>
      </c>
      <c r="H221" s="3">
        <v>1</v>
      </c>
      <c r="I221" s="4">
        <v>1000</v>
      </c>
      <c r="J221" s="4">
        <v>1000</v>
      </c>
      <c r="K221" s="5">
        <v>0</v>
      </c>
      <c r="L221" s="6">
        <v>0</v>
      </c>
    </row>
    <row r="222" spans="1:12">
      <c r="A222" s="3" t="s">
        <v>801</v>
      </c>
      <c r="B222" s="3" t="s">
        <v>802</v>
      </c>
      <c r="C222" s="3" t="s">
        <v>803</v>
      </c>
      <c r="D222" s="3" t="s">
        <v>804</v>
      </c>
      <c r="E222" s="3" t="s">
        <v>52</v>
      </c>
      <c r="F222" s="3" t="s">
        <v>53</v>
      </c>
      <c r="G222" s="17" t="s">
        <v>18</v>
      </c>
      <c r="H222" s="3">
        <v>1</v>
      </c>
      <c r="I222" s="4">
        <v>1000</v>
      </c>
      <c r="J222" s="4">
        <v>1000</v>
      </c>
      <c r="K222" s="5">
        <v>0</v>
      </c>
      <c r="L222" s="6">
        <v>0</v>
      </c>
    </row>
    <row r="223" spans="1:12">
      <c r="A223" s="3" t="s">
        <v>805</v>
      </c>
      <c r="B223" s="3" t="s">
        <v>806</v>
      </c>
      <c r="C223" s="3" t="s">
        <v>806</v>
      </c>
      <c r="D223" s="3" t="s">
        <v>807</v>
      </c>
      <c r="E223" s="3" t="s">
        <v>52</v>
      </c>
      <c r="F223" s="3" t="s">
        <v>53</v>
      </c>
      <c r="G223" s="17" t="s">
        <v>18</v>
      </c>
      <c r="H223" s="3">
        <v>1</v>
      </c>
      <c r="I223" s="4">
        <v>6500</v>
      </c>
      <c r="J223" s="4">
        <v>6500</v>
      </c>
      <c r="K223" s="5">
        <v>0</v>
      </c>
      <c r="L223" s="6">
        <v>0</v>
      </c>
    </row>
    <row r="224" spans="1:12">
      <c r="A224" s="3" t="s">
        <v>808</v>
      </c>
      <c r="B224" s="3" t="s">
        <v>809</v>
      </c>
      <c r="C224" s="3" t="s">
        <v>809</v>
      </c>
      <c r="D224" s="3" t="s">
        <v>810</v>
      </c>
      <c r="E224" s="3" t="s">
        <v>52</v>
      </c>
      <c r="F224" s="3" t="s">
        <v>53</v>
      </c>
      <c r="G224" s="17" t="s">
        <v>18</v>
      </c>
      <c r="H224" s="3">
        <v>1</v>
      </c>
      <c r="I224" s="4">
        <v>1500</v>
      </c>
      <c r="J224" s="4">
        <v>1500</v>
      </c>
      <c r="K224" s="5">
        <v>0</v>
      </c>
      <c r="L224" s="6">
        <v>0</v>
      </c>
    </row>
    <row r="225" spans="1:12">
      <c r="A225" s="3" t="s">
        <v>811</v>
      </c>
      <c r="B225" s="3" t="s">
        <v>812</v>
      </c>
      <c r="C225" s="3" t="s">
        <v>812</v>
      </c>
      <c r="D225" s="3" t="s">
        <v>813</v>
      </c>
      <c r="E225" s="3" t="s">
        <v>52</v>
      </c>
      <c r="F225" s="3" t="s">
        <v>53</v>
      </c>
      <c r="G225" s="17" t="s">
        <v>18</v>
      </c>
      <c r="H225" s="3">
        <v>1</v>
      </c>
      <c r="I225" s="4">
        <v>500</v>
      </c>
      <c r="J225" s="4">
        <v>500</v>
      </c>
      <c r="K225" s="5">
        <v>0</v>
      </c>
      <c r="L225" s="6">
        <v>0</v>
      </c>
    </row>
    <row r="226" spans="1:12">
      <c r="A226" s="3" t="s">
        <v>814</v>
      </c>
      <c r="B226" s="3" t="s">
        <v>815</v>
      </c>
      <c r="C226" s="3" t="s">
        <v>816</v>
      </c>
      <c r="D226" s="3" t="s">
        <v>817</v>
      </c>
      <c r="E226" s="3" t="s">
        <v>52</v>
      </c>
      <c r="F226" s="3" t="s">
        <v>53</v>
      </c>
      <c r="G226" s="17" t="s">
        <v>18</v>
      </c>
      <c r="H226" s="3">
        <v>1</v>
      </c>
      <c r="I226" s="4">
        <v>500</v>
      </c>
      <c r="J226" s="4">
        <v>500</v>
      </c>
      <c r="K226" s="5">
        <v>0</v>
      </c>
      <c r="L226" s="6">
        <v>0</v>
      </c>
    </row>
    <row r="227" spans="1:12">
      <c r="A227" s="3" t="s">
        <v>818</v>
      </c>
      <c r="B227" s="3" t="s">
        <v>819</v>
      </c>
      <c r="C227" s="3" t="s">
        <v>820</v>
      </c>
      <c r="D227" s="3" t="s">
        <v>821</v>
      </c>
      <c r="E227" s="3" t="s">
        <v>52</v>
      </c>
      <c r="F227" s="3" t="s">
        <v>53</v>
      </c>
      <c r="G227" s="17" t="s">
        <v>18</v>
      </c>
      <c r="H227" s="3">
        <v>1</v>
      </c>
      <c r="I227" s="4">
        <v>1000</v>
      </c>
      <c r="J227" s="4">
        <v>1000</v>
      </c>
      <c r="K227" s="5">
        <v>0</v>
      </c>
      <c r="L227" s="6">
        <v>0</v>
      </c>
    </row>
    <row r="228" spans="1:12">
      <c r="A228" s="3" t="s">
        <v>822</v>
      </c>
      <c r="B228" s="3" t="s">
        <v>823</v>
      </c>
      <c r="C228" s="3" t="s">
        <v>823</v>
      </c>
      <c r="D228" s="3" t="s">
        <v>824</v>
      </c>
      <c r="E228" s="3" t="s">
        <v>52</v>
      </c>
      <c r="F228" s="3" t="s">
        <v>53</v>
      </c>
      <c r="G228" s="17" t="s">
        <v>18</v>
      </c>
      <c r="H228" s="3">
        <v>1</v>
      </c>
      <c r="I228" s="4">
        <v>500</v>
      </c>
      <c r="J228" s="4">
        <v>500</v>
      </c>
      <c r="K228" s="5">
        <v>0</v>
      </c>
      <c r="L228" s="6">
        <v>0</v>
      </c>
    </row>
    <row r="229" spans="1:12">
      <c r="A229" s="3" t="s">
        <v>825</v>
      </c>
      <c r="B229" s="3" t="s">
        <v>826</v>
      </c>
      <c r="C229" s="3" t="s">
        <v>826</v>
      </c>
      <c r="D229" s="3" t="s">
        <v>827</v>
      </c>
      <c r="E229" s="3" t="s">
        <v>52</v>
      </c>
      <c r="F229" s="3" t="s">
        <v>53</v>
      </c>
      <c r="G229" s="17" t="s">
        <v>18</v>
      </c>
      <c r="H229" s="3">
        <v>1</v>
      </c>
      <c r="I229" s="4">
        <v>4500</v>
      </c>
      <c r="J229" s="4">
        <v>4500</v>
      </c>
      <c r="K229" s="5">
        <v>0</v>
      </c>
      <c r="L229" s="6">
        <v>0</v>
      </c>
    </row>
    <row r="230" spans="1:12">
      <c r="A230" s="3" t="s">
        <v>828</v>
      </c>
      <c r="B230" s="3" t="s">
        <v>829</v>
      </c>
      <c r="C230" s="3" t="s">
        <v>830</v>
      </c>
      <c r="D230" s="3" t="s">
        <v>831</v>
      </c>
      <c r="E230" s="3" t="s">
        <v>52</v>
      </c>
      <c r="F230" s="3" t="s">
        <v>53</v>
      </c>
      <c r="G230" s="17" t="s">
        <v>18</v>
      </c>
      <c r="H230" s="3">
        <v>1</v>
      </c>
      <c r="I230" s="4">
        <v>500</v>
      </c>
      <c r="J230" s="4">
        <v>500</v>
      </c>
      <c r="K230" s="5">
        <v>0</v>
      </c>
      <c r="L230" s="6">
        <v>0</v>
      </c>
    </row>
    <row r="231" spans="1:12">
      <c r="A231" s="3" t="s">
        <v>832</v>
      </c>
      <c r="B231" s="3" t="s">
        <v>833</v>
      </c>
      <c r="C231" s="3" t="s">
        <v>833</v>
      </c>
      <c r="D231" s="3" t="s">
        <v>834</v>
      </c>
      <c r="E231" s="3" t="s">
        <v>52</v>
      </c>
      <c r="F231" s="3" t="s">
        <v>53</v>
      </c>
      <c r="G231" s="17" t="s">
        <v>18</v>
      </c>
      <c r="H231" s="3">
        <v>1</v>
      </c>
      <c r="I231" s="4">
        <v>500</v>
      </c>
      <c r="J231" s="4">
        <v>500</v>
      </c>
      <c r="K231" s="5">
        <v>0</v>
      </c>
      <c r="L231" s="6">
        <v>0</v>
      </c>
    </row>
    <row r="232" spans="1:12">
      <c r="A232" s="3" t="s">
        <v>835</v>
      </c>
      <c r="B232" s="3" t="s">
        <v>836</v>
      </c>
      <c r="C232" s="3" t="s">
        <v>837</v>
      </c>
      <c r="D232" s="3" t="s">
        <v>838</v>
      </c>
      <c r="E232" s="3" t="s">
        <v>52</v>
      </c>
      <c r="F232" s="3" t="s">
        <v>53</v>
      </c>
      <c r="G232" s="17" t="s">
        <v>18</v>
      </c>
      <c r="H232" s="3">
        <v>1</v>
      </c>
      <c r="I232" s="4">
        <v>500</v>
      </c>
      <c r="J232" s="4">
        <v>500</v>
      </c>
      <c r="K232" s="5">
        <v>0</v>
      </c>
      <c r="L232" s="6">
        <v>0</v>
      </c>
    </row>
    <row r="233" spans="1:12">
      <c r="A233" s="3" t="s">
        <v>839</v>
      </c>
      <c r="B233" s="3" t="s">
        <v>840</v>
      </c>
      <c r="C233" s="3" t="s">
        <v>840</v>
      </c>
      <c r="D233" s="3" t="s">
        <v>841</v>
      </c>
      <c r="E233" s="3" t="s">
        <v>52</v>
      </c>
      <c r="F233" s="3" t="s">
        <v>53</v>
      </c>
      <c r="G233" s="17" t="s">
        <v>18</v>
      </c>
      <c r="H233" s="3">
        <v>1</v>
      </c>
      <c r="I233" s="4">
        <v>500</v>
      </c>
      <c r="J233" s="4">
        <v>500</v>
      </c>
      <c r="K233" s="5">
        <v>0</v>
      </c>
      <c r="L233" s="6">
        <v>0</v>
      </c>
    </row>
    <row r="234" spans="1:12">
      <c r="A234" s="3" t="s">
        <v>842</v>
      </c>
      <c r="B234" s="3" t="s">
        <v>843</v>
      </c>
      <c r="C234" s="3" t="s">
        <v>844</v>
      </c>
      <c r="D234" s="3" t="s">
        <v>845</v>
      </c>
      <c r="E234" s="3" t="s">
        <v>52</v>
      </c>
      <c r="F234" s="3" t="s">
        <v>53</v>
      </c>
      <c r="G234" s="17" t="s">
        <v>18</v>
      </c>
      <c r="H234" s="3">
        <v>1</v>
      </c>
      <c r="I234" s="4">
        <v>1000</v>
      </c>
      <c r="J234" s="4">
        <v>1000</v>
      </c>
      <c r="K234" s="5">
        <v>0</v>
      </c>
      <c r="L234" s="6">
        <v>0</v>
      </c>
    </row>
    <row r="235" spans="1:12">
      <c r="A235" s="3" t="s">
        <v>846</v>
      </c>
      <c r="B235" s="3" t="s">
        <v>847</v>
      </c>
      <c r="C235" s="3" t="s">
        <v>847</v>
      </c>
      <c r="D235" s="3" t="s">
        <v>848</v>
      </c>
      <c r="E235" s="3" t="s">
        <v>52</v>
      </c>
      <c r="F235" s="3" t="s">
        <v>53</v>
      </c>
      <c r="G235" s="17" t="s">
        <v>18</v>
      </c>
      <c r="H235" s="3">
        <v>1</v>
      </c>
      <c r="I235" s="4">
        <v>1000</v>
      </c>
      <c r="J235" s="4">
        <v>1000</v>
      </c>
      <c r="K235" s="5">
        <v>0</v>
      </c>
      <c r="L235" s="6">
        <v>0</v>
      </c>
    </row>
    <row r="236" spans="1:12">
      <c r="A236" s="3" t="s">
        <v>849</v>
      </c>
      <c r="B236" s="3" t="s">
        <v>850</v>
      </c>
      <c r="C236" s="3" t="s">
        <v>851</v>
      </c>
      <c r="D236" s="3" t="s">
        <v>852</v>
      </c>
      <c r="E236" s="3" t="s">
        <v>52</v>
      </c>
      <c r="F236" s="3" t="s">
        <v>53</v>
      </c>
      <c r="G236" s="17" t="s">
        <v>18</v>
      </c>
      <c r="H236" s="3">
        <v>1</v>
      </c>
      <c r="I236" s="4">
        <v>500</v>
      </c>
      <c r="J236" s="4">
        <v>500</v>
      </c>
      <c r="K236" s="5"/>
      <c r="L236" s="6"/>
    </row>
    <row r="237" spans="1:12">
      <c r="A237" s="3" t="s">
        <v>853</v>
      </c>
      <c r="B237" s="3" t="s">
        <v>854</v>
      </c>
      <c r="C237" s="3" t="s">
        <v>854</v>
      </c>
      <c r="D237" s="3" t="s">
        <v>855</v>
      </c>
      <c r="E237" s="3" t="s">
        <v>52</v>
      </c>
      <c r="F237" s="3" t="s">
        <v>53</v>
      </c>
      <c r="G237" s="17" t="s">
        <v>18</v>
      </c>
      <c r="H237" s="3">
        <v>1</v>
      </c>
      <c r="I237" s="4">
        <v>2000</v>
      </c>
      <c r="J237" s="4">
        <v>2000</v>
      </c>
      <c r="K237" s="5">
        <v>0</v>
      </c>
      <c r="L237" s="6">
        <v>0</v>
      </c>
    </row>
    <row r="238" spans="1:12">
      <c r="A238" s="3" t="s">
        <v>856</v>
      </c>
      <c r="B238" s="3" t="s">
        <v>857</v>
      </c>
      <c r="C238" s="3" t="s">
        <v>857</v>
      </c>
      <c r="D238" s="3" t="s">
        <v>858</v>
      </c>
      <c r="E238" s="3" t="s">
        <v>52</v>
      </c>
      <c r="F238" s="3" t="s">
        <v>53</v>
      </c>
      <c r="G238" s="17" t="s">
        <v>18</v>
      </c>
      <c r="H238" s="3">
        <v>1</v>
      </c>
      <c r="I238" s="4">
        <v>1000</v>
      </c>
      <c r="J238" s="4">
        <v>1000</v>
      </c>
      <c r="K238" s="5">
        <v>0</v>
      </c>
      <c r="L238" s="6">
        <v>0</v>
      </c>
    </row>
    <row r="239" spans="1:12">
      <c r="A239" s="3" t="s">
        <v>859</v>
      </c>
      <c r="B239" s="3" t="s">
        <v>860</v>
      </c>
      <c r="C239" s="3" t="s">
        <v>861</v>
      </c>
      <c r="D239" s="3" t="s">
        <v>862</v>
      </c>
      <c r="E239" s="3" t="s">
        <v>52</v>
      </c>
      <c r="F239" s="3" t="s">
        <v>53</v>
      </c>
      <c r="G239" s="17" t="s">
        <v>18</v>
      </c>
      <c r="H239" s="3">
        <v>1</v>
      </c>
      <c r="I239" s="4">
        <v>500</v>
      </c>
      <c r="J239" s="4">
        <v>500</v>
      </c>
      <c r="K239" s="5">
        <v>0</v>
      </c>
      <c r="L239" s="6">
        <v>0</v>
      </c>
    </row>
    <row r="240" spans="1:12">
      <c r="A240" s="3" t="s">
        <v>863</v>
      </c>
      <c r="B240" s="3" t="s">
        <v>864</v>
      </c>
      <c r="C240" s="3" t="s">
        <v>864</v>
      </c>
      <c r="D240" s="3" t="s">
        <v>865</v>
      </c>
      <c r="E240" s="3" t="s">
        <v>52</v>
      </c>
      <c r="F240" s="3" t="s">
        <v>53</v>
      </c>
      <c r="G240" s="17" t="s">
        <v>18</v>
      </c>
      <c r="H240" s="3">
        <v>1</v>
      </c>
      <c r="I240" s="4">
        <v>1500</v>
      </c>
      <c r="J240" s="4">
        <v>1500</v>
      </c>
      <c r="K240" s="5">
        <v>0</v>
      </c>
      <c r="L240" s="6">
        <v>0</v>
      </c>
    </row>
    <row r="241" spans="1:12">
      <c r="A241" s="3" t="s">
        <v>866</v>
      </c>
      <c r="B241" s="3" t="s">
        <v>867</v>
      </c>
      <c r="C241" s="3" t="s">
        <v>868</v>
      </c>
      <c r="D241" s="3" t="s">
        <v>869</v>
      </c>
      <c r="E241" s="3" t="s">
        <v>52</v>
      </c>
      <c r="F241" s="3" t="s">
        <v>53</v>
      </c>
      <c r="G241" s="17" t="s">
        <v>18</v>
      </c>
      <c r="H241" s="3">
        <v>1</v>
      </c>
      <c r="I241" s="4">
        <v>500</v>
      </c>
      <c r="J241" s="4">
        <v>500</v>
      </c>
      <c r="K241" s="5">
        <v>0</v>
      </c>
      <c r="L241" s="6">
        <v>0</v>
      </c>
    </row>
    <row r="242" spans="1:12">
      <c r="A242" s="3" t="s">
        <v>870</v>
      </c>
      <c r="B242" s="3" t="s">
        <v>871</v>
      </c>
      <c r="C242" s="3" t="s">
        <v>872</v>
      </c>
      <c r="D242" s="3" t="s">
        <v>873</v>
      </c>
      <c r="E242" s="3" t="s">
        <v>52</v>
      </c>
      <c r="F242" s="3" t="s">
        <v>53</v>
      </c>
      <c r="G242" s="17" t="s">
        <v>18</v>
      </c>
      <c r="H242" s="3">
        <v>1</v>
      </c>
      <c r="I242" s="4">
        <v>500</v>
      </c>
      <c r="J242" s="4">
        <v>500</v>
      </c>
      <c r="K242" s="5">
        <v>0</v>
      </c>
      <c r="L242" s="6">
        <v>0</v>
      </c>
    </row>
    <row r="243" spans="1:12">
      <c r="A243" s="3" t="s">
        <v>874</v>
      </c>
      <c r="B243" s="3" t="s">
        <v>875</v>
      </c>
      <c r="C243" s="3" t="s">
        <v>875</v>
      </c>
      <c r="D243" s="3" t="s">
        <v>876</v>
      </c>
      <c r="E243" s="3" t="s">
        <v>52</v>
      </c>
      <c r="F243" s="3" t="s">
        <v>53</v>
      </c>
      <c r="G243" s="17" t="s">
        <v>18</v>
      </c>
      <c r="H243" s="3">
        <v>1</v>
      </c>
      <c r="I243" s="4">
        <v>500</v>
      </c>
      <c r="J243" s="4">
        <v>500</v>
      </c>
      <c r="K243" s="5">
        <v>0</v>
      </c>
      <c r="L243" s="6">
        <v>0</v>
      </c>
    </row>
    <row r="244" spans="1:12">
      <c r="A244" s="3" t="s">
        <v>877</v>
      </c>
      <c r="B244" s="3" t="s">
        <v>878</v>
      </c>
      <c r="C244" s="3" t="s">
        <v>878</v>
      </c>
      <c r="D244" s="3" t="s">
        <v>879</v>
      </c>
      <c r="E244" s="3" t="s">
        <v>52</v>
      </c>
      <c r="F244" s="3" t="s">
        <v>53</v>
      </c>
      <c r="G244" s="17" t="s">
        <v>18</v>
      </c>
      <c r="H244" s="3">
        <v>1</v>
      </c>
      <c r="I244" s="4">
        <v>2500</v>
      </c>
      <c r="J244" s="4">
        <v>2500</v>
      </c>
      <c r="K244" s="5">
        <v>0</v>
      </c>
      <c r="L244" s="6">
        <v>0</v>
      </c>
    </row>
    <row r="245" spans="1:12">
      <c r="A245" s="3" t="s">
        <v>880</v>
      </c>
      <c r="B245" s="3" t="s">
        <v>881</v>
      </c>
      <c r="C245" s="3" t="s">
        <v>882</v>
      </c>
      <c r="D245" s="3" t="s">
        <v>883</v>
      </c>
      <c r="E245" s="3" t="s">
        <v>52</v>
      </c>
      <c r="F245" s="3" t="s">
        <v>53</v>
      </c>
      <c r="G245" s="17" t="s">
        <v>18</v>
      </c>
      <c r="H245" s="3">
        <v>1</v>
      </c>
      <c r="I245" s="4">
        <v>1000</v>
      </c>
      <c r="J245" s="4">
        <v>1000</v>
      </c>
      <c r="K245" s="5">
        <v>0</v>
      </c>
      <c r="L245" s="6">
        <v>0</v>
      </c>
    </row>
    <row r="246" spans="1:12">
      <c r="A246" s="3" t="s">
        <v>884</v>
      </c>
      <c r="B246" s="3" t="s">
        <v>885</v>
      </c>
      <c r="C246" s="3" t="s">
        <v>885</v>
      </c>
      <c r="D246" s="3" t="s">
        <v>886</v>
      </c>
      <c r="E246" s="3" t="s">
        <v>52</v>
      </c>
      <c r="F246" s="3" t="s">
        <v>53</v>
      </c>
      <c r="G246" s="17" t="s">
        <v>18</v>
      </c>
      <c r="H246" s="3">
        <v>1</v>
      </c>
      <c r="I246" s="4">
        <v>2000</v>
      </c>
      <c r="J246" s="4">
        <v>2000</v>
      </c>
      <c r="K246" s="5">
        <v>0</v>
      </c>
      <c r="L246" s="6">
        <v>0</v>
      </c>
    </row>
    <row r="247" spans="1:12">
      <c r="A247" s="3" t="s">
        <v>887</v>
      </c>
      <c r="B247" s="3" t="s">
        <v>888</v>
      </c>
      <c r="C247" s="3" t="s">
        <v>888</v>
      </c>
      <c r="D247" s="3" t="s">
        <v>889</v>
      </c>
      <c r="E247" s="3" t="s">
        <v>52</v>
      </c>
      <c r="F247" s="3" t="s">
        <v>53</v>
      </c>
      <c r="G247" s="17" t="s">
        <v>18</v>
      </c>
      <c r="H247" s="3">
        <v>1</v>
      </c>
      <c r="I247" s="4">
        <v>500</v>
      </c>
      <c r="J247" s="4">
        <v>500</v>
      </c>
      <c r="K247" s="5">
        <v>0</v>
      </c>
      <c r="L247" s="6">
        <v>0</v>
      </c>
    </row>
    <row r="248" spans="1:12">
      <c r="A248" s="3" t="s">
        <v>890</v>
      </c>
      <c r="B248" s="3" t="s">
        <v>891</v>
      </c>
      <c r="C248" s="3" t="s">
        <v>892</v>
      </c>
      <c r="D248" s="3" t="s">
        <v>893</v>
      </c>
      <c r="E248" s="3" t="s">
        <v>52</v>
      </c>
      <c r="F248" s="3" t="s">
        <v>53</v>
      </c>
      <c r="G248" s="17" t="s">
        <v>18</v>
      </c>
      <c r="H248" s="3">
        <v>1</v>
      </c>
      <c r="I248" s="4">
        <v>500</v>
      </c>
      <c r="J248" s="4">
        <v>500</v>
      </c>
      <c r="K248" s="5"/>
      <c r="L248" s="6"/>
    </row>
    <row r="249" spans="1:12">
      <c r="A249" s="3" t="s">
        <v>894</v>
      </c>
      <c r="B249" s="7" t="s">
        <v>895</v>
      </c>
      <c r="C249" s="7">
        <v>0</v>
      </c>
      <c r="D249" s="7" t="e">
        <v>#N/A</v>
      </c>
      <c r="E249" s="7" t="s">
        <v>16</v>
      </c>
      <c r="F249" s="7" t="s">
        <v>17</v>
      </c>
      <c r="G249" s="17"/>
      <c r="H249" s="3">
        <v>1</v>
      </c>
      <c r="I249" s="8">
        <v>25000</v>
      </c>
      <c r="J249" s="8">
        <v>25000</v>
      </c>
      <c r="K249" s="5">
        <v>0</v>
      </c>
      <c r="L249" s="6">
        <v>0</v>
      </c>
    </row>
    <row r="250" spans="1:12">
      <c r="A250" s="3" t="s">
        <v>896</v>
      </c>
      <c r="B250" s="3" t="s">
        <v>897</v>
      </c>
      <c r="C250" s="3" t="s">
        <v>897</v>
      </c>
      <c r="D250" s="3" t="s">
        <v>898</v>
      </c>
      <c r="E250" s="3" t="s">
        <v>52</v>
      </c>
      <c r="F250" s="3" t="s">
        <v>53</v>
      </c>
      <c r="G250" s="17" t="s">
        <v>18</v>
      </c>
      <c r="H250" s="3">
        <v>1</v>
      </c>
      <c r="I250" s="4">
        <v>4000</v>
      </c>
      <c r="J250" s="4">
        <v>4000</v>
      </c>
      <c r="K250" s="5">
        <v>0</v>
      </c>
      <c r="L250" s="6">
        <v>0</v>
      </c>
    </row>
    <row r="251" spans="1:12">
      <c r="A251" s="3" t="s">
        <v>899</v>
      </c>
      <c r="B251" s="3" t="s">
        <v>900</v>
      </c>
      <c r="C251" s="3" t="s">
        <v>900</v>
      </c>
      <c r="D251" s="3" t="s">
        <v>901</v>
      </c>
      <c r="E251" s="3" t="s">
        <v>52</v>
      </c>
      <c r="F251" s="3" t="s">
        <v>53</v>
      </c>
      <c r="G251" s="17" t="s">
        <v>18</v>
      </c>
      <c r="H251" s="3">
        <v>1</v>
      </c>
      <c r="I251" s="4">
        <v>500</v>
      </c>
      <c r="J251" s="4">
        <v>500</v>
      </c>
      <c r="K251" s="5">
        <v>0</v>
      </c>
      <c r="L251" s="6">
        <v>0</v>
      </c>
    </row>
    <row r="252" spans="1:12">
      <c r="A252" s="3" t="s">
        <v>902</v>
      </c>
      <c r="B252" s="3" t="s">
        <v>903</v>
      </c>
      <c r="C252" s="3" t="s">
        <v>903</v>
      </c>
      <c r="D252" s="3" t="s">
        <v>904</v>
      </c>
      <c r="E252" s="3" t="s">
        <v>52</v>
      </c>
      <c r="F252" s="3" t="s">
        <v>53</v>
      </c>
      <c r="G252" s="17" t="s">
        <v>18</v>
      </c>
      <c r="H252" s="3">
        <v>1</v>
      </c>
      <c r="I252" s="4">
        <v>1000</v>
      </c>
      <c r="J252" s="4">
        <v>1000</v>
      </c>
      <c r="K252" s="5">
        <v>0</v>
      </c>
      <c r="L252" s="6">
        <v>0</v>
      </c>
    </row>
    <row r="253" spans="1:12">
      <c r="A253" s="3" t="s">
        <v>905</v>
      </c>
      <c r="B253" s="3" t="s">
        <v>906</v>
      </c>
      <c r="C253" s="3" t="s">
        <v>907</v>
      </c>
      <c r="D253" s="3" t="s">
        <v>908</v>
      </c>
      <c r="E253" s="3" t="s">
        <v>52</v>
      </c>
      <c r="F253" s="3" t="s">
        <v>53</v>
      </c>
      <c r="G253" s="17" t="s">
        <v>18</v>
      </c>
      <c r="H253" s="3">
        <v>1</v>
      </c>
      <c r="I253" s="4">
        <v>1500</v>
      </c>
      <c r="J253" s="4">
        <v>1500</v>
      </c>
      <c r="K253" s="5">
        <v>0</v>
      </c>
      <c r="L253" s="6">
        <v>0</v>
      </c>
    </row>
    <row r="254" spans="1:12">
      <c r="A254" s="3" t="s">
        <v>909</v>
      </c>
      <c r="B254" s="3" t="s">
        <v>910</v>
      </c>
      <c r="C254" s="3" t="s">
        <v>911</v>
      </c>
      <c r="D254" s="3" t="s">
        <v>912</v>
      </c>
      <c r="E254" s="3" t="s">
        <v>52</v>
      </c>
      <c r="F254" s="3" t="s">
        <v>53</v>
      </c>
      <c r="G254" s="17" t="s">
        <v>18</v>
      </c>
      <c r="H254" s="3">
        <v>1</v>
      </c>
      <c r="I254" s="4">
        <v>3500</v>
      </c>
      <c r="J254" s="4">
        <v>3500</v>
      </c>
      <c r="K254" s="5">
        <v>0</v>
      </c>
      <c r="L254" s="6">
        <v>0</v>
      </c>
    </row>
    <row r="255" spans="1:12">
      <c r="A255" s="3" t="s">
        <v>913</v>
      </c>
      <c r="B255" s="3" t="s">
        <v>914</v>
      </c>
      <c r="C255" s="3" t="s">
        <v>915</v>
      </c>
      <c r="D255" s="3" t="s">
        <v>916</v>
      </c>
      <c r="E255" s="3" t="s">
        <v>52</v>
      </c>
      <c r="F255" s="3" t="s">
        <v>53</v>
      </c>
      <c r="G255" s="17" t="s">
        <v>18</v>
      </c>
      <c r="H255" s="3">
        <v>1</v>
      </c>
      <c r="I255" s="4">
        <v>500</v>
      </c>
      <c r="J255" s="4">
        <v>500</v>
      </c>
      <c r="K255" s="5">
        <v>0</v>
      </c>
      <c r="L255" s="6">
        <v>0</v>
      </c>
    </row>
    <row r="256" spans="1:12">
      <c r="A256" s="3" t="s">
        <v>917</v>
      </c>
      <c r="B256" s="3" t="s">
        <v>918</v>
      </c>
      <c r="C256" s="3" t="s">
        <v>918</v>
      </c>
      <c r="D256" s="3" t="s">
        <v>919</v>
      </c>
      <c r="E256" s="3" t="s">
        <v>52</v>
      </c>
      <c r="F256" s="3" t="s">
        <v>53</v>
      </c>
      <c r="G256" s="17" t="s">
        <v>18</v>
      </c>
      <c r="H256" s="3">
        <v>1</v>
      </c>
      <c r="I256" s="4">
        <v>1000</v>
      </c>
      <c r="J256" s="4">
        <v>1000</v>
      </c>
      <c r="K256" s="5">
        <v>0</v>
      </c>
      <c r="L256" s="6">
        <v>0</v>
      </c>
    </row>
    <row r="257" spans="1:12">
      <c r="A257" s="3" t="s">
        <v>920</v>
      </c>
      <c r="B257" s="3" t="s">
        <v>921</v>
      </c>
      <c r="C257" s="3" t="s">
        <v>922</v>
      </c>
      <c r="D257" s="3" t="s">
        <v>923</v>
      </c>
      <c r="E257" s="3" t="s">
        <v>52</v>
      </c>
      <c r="F257" s="3" t="s">
        <v>53</v>
      </c>
      <c r="G257" s="17" t="s">
        <v>18</v>
      </c>
      <c r="H257" s="3">
        <v>1</v>
      </c>
      <c r="I257" s="4">
        <v>500</v>
      </c>
      <c r="J257" s="4">
        <v>500</v>
      </c>
      <c r="K257" s="5">
        <v>0</v>
      </c>
      <c r="L257" s="6">
        <v>0</v>
      </c>
    </row>
    <row r="258" spans="1:12">
      <c r="A258" s="3" t="s">
        <v>924</v>
      </c>
      <c r="B258" s="3" t="s">
        <v>925</v>
      </c>
      <c r="C258" s="3" t="s">
        <v>925</v>
      </c>
      <c r="D258" s="3" t="s">
        <v>926</v>
      </c>
      <c r="E258" s="3" t="s">
        <v>52</v>
      </c>
      <c r="F258" s="3" t="s">
        <v>53</v>
      </c>
      <c r="G258" s="17" t="s">
        <v>18</v>
      </c>
      <c r="H258" s="3">
        <v>1</v>
      </c>
      <c r="I258" s="4">
        <v>500</v>
      </c>
      <c r="J258" s="4">
        <v>500</v>
      </c>
      <c r="K258" s="5">
        <v>0</v>
      </c>
      <c r="L258" s="6">
        <v>0</v>
      </c>
    </row>
    <row r="259" spans="1:12">
      <c r="A259" s="3" t="s">
        <v>927</v>
      </c>
      <c r="B259" s="3" t="s">
        <v>928</v>
      </c>
      <c r="C259" s="3" t="s">
        <v>928</v>
      </c>
      <c r="D259" s="3" t="s">
        <v>929</v>
      </c>
      <c r="E259" s="3" t="s">
        <v>52</v>
      </c>
      <c r="F259" s="3" t="s">
        <v>53</v>
      </c>
      <c r="G259" s="17" t="s">
        <v>18</v>
      </c>
      <c r="H259" s="3">
        <v>1</v>
      </c>
      <c r="I259" s="4">
        <v>1000</v>
      </c>
      <c r="J259" s="4">
        <v>1000</v>
      </c>
      <c r="K259" s="5">
        <v>0</v>
      </c>
      <c r="L259" s="6">
        <v>0</v>
      </c>
    </row>
    <row r="260" spans="1:12">
      <c r="A260" s="3" t="s">
        <v>930</v>
      </c>
      <c r="B260" s="3" t="s">
        <v>931</v>
      </c>
      <c r="C260" s="3">
        <v>0</v>
      </c>
      <c r="D260" s="3" t="e">
        <v>#N/A</v>
      </c>
      <c r="E260" s="3" t="s">
        <v>52</v>
      </c>
      <c r="F260" s="3" t="s">
        <v>53</v>
      </c>
      <c r="G260" s="17"/>
      <c r="H260" s="3">
        <v>1</v>
      </c>
      <c r="I260" s="4">
        <v>1000</v>
      </c>
      <c r="J260" s="4">
        <v>1000</v>
      </c>
      <c r="K260" s="5">
        <v>0</v>
      </c>
      <c r="L260" s="6">
        <v>0</v>
      </c>
    </row>
    <row r="261" spans="1:12">
      <c r="A261" s="3" t="s">
        <v>932</v>
      </c>
      <c r="B261" s="3" t="s">
        <v>933</v>
      </c>
      <c r="C261" s="3" t="s">
        <v>934</v>
      </c>
      <c r="D261" s="3" t="s">
        <v>935</v>
      </c>
      <c r="E261" s="3" t="s">
        <v>52</v>
      </c>
      <c r="F261" s="3" t="s">
        <v>53</v>
      </c>
      <c r="G261" s="17" t="s">
        <v>18</v>
      </c>
      <c r="H261" s="3">
        <v>1</v>
      </c>
      <c r="I261" s="4">
        <v>1000</v>
      </c>
      <c r="J261" s="4">
        <v>1000</v>
      </c>
      <c r="K261" s="5">
        <v>0</v>
      </c>
      <c r="L261" s="6">
        <v>0</v>
      </c>
    </row>
    <row r="262" spans="1:12">
      <c r="A262" s="3" t="s">
        <v>936</v>
      </c>
      <c r="B262" s="3" t="s">
        <v>937</v>
      </c>
      <c r="C262" s="3" t="s">
        <v>937</v>
      </c>
      <c r="D262" s="3" t="s">
        <v>938</v>
      </c>
      <c r="E262" s="3" t="s">
        <v>52</v>
      </c>
      <c r="F262" s="3" t="s">
        <v>53</v>
      </c>
      <c r="G262" s="17" t="s">
        <v>18</v>
      </c>
      <c r="H262" s="3">
        <v>1</v>
      </c>
      <c r="I262" s="4">
        <v>1000</v>
      </c>
      <c r="J262" s="4">
        <v>1000</v>
      </c>
      <c r="K262" s="5">
        <v>0</v>
      </c>
      <c r="L262" s="6">
        <v>0</v>
      </c>
    </row>
    <row r="263" spans="1:12">
      <c r="A263" s="3" t="s">
        <v>939</v>
      </c>
      <c r="B263" s="3" t="s">
        <v>940</v>
      </c>
      <c r="C263" s="3" t="s">
        <v>940</v>
      </c>
      <c r="D263" s="3" t="s">
        <v>941</v>
      </c>
      <c r="E263" s="3" t="s">
        <v>52</v>
      </c>
      <c r="F263" s="3" t="s">
        <v>53</v>
      </c>
      <c r="G263" s="17" t="s">
        <v>18</v>
      </c>
      <c r="H263" s="3">
        <v>1</v>
      </c>
      <c r="I263" s="4">
        <v>2500</v>
      </c>
      <c r="J263" s="4">
        <v>2500</v>
      </c>
      <c r="K263" s="5">
        <v>0</v>
      </c>
      <c r="L263" s="6">
        <v>0</v>
      </c>
    </row>
    <row r="264" spans="1:12">
      <c r="A264" s="3" t="s">
        <v>942</v>
      </c>
      <c r="B264" s="3" t="s">
        <v>943</v>
      </c>
      <c r="C264" s="3" t="s">
        <v>943</v>
      </c>
      <c r="D264" s="3" t="s">
        <v>944</v>
      </c>
      <c r="E264" s="3" t="s">
        <v>52</v>
      </c>
      <c r="F264" s="3" t="s">
        <v>53</v>
      </c>
      <c r="G264" s="17" t="s">
        <v>18</v>
      </c>
      <c r="H264" s="3">
        <v>1</v>
      </c>
      <c r="I264" s="4">
        <v>500</v>
      </c>
      <c r="J264" s="4">
        <v>500</v>
      </c>
      <c r="K264" s="5">
        <v>0</v>
      </c>
      <c r="L264" s="6">
        <v>0</v>
      </c>
    </row>
    <row r="265" spans="1:12">
      <c r="A265" s="3" t="s">
        <v>945</v>
      </c>
      <c r="B265" s="3" t="s">
        <v>946</v>
      </c>
      <c r="C265" s="3" t="s">
        <v>947</v>
      </c>
      <c r="D265" s="3" t="s">
        <v>948</v>
      </c>
      <c r="E265" s="3" t="s">
        <v>52</v>
      </c>
      <c r="F265" s="3" t="s">
        <v>53</v>
      </c>
      <c r="G265" s="17" t="s">
        <v>18</v>
      </c>
      <c r="H265" s="3">
        <v>1</v>
      </c>
      <c r="I265" s="4">
        <v>500</v>
      </c>
      <c r="J265" s="4">
        <v>500</v>
      </c>
      <c r="K265" s="5">
        <v>0</v>
      </c>
      <c r="L265" s="6">
        <v>0</v>
      </c>
    </row>
    <row r="266" spans="1:12">
      <c r="A266" s="3" t="s">
        <v>949</v>
      </c>
      <c r="B266" s="3" t="s">
        <v>950</v>
      </c>
      <c r="C266" s="3" t="s">
        <v>950</v>
      </c>
      <c r="D266" s="3" t="s">
        <v>951</v>
      </c>
      <c r="E266" s="3" t="s">
        <v>52</v>
      </c>
      <c r="F266" s="3" t="s">
        <v>53</v>
      </c>
      <c r="G266" s="17" t="s">
        <v>18</v>
      </c>
      <c r="H266" s="3">
        <v>1</v>
      </c>
      <c r="I266" s="4">
        <v>500</v>
      </c>
      <c r="J266" s="4">
        <v>500</v>
      </c>
      <c r="K266" s="5">
        <v>0</v>
      </c>
      <c r="L266" s="6">
        <v>0</v>
      </c>
    </row>
    <row r="267" spans="1:12">
      <c r="A267" s="3" t="s">
        <v>952</v>
      </c>
      <c r="B267" s="3" t="s">
        <v>953</v>
      </c>
      <c r="C267" s="3" t="s">
        <v>953</v>
      </c>
      <c r="D267" s="3" t="s">
        <v>954</v>
      </c>
      <c r="E267" s="3" t="s">
        <v>52</v>
      </c>
      <c r="F267" s="3" t="s">
        <v>53</v>
      </c>
      <c r="G267" s="17" t="s">
        <v>18</v>
      </c>
      <c r="H267" s="3">
        <v>1</v>
      </c>
      <c r="I267" s="4">
        <v>500</v>
      </c>
      <c r="J267" s="4">
        <v>500</v>
      </c>
      <c r="K267" s="5">
        <v>0</v>
      </c>
      <c r="L267" s="6">
        <v>0</v>
      </c>
    </row>
    <row r="268" spans="1:12">
      <c r="A268" s="3" t="s">
        <v>955</v>
      </c>
      <c r="B268" s="3" t="s">
        <v>956</v>
      </c>
      <c r="C268" s="3" t="s">
        <v>957</v>
      </c>
      <c r="D268" s="3" t="s">
        <v>958</v>
      </c>
      <c r="E268" s="3" t="s">
        <v>52</v>
      </c>
      <c r="F268" s="3" t="s">
        <v>53</v>
      </c>
      <c r="G268" s="17" t="s">
        <v>18</v>
      </c>
      <c r="H268" s="3">
        <v>1</v>
      </c>
      <c r="I268" s="4">
        <v>1000</v>
      </c>
      <c r="J268" s="4">
        <v>1000</v>
      </c>
      <c r="K268" s="5">
        <v>0</v>
      </c>
      <c r="L268" s="6">
        <v>0</v>
      </c>
    </row>
    <row r="269" spans="1:12">
      <c r="A269" s="3" t="s">
        <v>959</v>
      </c>
      <c r="B269" s="3" t="s">
        <v>960</v>
      </c>
      <c r="C269" s="3" t="s">
        <v>960</v>
      </c>
      <c r="D269" s="3" t="s">
        <v>961</v>
      </c>
      <c r="E269" s="3" t="s">
        <v>52</v>
      </c>
      <c r="F269" s="3" t="s">
        <v>53</v>
      </c>
      <c r="G269" s="17" t="s">
        <v>18</v>
      </c>
      <c r="H269" s="3">
        <v>1</v>
      </c>
      <c r="I269" s="4">
        <v>500</v>
      </c>
      <c r="J269" s="4">
        <v>500</v>
      </c>
      <c r="K269" s="5">
        <v>0</v>
      </c>
      <c r="L269" s="6">
        <v>0</v>
      </c>
    </row>
    <row r="270" spans="1:12">
      <c r="A270" s="3" t="s">
        <v>962</v>
      </c>
      <c r="B270" s="3" t="s">
        <v>963</v>
      </c>
      <c r="C270" s="3" t="s">
        <v>964</v>
      </c>
      <c r="D270" s="3" t="s">
        <v>965</v>
      </c>
      <c r="E270" s="3" t="s">
        <v>52</v>
      </c>
      <c r="F270" s="3" t="s">
        <v>53</v>
      </c>
      <c r="G270" s="17" t="s">
        <v>18</v>
      </c>
      <c r="H270" s="3">
        <v>1</v>
      </c>
      <c r="I270" s="4">
        <v>500</v>
      </c>
      <c r="J270" s="4">
        <v>500</v>
      </c>
      <c r="K270" s="5">
        <v>0</v>
      </c>
      <c r="L270" s="6">
        <v>0</v>
      </c>
    </row>
    <row r="271" spans="1:12">
      <c r="A271" s="3" t="s">
        <v>966</v>
      </c>
      <c r="B271" s="3" t="s">
        <v>967</v>
      </c>
      <c r="C271" s="3" t="s">
        <v>968</v>
      </c>
      <c r="D271" s="3" t="s">
        <v>969</v>
      </c>
      <c r="E271" s="3" t="s">
        <v>52</v>
      </c>
      <c r="F271" s="3" t="s">
        <v>53</v>
      </c>
      <c r="G271" s="17" t="s">
        <v>18</v>
      </c>
      <c r="H271" s="3">
        <v>1</v>
      </c>
      <c r="I271" s="4">
        <v>1500</v>
      </c>
      <c r="J271" s="4">
        <v>1500</v>
      </c>
      <c r="K271" s="5">
        <v>0</v>
      </c>
      <c r="L271" s="6">
        <v>0</v>
      </c>
    </row>
    <row r="272" spans="1:12">
      <c r="A272" s="3" t="s">
        <v>970</v>
      </c>
      <c r="B272" s="3" t="s">
        <v>971</v>
      </c>
      <c r="C272" s="3" t="s">
        <v>972</v>
      </c>
      <c r="D272" s="3" t="s">
        <v>973</v>
      </c>
      <c r="E272" s="3" t="s">
        <v>16</v>
      </c>
      <c r="F272" s="3" t="s">
        <v>17</v>
      </c>
      <c r="G272" s="17" t="s">
        <v>18</v>
      </c>
      <c r="H272" s="3">
        <v>1</v>
      </c>
      <c r="I272" s="4">
        <v>9000</v>
      </c>
      <c r="J272" s="4">
        <v>9000</v>
      </c>
      <c r="K272" s="5">
        <v>0</v>
      </c>
      <c r="L272" s="6">
        <v>0</v>
      </c>
    </row>
    <row r="273" spans="1:12">
      <c r="A273" s="3" t="s">
        <v>974</v>
      </c>
      <c r="B273" s="3" t="s">
        <v>975</v>
      </c>
      <c r="C273" s="3" t="s">
        <v>976</v>
      </c>
      <c r="D273" s="3" t="s">
        <v>977</v>
      </c>
      <c r="E273" s="3" t="s">
        <v>52</v>
      </c>
      <c r="F273" s="3" t="s">
        <v>53</v>
      </c>
      <c r="G273" s="17" t="s">
        <v>18</v>
      </c>
      <c r="H273" s="3">
        <v>1</v>
      </c>
      <c r="I273" s="4">
        <v>5500</v>
      </c>
      <c r="J273" s="4">
        <v>5500</v>
      </c>
      <c r="K273" s="5">
        <v>0</v>
      </c>
      <c r="L273" s="6">
        <v>0</v>
      </c>
    </row>
    <row r="274" spans="1:12">
      <c r="A274" s="3" t="s">
        <v>978</v>
      </c>
      <c r="B274" s="3" t="s">
        <v>979</v>
      </c>
      <c r="C274" s="3" t="s">
        <v>979</v>
      </c>
      <c r="D274" s="3" t="s">
        <v>980</v>
      </c>
      <c r="E274" s="3" t="s">
        <v>52</v>
      </c>
      <c r="F274" s="3" t="s">
        <v>53</v>
      </c>
      <c r="G274" s="17" t="s">
        <v>18</v>
      </c>
      <c r="H274" s="3">
        <v>1</v>
      </c>
      <c r="I274" s="4">
        <v>500</v>
      </c>
      <c r="J274" s="4">
        <v>500</v>
      </c>
      <c r="K274" s="5">
        <v>0</v>
      </c>
      <c r="L274" s="6">
        <v>0</v>
      </c>
    </row>
    <row r="275" spans="1:12">
      <c r="A275" s="3" t="s">
        <v>981</v>
      </c>
      <c r="B275" s="3" t="s">
        <v>982</v>
      </c>
      <c r="C275" s="3" t="s">
        <v>982</v>
      </c>
      <c r="D275" s="3" t="s">
        <v>983</v>
      </c>
      <c r="E275" s="3" t="s">
        <v>16</v>
      </c>
      <c r="F275" s="3" t="s">
        <v>17</v>
      </c>
      <c r="G275" s="17" t="s">
        <v>18</v>
      </c>
      <c r="H275" s="3">
        <v>1</v>
      </c>
      <c r="I275" s="4">
        <v>1000</v>
      </c>
      <c r="J275" s="4">
        <v>1000</v>
      </c>
      <c r="K275" s="5">
        <v>0</v>
      </c>
      <c r="L275" s="6">
        <v>0</v>
      </c>
    </row>
    <row r="276" spans="1:12">
      <c r="A276" s="3" t="s">
        <v>984</v>
      </c>
      <c r="B276" s="3" t="s">
        <v>985</v>
      </c>
      <c r="C276" s="3" t="s">
        <v>986</v>
      </c>
      <c r="D276" s="3" t="s">
        <v>987</v>
      </c>
      <c r="E276" s="3" t="s">
        <v>16</v>
      </c>
      <c r="F276" s="3" t="s">
        <v>17</v>
      </c>
      <c r="G276" s="17" t="s">
        <v>18</v>
      </c>
      <c r="H276" s="3">
        <v>1</v>
      </c>
      <c r="I276" s="4">
        <v>1000</v>
      </c>
      <c r="J276" s="4">
        <v>1000</v>
      </c>
      <c r="K276" s="5">
        <v>0</v>
      </c>
      <c r="L276" s="6">
        <v>0</v>
      </c>
    </row>
    <row r="277" spans="1:12">
      <c r="A277" s="3" t="s">
        <v>988</v>
      </c>
      <c r="B277" s="3" t="s">
        <v>989</v>
      </c>
      <c r="C277" s="3" t="s">
        <v>990</v>
      </c>
      <c r="D277" s="3" t="s">
        <v>991</v>
      </c>
      <c r="E277" s="3" t="s">
        <v>52</v>
      </c>
      <c r="F277" s="3" t="s">
        <v>53</v>
      </c>
      <c r="G277" s="17" t="s">
        <v>18</v>
      </c>
      <c r="H277" s="3">
        <v>1</v>
      </c>
      <c r="I277" s="4">
        <v>500</v>
      </c>
      <c r="J277" s="4">
        <v>500</v>
      </c>
      <c r="K277" s="5">
        <v>0</v>
      </c>
      <c r="L277" s="6">
        <v>0</v>
      </c>
    </row>
    <row r="278" spans="1:12">
      <c r="A278" s="3" t="s">
        <v>992</v>
      </c>
      <c r="B278" s="3" t="s">
        <v>993</v>
      </c>
      <c r="C278" s="3" t="s">
        <v>993</v>
      </c>
      <c r="D278" s="3" t="s">
        <v>994</v>
      </c>
      <c r="E278" s="3" t="s">
        <v>16</v>
      </c>
      <c r="F278" s="3" t="s">
        <v>17</v>
      </c>
      <c r="G278" s="17" t="s">
        <v>18</v>
      </c>
      <c r="H278" s="3">
        <v>1</v>
      </c>
      <c r="I278" s="4">
        <v>4000</v>
      </c>
      <c r="J278" s="4">
        <v>4000</v>
      </c>
      <c r="K278" s="5">
        <v>0</v>
      </c>
      <c r="L278" s="6">
        <v>0</v>
      </c>
    </row>
    <row r="279" spans="1:12">
      <c r="A279" s="3" t="s">
        <v>995</v>
      </c>
      <c r="B279" s="3" t="s">
        <v>996</v>
      </c>
      <c r="C279" s="3" t="s">
        <v>997</v>
      </c>
      <c r="D279" s="3" t="s">
        <v>998</v>
      </c>
      <c r="E279" s="3" t="s">
        <v>16</v>
      </c>
      <c r="F279" s="3" t="s">
        <v>17</v>
      </c>
      <c r="G279" s="17" t="s">
        <v>18</v>
      </c>
      <c r="H279" s="3">
        <v>1</v>
      </c>
      <c r="I279" s="4">
        <v>4000</v>
      </c>
      <c r="J279" s="4">
        <v>4000</v>
      </c>
      <c r="K279" s="5">
        <v>0</v>
      </c>
      <c r="L279" s="6">
        <v>0</v>
      </c>
    </row>
    <row r="280" spans="1:12">
      <c r="A280" s="3" t="s">
        <v>999</v>
      </c>
      <c r="B280" s="3" t="s">
        <v>1000</v>
      </c>
      <c r="C280" s="3">
        <v>0</v>
      </c>
      <c r="D280" s="3" t="s">
        <v>1001</v>
      </c>
      <c r="E280" s="3" t="s">
        <v>52</v>
      </c>
      <c r="F280" s="3" t="s">
        <v>53</v>
      </c>
      <c r="G280" s="17" t="s">
        <v>18</v>
      </c>
      <c r="H280" s="3">
        <v>1</v>
      </c>
      <c r="I280" s="4">
        <v>2500</v>
      </c>
      <c r="J280" s="4">
        <v>2500</v>
      </c>
      <c r="K280" s="5">
        <v>0</v>
      </c>
      <c r="L280" s="6">
        <v>0</v>
      </c>
    </row>
    <row r="281" spans="1:12">
      <c r="A281" s="3" t="s">
        <v>1002</v>
      </c>
      <c r="B281" s="3" t="s">
        <v>1003</v>
      </c>
      <c r="C281" s="3" t="s">
        <v>1003</v>
      </c>
      <c r="D281" s="3" t="s">
        <v>1004</v>
      </c>
      <c r="E281" s="3" t="s">
        <v>23</v>
      </c>
      <c r="F281" s="3" t="s">
        <v>24</v>
      </c>
      <c r="G281" s="17" t="s">
        <v>18</v>
      </c>
      <c r="H281" s="3">
        <v>1</v>
      </c>
      <c r="I281" s="4">
        <v>1200</v>
      </c>
      <c r="J281" s="4">
        <v>1200</v>
      </c>
      <c r="K281" s="5">
        <v>0</v>
      </c>
      <c r="L281" s="6">
        <v>0</v>
      </c>
    </row>
    <row r="282" spans="1:12">
      <c r="A282" s="3" t="s">
        <v>1005</v>
      </c>
      <c r="B282" s="3" t="s">
        <v>1006</v>
      </c>
      <c r="C282" s="3" t="s">
        <v>1007</v>
      </c>
      <c r="D282" s="3" t="s">
        <v>1008</v>
      </c>
      <c r="E282" s="3" t="s">
        <v>52</v>
      </c>
      <c r="F282" s="3" t="s">
        <v>53</v>
      </c>
      <c r="G282" s="17" t="s">
        <v>18</v>
      </c>
      <c r="H282" s="3">
        <v>1</v>
      </c>
      <c r="I282" s="4">
        <v>500</v>
      </c>
      <c r="J282" s="4">
        <v>500</v>
      </c>
      <c r="K282" s="5"/>
      <c r="L282" s="6"/>
    </row>
    <row r="283" spans="1:12">
      <c r="A283" s="3" t="s">
        <v>1009</v>
      </c>
      <c r="B283" s="3" t="s">
        <v>1010</v>
      </c>
      <c r="C283" s="3" t="s">
        <v>1010</v>
      </c>
      <c r="D283" s="3" t="s">
        <v>1011</v>
      </c>
      <c r="E283" s="3" t="s">
        <v>52</v>
      </c>
      <c r="F283" s="3" t="s">
        <v>53</v>
      </c>
      <c r="G283" s="17" t="s">
        <v>18</v>
      </c>
      <c r="H283" s="3">
        <v>1</v>
      </c>
      <c r="I283" s="4">
        <v>500</v>
      </c>
      <c r="J283" s="4">
        <v>500</v>
      </c>
      <c r="K283" s="5"/>
      <c r="L283" s="6"/>
    </row>
    <row r="284" spans="1:12">
      <c r="A284" s="11" t="s">
        <v>1012</v>
      </c>
      <c r="B284" s="11" t="s">
        <v>1013</v>
      </c>
      <c r="C284" s="11">
        <v>0</v>
      </c>
      <c r="D284" s="11" t="e">
        <v>#N/A</v>
      </c>
      <c r="E284" s="11" t="s">
        <v>447</v>
      </c>
      <c r="F284" s="11" t="s">
        <v>448</v>
      </c>
      <c r="G284" s="17"/>
      <c r="H284" s="11">
        <v>1</v>
      </c>
      <c r="I284" s="16">
        <v>3500</v>
      </c>
      <c r="J284" s="16">
        <v>3500</v>
      </c>
      <c r="K284" s="9" t="s">
        <v>449</v>
      </c>
      <c r="L284" s="6">
        <v>0</v>
      </c>
    </row>
    <row r="285" spans="1:12">
      <c r="A285" s="3" t="s">
        <v>1014</v>
      </c>
      <c r="B285" s="3" t="s">
        <v>1015</v>
      </c>
      <c r="C285" s="3" t="s">
        <v>1016</v>
      </c>
      <c r="D285" s="3" t="s">
        <v>1017</v>
      </c>
      <c r="E285" s="3" t="s">
        <v>52</v>
      </c>
      <c r="F285" s="3" t="s">
        <v>53</v>
      </c>
      <c r="G285" s="17" t="s">
        <v>18</v>
      </c>
      <c r="H285" s="3">
        <v>1</v>
      </c>
      <c r="I285" s="4">
        <v>2500</v>
      </c>
      <c r="J285" s="4">
        <v>2500</v>
      </c>
      <c r="K285" s="5">
        <v>0</v>
      </c>
      <c r="L285" s="6">
        <v>0</v>
      </c>
    </row>
    <row r="286" spans="1:12">
      <c r="A286" s="3" t="s">
        <v>1018</v>
      </c>
      <c r="B286" s="3" t="s">
        <v>1019</v>
      </c>
      <c r="C286" s="3" t="s">
        <v>1020</v>
      </c>
      <c r="D286" s="3" t="s">
        <v>1021</v>
      </c>
      <c r="E286" s="3" t="s">
        <v>52</v>
      </c>
      <c r="F286" s="3" t="s">
        <v>53</v>
      </c>
      <c r="G286" s="17" t="s">
        <v>18</v>
      </c>
      <c r="H286" s="3">
        <v>1</v>
      </c>
      <c r="I286" s="4">
        <v>1500</v>
      </c>
      <c r="J286" s="4">
        <v>1500</v>
      </c>
      <c r="K286" s="5">
        <v>0</v>
      </c>
      <c r="L286" s="6">
        <v>0</v>
      </c>
    </row>
    <row r="287" spans="1:12">
      <c r="A287" s="3" t="s">
        <v>1022</v>
      </c>
      <c r="B287" s="3" t="s">
        <v>1023</v>
      </c>
      <c r="C287" s="3">
        <v>0</v>
      </c>
      <c r="D287" s="3" t="s">
        <v>1024</v>
      </c>
      <c r="E287" s="3" t="s">
        <v>52</v>
      </c>
      <c r="F287" s="3" t="s">
        <v>53</v>
      </c>
      <c r="G287" s="17" t="s">
        <v>18</v>
      </c>
      <c r="H287" s="3">
        <v>1</v>
      </c>
      <c r="I287" s="4">
        <v>2000</v>
      </c>
      <c r="J287" s="4">
        <v>2000</v>
      </c>
      <c r="K287" s="5">
        <v>0</v>
      </c>
      <c r="L287" s="6">
        <v>0</v>
      </c>
    </row>
    <row r="288" spans="1:12">
      <c r="A288" s="3" t="s">
        <v>1025</v>
      </c>
      <c r="B288" s="3" t="s">
        <v>1026</v>
      </c>
      <c r="C288" s="3" t="s">
        <v>1027</v>
      </c>
      <c r="D288" s="3" t="s">
        <v>1028</v>
      </c>
      <c r="E288" s="3" t="s">
        <v>52</v>
      </c>
      <c r="F288" s="3" t="s">
        <v>53</v>
      </c>
      <c r="G288" s="17" t="s">
        <v>18</v>
      </c>
      <c r="H288" s="3">
        <v>1</v>
      </c>
      <c r="I288" s="4">
        <v>1000</v>
      </c>
      <c r="J288" s="4">
        <v>1000</v>
      </c>
      <c r="K288" s="5">
        <v>0</v>
      </c>
      <c r="L288" s="6">
        <v>0</v>
      </c>
    </row>
    <row r="289" spans="1:12">
      <c r="A289" s="3" t="s">
        <v>1029</v>
      </c>
      <c r="B289" s="3" t="s">
        <v>1030</v>
      </c>
      <c r="C289" s="3" t="s">
        <v>1031</v>
      </c>
      <c r="D289" s="3" t="s">
        <v>1032</v>
      </c>
      <c r="E289" s="3" t="s">
        <v>52</v>
      </c>
      <c r="F289" s="3" t="s">
        <v>53</v>
      </c>
      <c r="G289" s="17" t="s">
        <v>18</v>
      </c>
      <c r="H289" s="3">
        <v>1</v>
      </c>
      <c r="I289" s="4">
        <v>5000</v>
      </c>
      <c r="J289" s="4">
        <v>5000</v>
      </c>
      <c r="K289" s="5">
        <v>0</v>
      </c>
      <c r="L289" s="6">
        <v>0</v>
      </c>
    </row>
    <row r="290" spans="1:12">
      <c r="A290" s="3" t="s">
        <v>1033</v>
      </c>
      <c r="B290" s="3" t="s">
        <v>1034</v>
      </c>
      <c r="C290" s="3" t="s">
        <v>1035</v>
      </c>
      <c r="D290" s="3" t="s">
        <v>1036</v>
      </c>
      <c r="E290" s="3" t="s">
        <v>52</v>
      </c>
      <c r="F290" s="3" t="s">
        <v>53</v>
      </c>
      <c r="G290" s="17" t="s">
        <v>18</v>
      </c>
      <c r="H290" s="3">
        <v>1</v>
      </c>
      <c r="I290" s="4">
        <v>3500</v>
      </c>
      <c r="J290" s="4">
        <v>3500</v>
      </c>
      <c r="K290" s="5">
        <v>0</v>
      </c>
      <c r="L290" s="6">
        <v>0</v>
      </c>
    </row>
    <row r="291" spans="1:12">
      <c r="A291" s="3" t="s">
        <v>1037</v>
      </c>
      <c r="B291" s="3" t="s">
        <v>1038</v>
      </c>
      <c r="C291" s="3" t="s">
        <v>1038</v>
      </c>
      <c r="D291" s="3" t="s">
        <v>1039</v>
      </c>
      <c r="E291" s="3" t="s">
        <v>16</v>
      </c>
      <c r="F291" s="3" t="s">
        <v>17</v>
      </c>
      <c r="G291" s="17" t="s">
        <v>18</v>
      </c>
      <c r="H291" s="3">
        <v>1</v>
      </c>
      <c r="I291" s="4">
        <v>7000</v>
      </c>
      <c r="J291" s="4">
        <v>7000</v>
      </c>
      <c r="K291" s="5">
        <v>0</v>
      </c>
      <c r="L291" s="6">
        <v>0</v>
      </c>
    </row>
    <row r="292" spans="1:12">
      <c r="A292" s="3" t="s">
        <v>1040</v>
      </c>
      <c r="B292" s="3" t="s">
        <v>1041</v>
      </c>
      <c r="C292" s="3" t="s">
        <v>1041</v>
      </c>
      <c r="D292" s="3" t="s">
        <v>1042</v>
      </c>
      <c r="E292" s="3" t="s">
        <v>52</v>
      </c>
      <c r="F292" s="3" t="s">
        <v>53</v>
      </c>
      <c r="G292" s="17" t="s">
        <v>18</v>
      </c>
      <c r="H292" s="3">
        <v>1</v>
      </c>
      <c r="I292" s="4">
        <v>500</v>
      </c>
      <c r="J292" s="4">
        <v>500</v>
      </c>
      <c r="K292" s="5">
        <v>0</v>
      </c>
      <c r="L292" s="6">
        <v>0</v>
      </c>
    </row>
    <row r="293" spans="1:12">
      <c r="A293" s="3" t="s">
        <v>1043</v>
      </c>
      <c r="B293" s="3" t="s">
        <v>1044</v>
      </c>
      <c r="C293" s="3" t="s">
        <v>1045</v>
      </c>
      <c r="D293" s="3" t="s">
        <v>1046</v>
      </c>
      <c r="E293" s="3" t="s">
        <v>52</v>
      </c>
      <c r="F293" s="3" t="s">
        <v>53</v>
      </c>
      <c r="G293" s="17" t="s">
        <v>18</v>
      </c>
      <c r="H293" s="3">
        <v>1</v>
      </c>
      <c r="I293" s="4">
        <v>1000</v>
      </c>
      <c r="J293" s="4">
        <v>1000</v>
      </c>
      <c r="K293" s="5">
        <v>0</v>
      </c>
      <c r="L293" s="6">
        <v>0</v>
      </c>
    </row>
    <row r="294" spans="1:12">
      <c r="A294" s="3" t="s">
        <v>1047</v>
      </c>
      <c r="B294" s="3" t="s">
        <v>1048</v>
      </c>
      <c r="C294" s="3" t="s">
        <v>1049</v>
      </c>
      <c r="D294" s="3" t="s">
        <v>1050</v>
      </c>
      <c r="E294" s="3" t="s">
        <v>16</v>
      </c>
      <c r="F294" s="3" t="s">
        <v>17</v>
      </c>
      <c r="G294" s="17" t="s">
        <v>18</v>
      </c>
      <c r="H294" s="3">
        <v>1</v>
      </c>
      <c r="I294" s="4">
        <v>6000</v>
      </c>
      <c r="J294" s="4">
        <v>6000</v>
      </c>
      <c r="K294" s="5">
        <v>0</v>
      </c>
      <c r="L294" s="6">
        <v>0</v>
      </c>
    </row>
    <row r="295" spans="1:12">
      <c r="A295" s="3" t="s">
        <v>1051</v>
      </c>
      <c r="B295" s="3" t="s">
        <v>1052</v>
      </c>
      <c r="C295" s="3" t="s">
        <v>1053</v>
      </c>
      <c r="D295" s="3" t="s">
        <v>1054</v>
      </c>
      <c r="E295" s="3" t="s">
        <v>16</v>
      </c>
      <c r="F295" s="3" t="s">
        <v>17</v>
      </c>
      <c r="G295" s="17" t="s">
        <v>18</v>
      </c>
      <c r="H295" s="3">
        <v>1</v>
      </c>
      <c r="I295" s="4">
        <v>3000</v>
      </c>
      <c r="J295" s="4">
        <v>3000</v>
      </c>
      <c r="K295" s="5">
        <v>0</v>
      </c>
      <c r="L295" s="6">
        <v>0</v>
      </c>
    </row>
    <row r="296" spans="1:12">
      <c r="A296" s="3" t="s">
        <v>1055</v>
      </c>
      <c r="B296" s="3" t="s">
        <v>1056</v>
      </c>
      <c r="C296" s="3" t="s">
        <v>1056</v>
      </c>
      <c r="D296" s="3" t="s">
        <v>1057</v>
      </c>
      <c r="E296" s="3" t="s">
        <v>52</v>
      </c>
      <c r="F296" s="3" t="s">
        <v>53</v>
      </c>
      <c r="G296" s="17" t="s">
        <v>18</v>
      </c>
      <c r="H296" s="3">
        <v>1</v>
      </c>
      <c r="I296" s="4">
        <v>500</v>
      </c>
      <c r="J296" s="4">
        <v>500</v>
      </c>
      <c r="K296" s="5">
        <v>0</v>
      </c>
      <c r="L296" s="6">
        <v>0</v>
      </c>
    </row>
    <row r="297" spans="1:12">
      <c r="A297" s="3" t="s">
        <v>1058</v>
      </c>
      <c r="B297" s="3" t="s">
        <v>1059</v>
      </c>
      <c r="C297" s="3" t="s">
        <v>1059</v>
      </c>
      <c r="D297" s="3" t="s">
        <v>1060</v>
      </c>
      <c r="E297" s="3" t="s">
        <v>52</v>
      </c>
      <c r="F297" s="3" t="s">
        <v>53</v>
      </c>
      <c r="G297" s="17" t="s">
        <v>18</v>
      </c>
      <c r="H297" s="3">
        <v>1</v>
      </c>
      <c r="I297" s="4">
        <v>500</v>
      </c>
      <c r="J297" s="4">
        <v>500</v>
      </c>
      <c r="K297" s="5">
        <v>0</v>
      </c>
      <c r="L297" s="6">
        <v>0</v>
      </c>
    </row>
    <row r="298" spans="1:12">
      <c r="A298" s="3" t="s">
        <v>1061</v>
      </c>
      <c r="B298" s="3" t="s">
        <v>1062</v>
      </c>
      <c r="C298" s="3" t="s">
        <v>1062</v>
      </c>
      <c r="D298" s="3" t="s">
        <v>1063</v>
      </c>
      <c r="E298" s="3" t="s">
        <v>52</v>
      </c>
      <c r="F298" s="3" t="s">
        <v>53</v>
      </c>
      <c r="G298" s="17" t="s">
        <v>18</v>
      </c>
      <c r="H298" s="3">
        <v>1</v>
      </c>
      <c r="I298" s="4">
        <v>500</v>
      </c>
      <c r="J298" s="4">
        <v>500</v>
      </c>
      <c r="K298" s="5">
        <v>0</v>
      </c>
      <c r="L298" s="6">
        <v>0</v>
      </c>
    </row>
    <row r="299" spans="1:12">
      <c r="A299" s="3" t="s">
        <v>1064</v>
      </c>
      <c r="B299" s="3" t="s">
        <v>1065</v>
      </c>
      <c r="C299" s="3" t="s">
        <v>1065</v>
      </c>
      <c r="D299" s="3" t="s">
        <v>1066</v>
      </c>
      <c r="E299" s="3" t="s">
        <v>52</v>
      </c>
      <c r="F299" s="3" t="s">
        <v>53</v>
      </c>
      <c r="G299" s="17" t="s">
        <v>18</v>
      </c>
      <c r="H299" s="3">
        <v>1</v>
      </c>
      <c r="I299" s="4">
        <v>2500</v>
      </c>
      <c r="J299" s="4">
        <v>2500</v>
      </c>
      <c r="K299" s="5">
        <v>0</v>
      </c>
      <c r="L299" s="6">
        <v>0</v>
      </c>
    </row>
    <row r="300" spans="1:12">
      <c r="A300" s="3" t="s">
        <v>1067</v>
      </c>
      <c r="B300" s="3" t="s">
        <v>1068</v>
      </c>
      <c r="C300" s="3" t="s">
        <v>1069</v>
      </c>
      <c r="D300" s="3" t="s">
        <v>1070</v>
      </c>
      <c r="E300" s="3" t="s">
        <v>52</v>
      </c>
      <c r="F300" s="3" t="s">
        <v>53</v>
      </c>
      <c r="G300" s="17" t="s">
        <v>18</v>
      </c>
      <c r="H300" s="3">
        <v>1</v>
      </c>
      <c r="I300" s="4">
        <v>3500</v>
      </c>
      <c r="J300" s="4">
        <v>3500</v>
      </c>
      <c r="K300" s="5">
        <v>0</v>
      </c>
      <c r="L300" s="6">
        <v>0</v>
      </c>
    </row>
    <row r="301" spans="1:12">
      <c r="A301" s="3" t="s">
        <v>1071</v>
      </c>
      <c r="B301" s="3" t="s">
        <v>931</v>
      </c>
      <c r="C301" s="3" t="s">
        <v>931</v>
      </c>
      <c r="D301" s="3" t="s">
        <v>1072</v>
      </c>
      <c r="E301" s="3" t="s">
        <v>52</v>
      </c>
      <c r="F301" s="3" t="s">
        <v>53</v>
      </c>
      <c r="G301" s="17" t="s">
        <v>18</v>
      </c>
      <c r="H301" s="3">
        <v>1</v>
      </c>
      <c r="I301" s="4">
        <v>1000</v>
      </c>
      <c r="J301" s="4">
        <v>1000</v>
      </c>
      <c r="K301" s="5">
        <v>0</v>
      </c>
      <c r="L301" s="6">
        <v>0</v>
      </c>
    </row>
    <row r="302" spans="1:12">
      <c r="A302" s="3" t="s">
        <v>1073</v>
      </c>
      <c r="B302" s="3" t="s">
        <v>1074</v>
      </c>
      <c r="C302" s="3" t="s">
        <v>1075</v>
      </c>
      <c r="D302" s="3" t="s">
        <v>1076</v>
      </c>
      <c r="E302" s="3" t="s">
        <v>52</v>
      </c>
      <c r="F302" s="3" t="s">
        <v>53</v>
      </c>
      <c r="G302" s="17" t="s">
        <v>18</v>
      </c>
      <c r="H302" s="3">
        <v>1</v>
      </c>
      <c r="I302" s="4">
        <v>1500</v>
      </c>
      <c r="J302" s="4">
        <v>1500</v>
      </c>
      <c r="K302" s="5">
        <v>0</v>
      </c>
      <c r="L302" s="6">
        <v>0</v>
      </c>
    </row>
    <row r="303" spans="1:12">
      <c r="A303" s="11" t="s">
        <v>1077</v>
      </c>
      <c r="B303" s="11" t="s">
        <v>1078</v>
      </c>
      <c r="C303" s="11" t="s">
        <v>1078</v>
      </c>
      <c r="D303" s="11" t="s">
        <v>1079</v>
      </c>
      <c r="E303" s="11" t="s">
        <v>52</v>
      </c>
      <c r="F303" s="11" t="s">
        <v>53</v>
      </c>
      <c r="G303" s="17" t="s">
        <v>18</v>
      </c>
      <c r="H303" s="11">
        <v>1</v>
      </c>
      <c r="I303" s="16">
        <v>3500</v>
      </c>
      <c r="J303" s="16">
        <v>3500</v>
      </c>
      <c r="K303" s="9" t="s">
        <v>449</v>
      </c>
      <c r="L303" s="6">
        <v>0</v>
      </c>
    </row>
    <row r="304" spans="1:12">
      <c r="A304" s="11" t="s">
        <v>1080</v>
      </c>
      <c r="B304" s="11" t="s">
        <v>1081</v>
      </c>
      <c r="C304" s="11" t="s">
        <v>1081</v>
      </c>
      <c r="D304" s="11" t="s">
        <v>1082</v>
      </c>
      <c r="E304" s="11" t="s">
        <v>447</v>
      </c>
      <c r="F304" s="11" t="s">
        <v>448</v>
      </c>
      <c r="G304" s="17" t="s">
        <v>18</v>
      </c>
      <c r="H304" s="11">
        <v>1</v>
      </c>
      <c r="I304" s="16">
        <v>2500</v>
      </c>
      <c r="J304" s="16">
        <v>2500</v>
      </c>
      <c r="K304" s="9" t="s">
        <v>449</v>
      </c>
      <c r="L304" s="6">
        <v>0</v>
      </c>
    </row>
    <row r="305" spans="1:12">
      <c r="A305" s="3" t="s">
        <v>1083</v>
      </c>
      <c r="B305" s="3" t="s">
        <v>1084</v>
      </c>
      <c r="C305" s="3" t="s">
        <v>1084</v>
      </c>
      <c r="D305" s="3" t="s">
        <v>1085</v>
      </c>
      <c r="E305" s="3" t="s">
        <v>23</v>
      </c>
      <c r="F305" s="3" t="s">
        <v>24</v>
      </c>
      <c r="G305" s="17" t="s">
        <v>18</v>
      </c>
      <c r="H305" s="3">
        <v>1</v>
      </c>
      <c r="I305" s="4">
        <v>5000</v>
      </c>
      <c r="J305" s="4">
        <v>5000</v>
      </c>
      <c r="K305" s="5">
        <v>0</v>
      </c>
      <c r="L305" s="6">
        <v>0</v>
      </c>
    </row>
    <row r="306" spans="1:12">
      <c r="A306" s="11" t="s">
        <v>1086</v>
      </c>
      <c r="B306" s="11" t="s">
        <v>1087</v>
      </c>
      <c r="C306" s="11" t="s">
        <v>1087</v>
      </c>
      <c r="D306" s="11" t="s">
        <v>1088</v>
      </c>
      <c r="E306" s="11" t="s">
        <v>447</v>
      </c>
      <c r="F306" s="11" t="s">
        <v>448</v>
      </c>
      <c r="G306" s="17" t="s">
        <v>18</v>
      </c>
      <c r="H306" s="11">
        <v>1</v>
      </c>
      <c r="I306" s="16">
        <v>500</v>
      </c>
      <c r="J306" s="16">
        <v>500</v>
      </c>
      <c r="K306" s="9" t="s">
        <v>449</v>
      </c>
      <c r="L306" s="6">
        <v>0</v>
      </c>
    </row>
    <row r="307" spans="1:12">
      <c r="A307" s="3" t="s">
        <v>1089</v>
      </c>
      <c r="B307" s="3" t="s">
        <v>1090</v>
      </c>
      <c r="C307" s="3" t="s">
        <v>1091</v>
      </c>
      <c r="D307" s="3" t="s">
        <v>1092</v>
      </c>
      <c r="E307" s="3" t="s">
        <v>16</v>
      </c>
      <c r="F307" s="3" t="s">
        <v>17</v>
      </c>
      <c r="G307" s="17" t="s">
        <v>18</v>
      </c>
      <c r="H307" s="3">
        <v>1</v>
      </c>
      <c r="I307" s="4">
        <v>1000</v>
      </c>
      <c r="J307" s="4">
        <v>1000</v>
      </c>
      <c r="K307" s="5"/>
      <c r="L307" s="6"/>
    </row>
    <row r="308" spans="1:12">
      <c r="A308" s="11" t="s">
        <v>1093</v>
      </c>
      <c r="B308" s="11" t="s">
        <v>1094</v>
      </c>
      <c r="C308" s="11" t="s">
        <v>1095</v>
      </c>
      <c r="D308" s="11" t="s">
        <v>1096</v>
      </c>
      <c r="E308" s="11" t="s">
        <v>447</v>
      </c>
      <c r="F308" s="11" t="s">
        <v>448</v>
      </c>
      <c r="G308" s="17" t="s">
        <v>18</v>
      </c>
      <c r="H308" s="11">
        <v>1</v>
      </c>
      <c r="I308" s="16">
        <v>4500</v>
      </c>
      <c r="J308" s="16">
        <v>4500</v>
      </c>
      <c r="K308" s="9" t="s">
        <v>449</v>
      </c>
      <c r="L308" s="6">
        <v>0</v>
      </c>
    </row>
    <row r="309" spans="1:12">
      <c r="A309" s="3" t="s">
        <v>1097</v>
      </c>
      <c r="B309" s="3" t="s">
        <v>1098</v>
      </c>
      <c r="C309" s="3" t="s">
        <v>1099</v>
      </c>
      <c r="D309" s="3" t="s">
        <v>1100</v>
      </c>
      <c r="E309" s="3" t="s">
        <v>52</v>
      </c>
      <c r="F309" s="3" t="s">
        <v>53</v>
      </c>
      <c r="G309" s="17" t="s">
        <v>18</v>
      </c>
      <c r="H309" s="3">
        <v>1</v>
      </c>
      <c r="I309" s="4">
        <v>2000</v>
      </c>
      <c r="J309" s="4">
        <v>2000</v>
      </c>
      <c r="K309" s="5">
        <v>0</v>
      </c>
      <c r="L309" s="6">
        <v>0</v>
      </c>
    </row>
    <row r="310" spans="1:12">
      <c r="A310" s="11" t="s">
        <v>1101</v>
      </c>
      <c r="B310" s="11" t="s">
        <v>1102</v>
      </c>
      <c r="C310" s="11" t="s">
        <v>1102</v>
      </c>
      <c r="D310" s="11" t="s">
        <v>1103</v>
      </c>
      <c r="E310" s="11" t="s">
        <v>447</v>
      </c>
      <c r="F310" s="11" t="s">
        <v>448</v>
      </c>
      <c r="G310" s="17" t="s">
        <v>18</v>
      </c>
      <c r="H310" s="11">
        <v>1</v>
      </c>
      <c r="I310" s="16">
        <v>3000</v>
      </c>
      <c r="J310" s="16">
        <v>3000</v>
      </c>
      <c r="K310" s="9" t="s">
        <v>449</v>
      </c>
      <c r="L310" s="6">
        <v>0</v>
      </c>
    </row>
    <row r="311" spans="1:12">
      <c r="A311" s="3" t="s">
        <v>1104</v>
      </c>
      <c r="B311" s="3" t="s">
        <v>1105</v>
      </c>
      <c r="C311" s="3" t="s">
        <v>1106</v>
      </c>
      <c r="D311" s="3" t="s">
        <v>1107</v>
      </c>
      <c r="E311" s="3" t="s">
        <v>16</v>
      </c>
      <c r="F311" s="3" t="s">
        <v>17</v>
      </c>
      <c r="G311" s="17" t="s">
        <v>18</v>
      </c>
      <c r="H311" s="3">
        <v>1</v>
      </c>
      <c r="I311" s="4">
        <v>1000</v>
      </c>
      <c r="J311" s="4">
        <v>1000</v>
      </c>
      <c r="K311" s="5">
        <v>0</v>
      </c>
      <c r="L311" s="6">
        <v>0</v>
      </c>
    </row>
    <row r="312" spans="1:12">
      <c r="A312" s="3" t="s">
        <v>1108</v>
      </c>
      <c r="B312" s="3" t="s">
        <v>1109</v>
      </c>
      <c r="C312" s="3" t="s">
        <v>1109</v>
      </c>
      <c r="D312" s="3" t="s">
        <v>1110</v>
      </c>
      <c r="E312" s="3" t="s">
        <v>16</v>
      </c>
      <c r="F312" s="3" t="s">
        <v>17</v>
      </c>
      <c r="G312" s="17" t="s">
        <v>18</v>
      </c>
      <c r="H312" s="3">
        <v>1</v>
      </c>
      <c r="I312" s="4">
        <v>2000</v>
      </c>
      <c r="J312" s="4">
        <v>2000</v>
      </c>
      <c r="K312" s="5">
        <v>0</v>
      </c>
      <c r="L312" s="6">
        <v>0</v>
      </c>
    </row>
    <row r="313" spans="1:12">
      <c r="A313" s="3" t="s">
        <v>1111</v>
      </c>
      <c r="B313" s="3" t="s">
        <v>1112</v>
      </c>
      <c r="C313" s="3" t="s">
        <v>1113</v>
      </c>
      <c r="D313" s="3" t="s">
        <v>1114</v>
      </c>
      <c r="E313" s="3" t="s">
        <v>16</v>
      </c>
      <c r="F313" s="3" t="s">
        <v>17</v>
      </c>
      <c r="G313" s="17" t="s">
        <v>18</v>
      </c>
      <c r="H313" s="3">
        <v>1</v>
      </c>
      <c r="I313" s="4">
        <v>1000</v>
      </c>
      <c r="J313" s="4">
        <v>1000</v>
      </c>
      <c r="K313" s="5">
        <v>0</v>
      </c>
      <c r="L313" s="6">
        <v>0</v>
      </c>
    </row>
    <row r="314" spans="1:12">
      <c r="A314" s="3" t="s">
        <v>1115</v>
      </c>
      <c r="B314" s="3" t="s">
        <v>1116</v>
      </c>
      <c r="C314" s="3" t="s">
        <v>1116</v>
      </c>
      <c r="D314" s="3" t="s">
        <v>1117</v>
      </c>
      <c r="E314" s="3" t="s">
        <v>52</v>
      </c>
      <c r="F314" s="3" t="s">
        <v>53</v>
      </c>
      <c r="G314" s="17" t="s">
        <v>18</v>
      </c>
      <c r="H314" s="3">
        <v>1</v>
      </c>
      <c r="I314" s="4">
        <v>500</v>
      </c>
      <c r="J314" s="4">
        <v>500</v>
      </c>
      <c r="K314" s="5">
        <v>0</v>
      </c>
      <c r="L314" s="6">
        <v>0</v>
      </c>
    </row>
    <row r="315" spans="1:12">
      <c r="A315" s="3" t="s">
        <v>1118</v>
      </c>
      <c r="B315" s="3" t="s">
        <v>1119</v>
      </c>
      <c r="C315" s="3" t="s">
        <v>1119</v>
      </c>
      <c r="D315" s="3" t="s">
        <v>1120</v>
      </c>
      <c r="E315" s="3" t="s">
        <v>52</v>
      </c>
      <c r="F315" s="3" t="s">
        <v>53</v>
      </c>
      <c r="G315" s="17"/>
      <c r="H315" s="3">
        <v>1</v>
      </c>
      <c r="I315" s="4">
        <v>500</v>
      </c>
      <c r="J315" s="4">
        <v>500</v>
      </c>
      <c r="K315" s="5">
        <v>0</v>
      </c>
      <c r="L315" s="6">
        <v>0</v>
      </c>
    </row>
    <row r="316" spans="1:12">
      <c r="A316" s="3" t="s">
        <v>1121</v>
      </c>
      <c r="B316" s="3" t="s">
        <v>1122</v>
      </c>
      <c r="C316" s="3" t="s">
        <v>1122</v>
      </c>
      <c r="D316" s="3" t="s">
        <v>1123</v>
      </c>
      <c r="E316" s="3" t="s">
        <v>52</v>
      </c>
      <c r="F316" s="3" t="s">
        <v>53</v>
      </c>
      <c r="G316" s="17" t="s">
        <v>18</v>
      </c>
      <c r="H316" s="3">
        <v>1</v>
      </c>
      <c r="I316" s="4">
        <v>500</v>
      </c>
      <c r="J316" s="4">
        <v>500</v>
      </c>
      <c r="K316" s="5">
        <v>0</v>
      </c>
      <c r="L316" s="6">
        <v>0</v>
      </c>
    </row>
    <row r="317" spans="1:12">
      <c r="A317" s="3" t="s">
        <v>1124</v>
      </c>
      <c r="B317" s="3" t="s">
        <v>1125</v>
      </c>
      <c r="C317" s="3" t="s">
        <v>1126</v>
      </c>
      <c r="D317" s="3" t="s">
        <v>1127</v>
      </c>
      <c r="E317" s="3" t="s">
        <v>16</v>
      </c>
      <c r="F317" s="3" t="s">
        <v>17</v>
      </c>
      <c r="G317" s="17" t="s">
        <v>18</v>
      </c>
      <c r="H317" s="3">
        <v>1</v>
      </c>
      <c r="I317" s="4">
        <v>1000</v>
      </c>
      <c r="J317" s="4">
        <v>1000</v>
      </c>
      <c r="K317" s="5"/>
      <c r="L317" s="6"/>
    </row>
    <row r="318" spans="1:12">
      <c r="A318" s="3" t="s">
        <v>1128</v>
      </c>
      <c r="B318" s="3" t="s">
        <v>1129</v>
      </c>
      <c r="C318" s="3" t="s">
        <v>1129</v>
      </c>
      <c r="D318" s="3" t="s">
        <v>1130</v>
      </c>
      <c r="E318" s="3" t="s">
        <v>52</v>
      </c>
      <c r="F318" s="3" t="s">
        <v>53</v>
      </c>
      <c r="G318" s="17" t="s">
        <v>18</v>
      </c>
      <c r="H318" s="3">
        <v>1</v>
      </c>
      <c r="I318" s="4">
        <v>1000</v>
      </c>
      <c r="J318" s="4">
        <v>1000</v>
      </c>
      <c r="K318" s="5">
        <v>0</v>
      </c>
      <c r="L318" s="6">
        <v>0</v>
      </c>
    </row>
    <row r="319" spans="1:12">
      <c r="A319" s="3" t="s">
        <v>1131</v>
      </c>
      <c r="B319" s="3" t="s">
        <v>1132</v>
      </c>
      <c r="C319" s="3" t="s">
        <v>1133</v>
      </c>
      <c r="D319" s="3" t="s">
        <v>1134</v>
      </c>
      <c r="E319" s="3" t="s">
        <v>52</v>
      </c>
      <c r="F319" s="3" t="s">
        <v>53</v>
      </c>
      <c r="G319" s="17" t="s">
        <v>18</v>
      </c>
      <c r="H319" s="3">
        <v>1</v>
      </c>
      <c r="I319" s="4">
        <v>1000</v>
      </c>
      <c r="J319" s="4">
        <v>1000</v>
      </c>
      <c r="K319" s="5">
        <v>0</v>
      </c>
      <c r="L319" s="6">
        <v>0</v>
      </c>
    </row>
    <row r="320" spans="1:12">
      <c r="A320" s="3" t="s">
        <v>1135</v>
      </c>
      <c r="B320" s="3" t="s">
        <v>1136</v>
      </c>
      <c r="C320" s="3" t="s">
        <v>1137</v>
      </c>
      <c r="D320" s="3" t="s">
        <v>1138</v>
      </c>
      <c r="E320" s="3" t="s">
        <v>52</v>
      </c>
      <c r="F320" s="3" t="s">
        <v>53</v>
      </c>
      <c r="G320" s="17" t="s">
        <v>18</v>
      </c>
      <c r="H320" s="3">
        <v>1</v>
      </c>
      <c r="I320" s="4">
        <v>500</v>
      </c>
      <c r="J320" s="4">
        <v>500</v>
      </c>
      <c r="K320" s="5">
        <v>0</v>
      </c>
      <c r="L320" s="6">
        <v>0</v>
      </c>
    </row>
    <row r="321" spans="1:12">
      <c r="A321" s="11" t="s">
        <v>736</v>
      </c>
      <c r="B321" s="11" t="s">
        <v>1139</v>
      </c>
      <c r="C321" s="11">
        <v>0</v>
      </c>
      <c r="D321" s="11" t="e">
        <v>#N/A</v>
      </c>
      <c r="E321" s="11" t="s">
        <v>447</v>
      </c>
      <c r="F321" s="11" t="s">
        <v>448</v>
      </c>
      <c r="G321" s="17"/>
      <c r="H321" s="11">
        <v>1</v>
      </c>
      <c r="I321" s="16">
        <v>1000</v>
      </c>
      <c r="J321" s="16">
        <v>1000</v>
      </c>
      <c r="K321" s="9" t="s">
        <v>449</v>
      </c>
      <c r="L321" s="6">
        <v>0</v>
      </c>
    </row>
    <row r="322" spans="1:12">
      <c r="A322" s="3" t="s">
        <v>1140</v>
      </c>
      <c r="B322" s="3" t="s">
        <v>1141</v>
      </c>
      <c r="C322" s="3" t="s">
        <v>1141</v>
      </c>
      <c r="D322" s="3" t="s">
        <v>1142</v>
      </c>
      <c r="E322" s="3" t="s">
        <v>52</v>
      </c>
      <c r="F322" s="3" t="s">
        <v>53</v>
      </c>
      <c r="G322" s="17" t="s">
        <v>18</v>
      </c>
      <c r="H322" s="3">
        <v>1</v>
      </c>
      <c r="I322" s="4">
        <v>1000</v>
      </c>
      <c r="J322" s="4">
        <v>1000</v>
      </c>
      <c r="K322" s="5">
        <v>0</v>
      </c>
      <c r="L322" s="6">
        <v>0</v>
      </c>
    </row>
    <row r="323" spans="1:12">
      <c r="A323" s="3" t="s">
        <v>1143</v>
      </c>
      <c r="B323" s="3" t="s">
        <v>1144</v>
      </c>
      <c r="C323" s="3" t="s">
        <v>1145</v>
      </c>
      <c r="D323" s="3" t="s">
        <v>1146</v>
      </c>
      <c r="E323" s="3" t="s">
        <v>52</v>
      </c>
      <c r="F323" s="3" t="s">
        <v>53</v>
      </c>
      <c r="G323" s="17" t="s">
        <v>18</v>
      </c>
      <c r="H323" s="3">
        <v>1</v>
      </c>
      <c r="I323" s="4">
        <v>500</v>
      </c>
      <c r="J323" s="4">
        <v>500</v>
      </c>
      <c r="K323" s="5"/>
      <c r="L323" s="6"/>
    </row>
    <row r="324" spans="1:12">
      <c r="A324" s="3" t="s">
        <v>1147</v>
      </c>
      <c r="B324" s="3" t="s">
        <v>1148</v>
      </c>
      <c r="C324" s="3" t="s">
        <v>1148</v>
      </c>
      <c r="D324" s="3" t="s">
        <v>1149</v>
      </c>
      <c r="E324" s="3" t="s">
        <v>52</v>
      </c>
      <c r="F324" s="3" t="s">
        <v>53</v>
      </c>
      <c r="G324" s="17" t="s">
        <v>425</v>
      </c>
      <c r="H324" s="3">
        <v>1</v>
      </c>
      <c r="I324" s="4">
        <v>500</v>
      </c>
      <c r="J324" s="4">
        <v>500</v>
      </c>
      <c r="K324" s="5"/>
      <c r="L324" s="6"/>
    </row>
    <row r="325" spans="1:12">
      <c r="A325" s="3" t="s">
        <v>1150</v>
      </c>
      <c r="B325" s="3" t="s">
        <v>1151</v>
      </c>
      <c r="C325" s="3" t="s">
        <v>1151</v>
      </c>
      <c r="D325" s="3" t="s">
        <v>1152</v>
      </c>
      <c r="E325" s="3" t="s">
        <v>52</v>
      </c>
      <c r="F325" s="3" t="s">
        <v>53</v>
      </c>
      <c r="G325" s="17" t="s">
        <v>18</v>
      </c>
      <c r="H325" s="3">
        <v>1</v>
      </c>
      <c r="I325" s="4">
        <v>2500</v>
      </c>
      <c r="J325" s="4">
        <v>2500</v>
      </c>
      <c r="K325" s="5">
        <v>0</v>
      </c>
      <c r="L325" s="10"/>
    </row>
    <row r="326" spans="1:12">
      <c r="A326" s="3" t="s">
        <v>1153</v>
      </c>
      <c r="B326" s="3" t="s">
        <v>1154</v>
      </c>
      <c r="C326" s="3" t="s">
        <v>1155</v>
      </c>
      <c r="D326" s="3" t="s">
        <v>1156</v>
      </c>
      <c r="E326" s="3" t="s">
        <v>16</v>
      </c>
      <c r="F326" s="3" t="s">
        <v>17</v>
      </c>
      <c r="G326" s="17" t="s">
        <v>18</v>
      </c>
      <c r="H326" s="3">
        <v>1</v>
      </c>
      <c r="I326" s="4">
        <v>1000</v>
      </c>
      <c r="J326" s="4">
        <v>1000</v>
      </c>
      <c r="K326" s="5"/>
      <c r="L326" s="6"/>
    </row>
    <row r="327" spans="1:12">
      <c r="A327" s="3" t="s">
        <v>736</v>
      </c>
      <c r="B327" s="3" t="s">
        <v>1157</v>
      </c>
      <c r="C327" s="3">
        <v>0</v>
      </c>
      <c r="D327" s="3" t="e">
        <v>#N/A</v>
      </c>
      <c r="E327" s="3" t="s">
        <v>52</v>
      </c>
      <c r="F327" s="3" t="s">
        <v>53</v>
      </c>
      <c r="G327" s="17"/>
      <c r="H327" s="3">
        <v>1</v>
      </c>
      <c r="I327" s="4">
        <v>1000</v>
      </c>
      <c r="J327" s="4">
        <v>1000</v>
      </c>
      <c r="K327" s="5">
        <v>0</v>
      </c>
      <c r="L327" s="6" t="s">
        <v>1158</v>
      </c>
    </row>
    <row r="328" spans="1:12">
      <c r="A328" s="3" t="s">
        <v>736</v>
      </c>
      <c r="B328" s="3" t="s">
        <v>1159</v>
      </c>
      <c r="C328" s="3">
        <v>0</v>
      </c>
      <c r="D328" s="3" t="e">
        <v>#N/A</v>
      </c>
      <c r="E328" s="3" t="s">
        <v>16</v>
      </c>
      <c r="F328" s="3" t="s">
        <v>17</v>
      </c>
      <c r="G328" s="17"/>
      <c r="H328" s="3">
        <v>1</v>
      </c>
      <c r="I328" s="4">
        <v>3000</v>
      </c>
      <c r="J328" s="4">
        <v>3000</v>
      </c>
      <c r="K328" s="5">
        <v>0</v>
      </c>
      <c r="L328" s="6" t="s">
        <v>1158</v>
      </c>
    </row>
    <row r="329" spans="1:12">
      <c r="A329" s="3" t="s">
        <v>736</v>
      </c>
      <c r="B329" s="3" t="s">
        <v>1160</v>
      </c>
      <c r="C329" s="3">
        <v>0</v>
      </c>
      <c r="D329" s="3" t="e">
        <v>#N/A</v>
      </c>
      <c r="E329" s="3" t="s">
        <v>52</v>
      </c>
      <c r="F329" s="3" t="s">
        <v>53</v>
      </c>
      <c r="G329" s="17"/>
      <c r="H329" s="3">
        <v>1</v>
      </c>
      <c r="I329" s="4">
        <v>500</v>
      </c>
      <c r="J329" s="4">
        <v>500</v>
      </c>
      <c r="K329" s="5">
        <v>0</v>
      </c>
      <c r="L329" s="6" t="s">
        <v>1158</v>
      </c>
    </row>
    <row r="330" spans="1:12">
      <c r="A330" s="3" t="s">
        <v>736</v>
      </c>
      <c r="B330" s="3" t="s">
        <v>1161</v>
      </c>
      <c r="C330" s="3">
        <v>0</v>
      </c>
      <c r="D330" s="3" t="e">
        <v>#N/A</v>
      </c>
      <c r="E330" s="3" t="s">
        <v>52</v>
      </c>
      <c r="F330" s="3" t="s">
        <v>53</v>
      </c>
      <c r="G330" s="17"/>
      <c r="H330" s="3">
        <v>1</v>
      </c>
      <c r="I330" s="4">
        <v>500</v>
      </c>
      <c r="J330" s="4">
        <v>500</v>
      </c>
      <c r="K330" s="5">
        <v>0</v>
      </c>
      <c r="L330" s="6">
        <v>0</v>
      </c>
    </row>
    <row r="331" spans="1:12">
      <c r="A331" s="3" t="s">
        <v>736</v>
      </c>
      <c r="B331" s="7" t="s">
        <v>1162</v>
      </c>
      <c r="C331" s="7">
        <v>0</v>
      </c>
      <c r="D331" s="7" t="e">
        <v>#N/A</v>
      </c>
      <c r="E331" s="7" t="s">
        <v>52</v>
      </c>
      <c r="F331" s="7" t="s">
        <v>53</v>
      </c>
      <c r="G331" s="17"/>
      <c r="H331" s="3">
        <v>1</v>
      </c>
      <c r="I331" s="8">
        <v>7000</v>
      </c>
      <c r="J331" s="8">
        <v>7000</v>
      </c>
      <c r="K331" s="5">
        <v>0</v>
      </c>
      <c r="L331" s="6" t="s">
        <v>1158</v>
      </c>
    </row>
    <row r="332" spans="1:12">
      <c r="A332" s="11" t="s">
        <v>736</v>
      </c>
      <c r="B332" s="11" t="s">
        <v>1163</v>
      </c>
      <c r="C332" s="11">
        <v>0</v>
      </c>
      <c r="D332" s="11" t="e">
        <v>#N/A</v>
      </c>
      <c r="E332" s="11" t="s">
        <v>447</v>
      </c>
      <c r="F332" s="11" t="s">
        <v>448</v>
      </c>
      <c r="G332" s="17"/>
      <c r="H332" s="11">
        <v>1</v>
      </c>
      <c r="I332" s="16">
        <v>5000</v>
      </c>
      <c r="J332" s="16">
        <v>5000</v>
      </c>
      <c r="K332" s="9" t="s">
        <v>449</v>
      </c>
      <c r="L332" s="6" t="s">
        <v>1158</v>
      </c>
    </row>
    <row r="333" spans="1:12">
      <c r="A333" s="3" t="s">
        <v>736</v>
      </c>
      <c r="B333" s="3" t="s">
        <v>1164</v>
      </c>
      <c r="C333" s="3">
        <v>0</v>
      </c>
      <c r="D333" s="3" t="e">
        <v>#N/A</v>
      </c>
      <c r="E333" s="3" t="s">
        <v>52</v>
      </c>
      <c r="F333" s="3" t="s">
        <v>53</v>
      </c>
      <c r="G333" s="17"/>
      <c r="H333" s="3">
        <v>1</v>
      </c>
      <c r="I333" s="4">
        <v>1500</v>
      </c>
      <c r="J333" s="4">
        <v>1500</v>
      </c>
      <c r="K333" s="5" t="s">
        <v>1165</v>
      </c>
      <c r="L333" s="6" t="s">
        <v>1166</v>
      </c>
    </row>
    <row r="334" spans="1:12">
      <c r="A334" s="3" t="s">
        <v>736</v>
      </c>
      <c r="B334" s="3" t="s">
        <v>1167</v>
      </c>
      <c r="C334" s="3">
        <v>0</v>
      </c>
      <c r="D334" s="3" t="e">
        <v>#N/A</v>
      </c>
      <c r="E334" s="3" t="s">
        <v>52</v>
      </c>
      <c r="F334" s="3" t="s">
        <v>53</v>
      </c>
      <c r="G334" s="17"/>
      <c r="H334" s="3">
        <v>1</v>
      </c>
      <c r="I334" s="4">
        <v>8000</v>
      </c>
      <c r="J334" s="4">
        <v>8000</v>
      </c>
      <c r="K334" s="5">
        <v>0</v>
      </c>
      <c r="L334" s="6" t="s">
        <v>1158</v>
      </c>
    </row>
    <row r="335" spans="1:12">
      <c r="A335" s="11" t="s">
        <v>736</v>
      </c>
      <c r="B335" s="11" t="s">
        <v>1168</v>
      </c>
      <c r="C335" s="11">
        <v>0</v>
      </c>
      <c r="D335" s="11" t="e">
        <v>#N/A</v>
      </c>
      <c r="E335" s="11" t="s">
        <v>447</v>
      </c>
      <c r="F335" s="11" t="s">
        <v>448</v>
      </c>
      <c r="G335" s="17"/>
      <c r="H335" s="11">
        <v>1</v>
      </c>
      <c r="I335" s="16">
        <v>3000</v>
      </c>
      <c r="J335" s="16">
        <v>3000</v>
      </c>
      <c r="K335" s="9" t="s">
        <v>449</v>
      </c>
      <c r="L335" s="6" t="s">
        <v>1158</v>
      </c>
    </row>
    <row r="336" spans="1:12">
      <c r="A336" s="11" t="s">
        <v>736</v>
      </c>
      <c r="B336" s="11" t="s">
        <v>1169</v>
      </c>
      <c r="C336" s="11">
        <v>0</v>
      </c>
      <c r="D336" s="11" t="e">
        <v>#N/A</v>
      </c>
      <c r="E336" s="11" t="s">
        <v>447</v>
      </c>
      <c r="F336" s="11" t="s">
        <v>448</v>
      </c>
      <c r="G336" s="17"/>
      <c r="H336" s="11">
        <v>1</v>
      </c>
      <c r="I336" s="16">
        <v>3000</v>
      </c>
      <c r="J336" s="16">
        <v>3000</v>
      </c>
      <c r="K336" s="9" t="s">
        <v>449</v>
      </c>
      <c r="L336" s="6"/>
    </row>
    <row r="337" spans="1:12">
      <c r="A337" s="11" t="s">
        <v>736</v>
      </c>
      <c r="B337" s="11" t="s">
        <v>1170</v>
      </c>
      <c r="C337" s="11">
        <v>0</v>
      </c>
      <c r="D337" s="11" t="e">
        <v>#N/A</v>
      </c>
      <c r="E337" s="11" t="s">
        <v>447</v>
      </c>
      <c r="F337" s="11" t="s">
        <v>448</v>
      </c>
      <c r="G337" s="17"/>
      <c r="H337" s="11">
        <v>1</v>
      </c>
      <c r="I337" s="16">
        <v>2500</v>
      </c>
      <c r="J337" s="16">
        <v>2500</v>
      </c>
      <c r="K337" s="9" t="s">
        <v>449</v>
      </c>
      <c r="L337" s="6"/>
    </row>
    <row r="338" spans="1:12">
      <c r="A338" s="12" t="s">
        <v>12</v>
      </c>
      <c r="B338" s="12" t="s">
        <v>1171</v>
      </c>
      <c r="C338" s="3" t="s">
        <v>14</v>
      </c>
      <c r="D338" s="3" t="s">
        <v>15</v>
      </c>
      <c r="E338" s="3" t="s">
        <v>1172</v>
      </c>
      <c r="F338" s="3" t="s">
        <v>1173</v>
      </c>
      <c r="G338" s="17" t="s">
        <v>18</v>
      </c>
      <c r="H338" s="3">
        <v>1</v>
      </c>
      <c r="I338" s="4">
        <v>1200</v>
      </c>
      <c r="J338" s="4">
        <v>1200</v>
      </c>
      <c r="K338" s="5">
        <v>0</v>
      </c>
      <c r="L338" s="6" t="s">
        <v>1174</v>
      </c>
    </row>
    <row r="339" spans="1:12">
      <c r="A339" s="12" t="s">
        <v>616</v>
      </c>
      <c r="B339" s="12" t="s">
        <v>1175</v>
      </c>
      <c r="C339" s="3">
        <v>0</v>
      </c>
      <c r="D339" s="3" t="s">
        <v>618</v>
      </c>
      <c r="E339" s="3" t="s">
        <v>1172</v>
      </c>
      <c r="F339" s="3" t="s">
        <v>1173</v>
      </c>
      <c r="G339" s="17" t="s">
        <v>18</v>
      </c>
      <c r="H339" s="3">
        <v>1</v>
      </c>
      <c r="I339" s="4">
        <v>1200</v>
      </c>
      <c r="J339" s="4">
        <v>1200</v>
      </c>
      <c r="K339" s="5">
        <v>0</v>
      </c>
      <c r="L339" s="6" t="s">
        <v>1174</v>
      </c>
    </row>
    <row r="340" spans="1:12">
      <c r="A340" s="12" t="s">
        <v>992</v>
      </c>
      <c r="B340" s="12" t="s">
        <v>993</v>
      </c>
      <c r="C340" s="3" t="s">
        <v>993</v>
      </c>
      <c r="D340" s="3" t="s">
        <v>994</v>
      </c>
      <c r="E340" s="3" t="s">
        <v>1172</v>
      </c>
      <c r="F340" s="3" t="s">
        <v>1173</v>
      </c>
      <c r="G340" s="17" t="s">
        <v>18</v>
      </c>
      <c r="H340" s="3">
        <v>1</v>
      </c>
      <c r="I340" s="4">
        <v>1800</v>
      </c>
      <c r="J340" s="4">
        <v>1800</v>
      </c>
      <c r="K340" s="5">
        <v>0</v>
      </c>
      <c r="L340" s="6" t="s">
        <v>1174</v>
      </c>
    </row>
    <row r="341" spans="1:12">
      <c r="A341" s="12" t="s">
        <v>616</v>
      </c>
      <c r="B341" s="12" t="s">
        <v>1176</v>
      </c>
      <c r="C341" s="3">
        <v>0</v>
      </c>
      <c r="D341" s="3" t="s">
        <v>618</v>
      </c>
      <c r="E341" s="3" t="s">
        <v>1177</v>
      </c>
      <c r="F341" s="3" t="s">
        <v>1178</v>
      </c>
      <c r="G341" s="17" t="s">
        <v>18</v>
      </c>
      <c r="H341" s="3">
        <v>1</v>
      </c>
      <c r="I341" s="4">
        <v>1000</v>
      </c>
      <c r="J341" s="4">
        <v>1000</v>
      </c>
      <c r="K341" s="5">
        <v>0</v>
      </c>
      <c r="L341" s="6" t="s">
        <v>1174</v>
      </c>
    </row>
    <row r="342" spans="1:12">
      <c r="A342" s="12" t="s">
        <v>633</v>
      </c>
      <c r="B342" s="12" t="s">
        <v>635</v>
      </c>
      <c r="C342" s="3" t="s">
        <v>635</v>
      </c>
      <c r="D342" s="3" t="s">
        <v>636</v>
      </c>
      <c r="E342" s="3" t="s">
        <v>1172</v>
      </c>
      <c r="F342" s="3" t="s">
        <v>1173</v>
      </c>
      <c r="G342" s="17" t="s">
        <v>18</v>
      </c>
      <c r="H342" s="3">
        <v>1</v>
      </c>
      <c r="I342" s="4">
        <v>600</v>
      </c>
      <c r="J342" s="4">
        <v>600</v>
      </c>
      <c r="K342" s="5">
        <v>0</v>
      </c>
      <c r="L342" s="6" t="s">
        <v>1174</v>
      </c>
    </row>
    <row r="343" spans="1:12">
      <c r="A343" s="12" t="s">
        <v>633</v>
      </c>
      <c r="B343" s="12" t="s">
        <v>635</v>
      </c>
      <c r="C343" s="3" t="s">
        <v>635</v>
      </c>
      <c r="D343" s="3" t="s">
        <v>636</v>
      </c>
      <c r="E343" s="3" t="s">
        <v>1177</v>
      </c>
      <c r="F343" s="3" t="s">
        <v>1178</v>
      </c>
      <c r="G343" s="17" t="s">
        <v>18</v>
      </c>
      <c r="H343" s="3">
        <v>1</v>
      </c>
      <c r="I343" s="4">
        <v>750</v>
      </c>
      <c r="J343" s="4">
        <v>750</v>
      </c>
      <c r="K343" s="5">
        <v>0</v>
      </c>
      <c r="L343" s="6" t="s">
        <v>1174</v>
      </c>
    </row>
    <row r="344" spans="1:12">
      <c r="A344" s="12" t="s">
        <v>1022</v>
      </c>
      <c r="B344" s="12" t="s">
        <v>1179</v>
      </c>
      <c r="C344" s="3">
        <v>0</v>
      </c>
      <c r="D344" s="3" t="s">
        <v>1024</v>
      </c>
      <c r="E344" s="3" t="s">
        <v>1177</v>
      </c>
      <c r="F344" s="3" t="s">
        <v>1178</v>
      </c>
      <c r="G344" s="17" t="s">
        <v>18</v>
      </c>
      <c r="H344" s="3">
        <v>1</v>
      </c>
      <c r="I344" s="4">
        <v>1000</v>
      </c>
      <c r="J344" s="4">
        <v>1000</v>
      </c>
      <c r="K344" s="5">
        <v>0</v>
      </c>
      <c r="L344" s="6" t="s">
        <v>1174</v>
      </c>
    </row>
    <row r="345" spans="1:12">
      <c r="A345" s="12" t="s">
        <v>1022</v>
      </c>
      <c r="B345" s="12" t="s">
        <v>1179</v>
      </c>
      <c r="C345" s="3">
        <v>0</v>
      </c>
      <c r="D345" s="3" t="s">
        <v>1024</v>
      </c>
      <c r="E345" s="3" t="s">
        <v>1172</v>
      </c>
      <c r="F345" s="3" t="s">
        <v>1173</v>
      </c>
      <c r="G345" s="17" t="s">
        <v>18</v>
      </c>
      <c r="H345" s="3">
        <v>1</v>
      </c>
      <c r="I345" s="4">
        <v>1200</v>
      </c>
      <c r="J345" s="4">
        <v>1200</v>
      </c>
      <c r="K345" s="5">
        <v>0</v>
      </c>
      <c r="L345" s="6" t="s">
        <v>1174</v>
      </c>
    </row>
    <row r="346" spans="1:12">
      <c r="A346" s="12" t="s">
        <v>699</v>
      </c>
      <c r="B346" s="12" t="s">
        <v>1180</v>
      </c>
      <c r="C346" s="3" t="s">
        <v>701</v>
      </c>
      <c r="D346" s="3" t="s">
        <v>702</v>
      </c>
      <c r="E346" s="3" t="s">
        <v>1177</v>
      </c>
      <c r="F346" s="3" t="s">
        <v>1178</v>
      </c>
      <c r="G346" s="17" t="s">
        <v>18</v>
      </c>
      <c r="H346" s="3">
        <v>1</v>
      </c>
      <c r="I346" s="4">
        <v>1000</v>
      </c>
      <c r="J346" s="4">
        <v>1000</v>
      </c>
      <c r="K346" s="5">
        <v>0</v>
      </c>
      <c r="L346" s="6" t="s">
        <v>1174</v>
      </c>
    </row>
    <row r="347" spans="1:12">
      <c r="A347" s="12" t="s">
        <v>241</v>
      </c>
      <c r="B347" s="12" t="s">
        <v>242</v>
      </c>
      <c r="C347" s="3" t="s">
        <v>242</v>
      </c>
      <c r="D347" s="3" t="s">
        <v>243</v>
      </c>
      <c r="E347" s="3" t="s">
        <v>1177</v>
      </c>
      <c r="F347" s="3" t="s">
        <v>1178</v>
      </c>
      <c r="G347" s="17" t="s">
        <v>18</v>
      </c>
      <c r="H347" s="3">
        <v>1</v>
      </c>
      <c r="I347" s="4">
        <v>1000</v>
      </c>
      <c r="J347" s="4">
        <v>1000</v>
      </c>
      <c r="K347" s="5">
        <v>0</v>
      </c>
      <c r="L347" s="6" t="s">
        <v>1174</v>
      </c>
    </row>
    <row r="348" spans="1:12">
      <c r="A348" s="12" t="s">
        <v>417</v>
      </c>
      <c r="B348" s="12" t="s">
        <v>419</v>
      </c>
      <c r="C348" s="3" t="s">
        <v>419</v>
      </c>
      <c r="D348" s="3" t="s">
        <v>420</v>
      </c>
      <c r="E348" s="3" t="s">
        <v>1172</v>
      </c>
      <c r="F348" s="3" t="s">
        <v>1173</v>
      </c>
      <c r="G348" s="17" t="s">
        <v>18</v>
      </c>
      <c r="H348" s="3">
        <v>1</v>
      </c>
      <c r="I348" s="4">
        <v>1200</v>
      </c>
      <c r="J348" s="4">
        <v>1200</v>
      </c>
      <c r="K348" s="5">
        <v>0</v>
      </c>
      <c r="L348" s="6" t="s">
        <v>1174</v>
      </c>
    </row>
    <row r="349" spans="1:12">
      <c r="A349" s="12" t="s">
        <v>745</v>
      </c>
      <c r="B349" s="12" t="s">
        <v>1181</v>
      </c>
      <c r="C349" s="3" t="s">
        <v>747</v>
      </c>
      <c r="D349" s="3" t="s">
        <v>748</v>
      </c>
      <c r="E349" s="3" t="s">
        <v>1177</v>
      </c>
      <c r="F349" s="3" t="s">
        <v>1178</v>
      </c>
      <c r="G349" s="17" t="s">
        <v>18</v>
      </c>
      <c r="H349" s="3">
        <v>1</v>
      </c>
      <c r="I349" s="4">
        <v>1000</v>
      </c>
      <c r="J349" s="4">
        <v>1000</v>
      </c>
      <c r="K349" s="5">
        <v>0</v>
      </c>
      <c r="L349" s="6" t="s">
        <v>1174</v>
      </c>
    </row>
    <row r="350" spans="1:12">
      <c r="A350" s="12" t="s">
        <v>999</v>
      </c>
      <c r="B350" s="12" t="s">
        <v>1182</v>
      </c>
      <c r="C350" s="3">
        <v>0</v>
      </c>
      <c r="D350" s="3" t="s">
        <v>1001</v>
      </c>
      <c r="E350" s="3" t="s">
        <v>1172</v>
      </c>
      <c r="F350" s="3" t="s">
        <v>1173</v>
      </c>
      <c r="G350" s="17" t="s">
        <v>18</v>
      </c>
      <c r="H350" s="3">
        <v>1</v>
      </c>
      <c r="I350" s="4">
        <v>1800</v>
      </c>
      <c r="J350" s="4">
        <v>1800</v>
      </c>
      <c r="K350" s="5">
        <v>0</v>
      </c>
      <c r="L350" s="6" t="s">
        <v>1174</v>
      </c>
    </row>
    <row r="351" spans="1:12">
      <c r="A351" s="12" t="s">
        <v>999</v>
      </c>
      <c r="B351" s="12" t="s">
        <v>1182</v>
      </c>
      <c r="C351" s="3">
        <v>0</v>
      </c>
      <c r="D351" s="3" t="s">
        <v>1001</v>
      </c>
      <c r="E351" s="3" t="s">
        <v>1177</v>
      </c>
      <c r="F351" s="3" t="s">
        <v>1178</v>
      </c>
      <c r="G351" s="17" t="s">
        <v>18</v>
      </c>
      <c r="H351" s="3">
        <v>1</v>
      </c>
      <c r="I351" s="4">
        <v>1000</v>
      </c>
      <c r="J351" s="4">
        <v>1000</v>
      </c>
      <c r="K351" s="5">
        <v>0</v>
      </c>
      <c r="L351" s="6" t="s">
        <v>1174</v>
      </c>
    </row>
  </sheetData>
  <autoFilter ref="A7:L351" xr:uid="{582DCE21-EA48-477D-A160-E9FBC5C6031B}"/>
  <mergeCells count="1"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42F9-58A4-4D48-9F1C-82B5A6811809}">
  <dimension ref="A2:AR350"/>
  <sheetViews>
    <sheetView tabSelected="1" topLeftCell="A321" zoomScale="60" zoomScaleNormal="70" workbookViewId="0">
      <selection activeCell="AL30" sqref="AL30"/>
    </sheetView>
  </sheetViews>
  <sheetFormatPr defaultColWidth="11.42578125" defaultRowHeight="15" customHeight="1"/>
  <cols>
    <col min="1" max="1" width="19.140625" bestFit="1" customWidth="1"/>
    <col min="2" max="2" width="45.140625" bestFit="1" customWidth="1"/>
    <col min="3" max="3" width="20.85546875" customWidth="1"/>
    <col min="4" max="4" width="25.5703125" bestFit="1" customWidth="1"/>
    <col min="5" max="5" width="21.140625" bestFit="1" customWidth="1"/>
    <col min="6" max="6" width="49.7109375" customWidth="1"/>
    <col min="7" max="7" width="37.42578125" customWidth="1"/>
    <col min="8" max="8" width="21.85546875" customWidth="1"/>
    <col min="9" max="9" width="14.28515625" bestFit="1" customWidth="1"/>
    <col min="10" max="10" width="19.7109375" bestFit="1" customWidth="1"/>
    <col min="11" max="11" width="13" bestFit="1" customWidth="1"/>
    <col min="12" max="14" width="13" customWidth="1"/>
    <col min="15" max="15" width="22.42578125" bestFit="1" customWidth="1"/>
    <col min="16" max="17" width="22.42578125" customWidth="1"/>
    <col min="18" max="18" width="13" customWidth="1"/>
    <col min="19" max="19" width="44.28515625" bestFit="1" customWidth="1"/>
    <col min="20" max="20" width="19.42578125" bestFit="1" customWidth="1"/>
    <col min="21" max="21" width="19.28515625" bestFit="1" customWidth="1"/>
    <col min="22" max="27" width="44.28515625" customWidth="1"/>
    <col min="28" max="28" width="26.28515625" bestFit="1" customWidth="1"/>
    <col min="29" max="32" width="26.28515625" customWidth="1"/>
    <col min="33" max="33" width="34" bestFit="1" customWidth="1"/>
    <col min="34" max="34" width="26.28515625" customWidth="1"/>
    <col min="35" max="35" width="41.140625" customWidth="1"/>
    <col min="36" max="39" width="26.28515625" customWidth="1"/>
    <col min="40" max="40" width="12.7109375" customWidth="1"/>
    <col min="41" max="41" width="14.28515625" bestFit="1" customWidth="1"/>
    <col min="42" max="42" width="20" bestFit="1" customWidth="1"/>
    <col min="43" max="43" width="23.28515625" customWidth="1"/>
    <col min="44" max="44" width="80.140625" bestFit="1" customWidth="1"/>
  </cols>
  <sheetData>
    <row r="2" spans="1:44">
      <c r="AO2" s="14"/>
      <c r="AP2" s="14"/>
    </row>
    <row r="3" spans="1:44" ht="21">
      <c r="D3" s="33" t="s">
        <v>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6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5"/>
      <c r="AO3" s="14"/>
      <c r="AP3" s="14"/>
    </row>
    <row r="4" spans="1:44">
      <c r="AO4" s="14"/>
      <c r="AP4" s="14"/>
    </row>
    <row r="5" spans="1:44">
      <c r="AO5" s="14"/>
      <c r="AP5" s="13">
        <f>SUM(AP8:AP350)</f>
        <v>641538</v>
      </c>
    </row>
    <row r="6" spans="1:44">
      <c r="AO6" s="14"/>
    </row>
    <row r="7" spans="1:44">
      <c r="A7" s="1" t="s">
        <v>1</v>
      </c>
      <c r="B7" s="1" t="s">
        <v>2</v>
      </c>
      <c r="C7" s="1" t="s">
        <v>3</v>
      </c>
      <c r="D7" s="37" t="s">
        <v>4</v>
      </c>
      <c r="E7" s="37" t="s">
        <v>5</v>
      </c>
      <c r="F7" s="37" t="s">
        <v>6</v>
      </c>
      <c r="G7" s="21" t="s">
        <v>1183</v>
      </c>
      <c r="H7" s="21" t="s">
        <v>1184</v>
      </c>
      <c r="I7" s="21" t="s">
        <v>1185</v>
      </c>
      <c r="J7" s="21" t="s">
        <v>1186</v>
      </c>
      <c r="K7" s="21" t="s">
        <v>1187</v>
      </c>
      <c r="L7" s="21" t="s">
        <v>1188</v>
      </c>
      <c r="M7" s="21" t="s">
        <v>1189</v>
      </c>
      <c r="N7" s="21" t="s">
        <v>1190</v>
      </c>
      <c r="O7" s="39" t="s">
        <v>1191</v>
      </c>
      <c r="P7" s="21" t="s">
        <v>1192</v>
      </c>
      <c r="Q7" s="32" t="s">
        <v>1193</v>
      </c>
      <c r="R7" s="21" t="s">
        <v>1194</v>
      </c>
      <c r="S7" s="21" t="s">
        <v>1195</v>
      </c>
      <c r="T7" s="21" t="s">
        <v>1196</v>
      </c>
      <c r="U7" s="21" t="s">
        <v>1197</v>
      </c>
      <c r="V7" s="21" t="s">
        <v>1198</v>
      </c>
      <c r="W7" s="21" t="s">
        <v>1199</v>
      </c>
      <c r="X7" s="21" t="s">
        <v>1200</v>
      </c>
      <c r="Y7" s="21" t="s">
        <v>1201</v>
      </c>
      <c r="Z7" s="21" t="s">
        <v>1202</v>
      </c>
      <c r="AA7" s="21" t="s">
        <v>1203</v>
      </c>
      <c r="AB7" s="21" t="s">
        <v>1204</v>
      </c>
      <c r="AC7" s="21" t="s">
        <v>1205</v>
      </c>
      <c r="AD7" s="21" t="s">
        <v>1206</v>
      </c>
      <c r="AE7" s="21" t="s">
        <v>1207</v>
      </c>
      <c r="AF7" s="21" t="s">
        <v>1208</v>
      </c>
      <c r="AG7" s="21" t="s">
        <v>1209</v>
      </c>
      <c r="AH7" s="21" t="s">
        <v>1210</v>
      </c>
      <c r="AI7" s="21" t="s">
        <v>1211</v>
      </c>
      <c r="AJ7" s="21" t="s">
        <v>1212</v>
      </c>
      <c r="AK7" s="21" t="s">
        <v>1213</v>
      </c>
      <c r="AL7" s="21" t="s">
        <v>1214</v>
      </c>
      <c r="AM7" s="21" t="s">
        <v>1215</v>
      </c>
      <c r="AN7" s="37" t="s">
        <v>8</v>
      </c>
      <c r="AO7" s="38" t="s">
        <v>9</v>
      </c>
      <c r="AP7" s="38" t="s">
        <v>10</v>
      </c>
      <c r="AQ7" s="15" t="s">
        <v>11</v>
      </c>
      <c r="AR7" s="15" t="s">
        <v>11</v>
      </c>
    </row>
    <row r="8" spans="1:44">
      <c r="A8" s="18" t="s">
        <v>343</v>
      </c>
      <c r="B8" s="18" t="s">
        <v>344</v>
      </c>
      <c r="C8" s="18" t="s">
        <v>344</v>
      </c>
      <c r="D8" s="18" t="s">
        <v>345</v>
      </c>
      <c r="E8" s="18" t="s">
        <v>16</v>
      </c>
      <c r="F8" s="18" t="s">
        <v>17</v>
      </c>
      <c r="G8" s="18"/>
      <c r="H8" s="19" t="s">
        <v>1216</v>
      </c>
      <c r="I8" s="23" t="s">
        <v>1217</v>
      </c>
      <c r="J8" s="24">
        <v>46023</v>
      </c>
      <c r="K8" s="24">
        <v>46387</v>
      </c>
      <c r="L8" s="24" t="s">
        <v>1218</v>
      </c>
      <c r="M8" s="24" t="s">
        <v>1219</v>
      </c>
      <c r="N8" s="24">
        <v>46023</v>
      </c>
      <c r="O8" s="24" t="str">
        <f>VLOOKUP(D8,records!$A:$U,10,FALSE)</f>
        <v>001SZ0000017fU7YAI</v>
      </c>
      <c r="P8" s="24" t="str">
        <f>VLOOKUP(D8,records!$A:$V,20,FALSE)</f>
        <v>FR95729800706</v>
      </c>
      <c r="Q8" s="24" t="str">
        <f>VLOOKUP(D8,records!$A:$V,12,FALSE)</f>
        <v>72 980 070 600 040</v>
      </c>
      <c r="R8" s="24" t="s">
        <v>1220</v>
      </c>
      <c r="S8" s="24" t="str">
        <f>VLOOKUP(D8,records!$A:$W,19,FALSE)</f>
        <v>0nly.invoices.placoplatre@saint-gobain.com</v>
      </c>
      <c r="T8" s="26" t="s">
        <v>1221</v>
      </c>
      <c r="U8" s="26" t="s">
        <v>1222</v>
      </c>
      <c r="V8" s="26" t="str">
        <f>VLOOKUP($D8,records!$A:$V,3,FALSE)</f>
        <v>PLACOPLATRE sa - Usine Placo de Chambéry</v>
      </c>
      <c r="W8" s="26" t="str">
        <f>IFERROR(VLOOKUP($D8,records!$A:$V,6,FALSE),)</f>
        <v>Ressources Humaines</v>
      </c>
      <c r="X8" s="26" t="str">
        <f>VLOOKUP($D8,records!$A:$V,9,FALSE)</f>
        <v>Z.I de Bissy - 456 rue Emile Romanet</v>
      </c>
      <c r="Y8" s="26" t="str">
        <f>VLOOKUP($D8,records!$A:$V,4,FALSE)</f>
        <v>CHAMBERY</v>
      </c>
      <c r="Z8" s="26" t="str">
        <f>VLOOKUP($D8,records!$A:$V,7,FALSE)</f>
        <v>73026</v>
      </c>
      <c r="AA8" s="26" t="s">
        <v>1223</v>
      </c>
      <c r="AB8" s="26">
        <f>VLOOKUP(O8,'records (2)'!$A:$Z,8,FALSE)</f>
        <v>30</v>
      </c>
      <c r="AC8" s="26" t="b">
        <v>0</v>
      </c>
      <c r="AD8" s="26"/>
      <c r="AE8" s="26"/>
      <c r="AF8" s="26" t="str">
        <f>VLOOKUP($D8,records!$A:$V,13,FALSE)</f>
        <v>PLACOPLATRE sa - Usine Placo de Chambéry</v>
      </c>
      <c r="AG8" s="26" t="str">
        <f>VLOOKUP($D8,records!$A:$V,16,FALSE)</f>
        <v>Facture originale électronique à</v>
      </c>
      <c r="AH8" s="26" t="str">
        <f>VLOOKUP($D8,records!$A:$V,19,FALSE)</f>
        <v>0nly.invoices.placoplatre@saint-gobain.com</v>
      </c>
      <c r="AI8" s="26" t="str">
        <f>VLOOKUP($D8,records!$A:$V,14,FALSE)</f>
        <v>.</v>
      </c>
      <c r="AJ8" s="26" t="str">
        <f>VLOOKUP($O8,'records (2)'!$A:$Z,14,FALSE)</f>
        <v>003IV000010tSmVYAU</v>
      </c>
      <c r="AK8" s="26" t="str">
        <f>VLOOKUP($O8,'records (2)'!$A:$Z,15,FALSE)</f>
        <v>Lucie GRANGER</v>
      </c>
      <c r="AL8" s="26" t="str">
        <f>VLOOKUP($O8,'records (2)'!$A:$Z,10,FALSE)</f>
        <v>003IV000010tSmVYAU</v>
      </c>
      <c r="AM8" s="26" t="str">
        <f>VLOOKUP($O8,'records (2)'!$A:$Z,11,FALSE)</f>
        <v>Lucie GRANGER</v>
      </c>
      <c r="AN8" s="18">
        <v>1</v>
      </c>
      <c r="AO8" s="4">
        <v>1000</v>
      </c>
      <c r="AP8" s="4">
        <v>1000</v>
      </c>
      <c r="AQ8" s="20">
        <v>0</v>
      </c>
      <c r="AR8" s="6">
        <v>0</v>
      </c>
    </row>
    <row r="9" spans="1:44">
      <c r="A9" s="18" t="s">
        <v>842</v>
      </c>
      <c r="B9" s="18" t="s">
        <v>843</v>
      </c>
      <c r="C9" s="18" t="s">
        <v>844</v>
      </c>
      <c r="D9" s="18" t="s">
        <v>845</v>
      </c>
      <c r="E9" s="18" t="s">
        <v>52</v>
      </c>
      <c r="F9" s="18" t="s">
        <v>53</v>
      </c>
      <c r="G9" s="18"/>
      <c r="H9" s="19" t="s">
        <v>1216</v>
      </c>
      <c r="I9" s="23" t="s">
        <v>1217</v>
      </c>
      <c r="J9" s="24">
        <v>46023</v>
      </c>
      <c r="K9" s="24">
        <v>46387</v>
      </c>
      <c r="L9" s="24" t="s">
        <v>1218</v>
      </c>
      <c r="M9" s="24" t="s">
        <v>1219</v>
      </c>
      <c r="N9" s="24">
        <v>46023</v>
      </c>
      <c r="O9" s="24" t="str">
        <f>VLOOKUP(D9,records!$A:$U,10,FALSE)</f>
        <v>0012p00004TwEORAA3</v>
      </c>
      <c r="P9" s="24" t="str">
        <f>VLOOKUP(D9,records!$A:$V,20,FALSE)</f>
        <v>FR46305148884</v>
      </c>
      <c r="Q9" s="24" t="str">
        <f>VLOOKUP(D9,records!$A:$V,12,FALSE)</f>
        <v>30 514 888 400 029</v>
      </c>
      <c r="R9" s="24" t="s">
        <v>1224</v>
      </c>
      <c r="S9" s="24"/>
      <c r="T9" s="26" t="s">
        <v>1221</v>
      </c>
      <c r="U9" s="26" t="s">
        <v>1222</v>
      </c>
      <c r="V9" s="26" t="str">
        <f>VLOOKUP($D9,records!$A:$V,3,FALSE)</f>
        <v>GROUPE SAB - FINANCIERE D'AZOLETTE sa</v>
      </c>
      <c r="W9" s="26"/>
      <c r="X9" s="26" t="str">
        <f>VLOOKUP($D9,records!$A:$V,9,FALSE)</f>
        <v>1077 Route des 4 vents</v>
      </c>
      <c r="Y9" s="26" t="str">
        <f>VLOOKUP($D9,records!$A:$V,4,FALSE)</f>
        <v>BELMONT DE LA LOIRE</v>
      </c>
      <c r="Z9" s="26" t="str">
        <f>VLOOKUP($D9,records!$A:$V,7,FALSE)</f>
        <v>42670</v>
      </c>
      <c r="AA9" s="26" t="s">
        <v>1223</v>
      </c>
      <c r="AB9" s="26">
        <f>VLOOKUP(O9,'records (2)'!$A:$Z,8,FALSE)</f>
        <v>30</v>
      </c>
      <c r="AC9" s="26" t="b">
        <v>0</v>
      </c>
      <c r="AD9" s="26"/>
      <c r="AE9" s="26"/>
      <c r="AF9" s="26" t="str">
        <f>VLOOKUP($D9,records!$A:$V,13,FALSE)</f>
        <v>GROUPE SAB - FINANCIERE D'AZOLETTE sa</v>
      </c>
      <c r="AG9" s="26"/>
      <c r="AH9" s="26" t="str">
        <f>VLOOKUP($D9,records!$A:$V,19,FALSE)</f>
        <v>1077 Route des 4 vents</v>
      </c>
      <c r="AI9" s="26" t="str">
        <f>VLOOKUP($D9,records!$A:$V,14,FALSE)</f>
        <v>BELMONT DE LA LOIRE</v>
      </c>
      <c r="AJ9" s="26" t="str">
        <f>VLOOKUP($O9,'records (2)'!$A:$Z,14,FALSE)</f>
        <v>003IV000010tTsfYAE</v>
      </c>
      <c r="AK9" s="26" t="str">
        <f>VLOOKUP($O9,'records (2)'!$A:$Z,15,FALSE)</f>
        <v>Christine GROSSELIN</v>
      </c>
      <c r="AL9" s="26" t="str">
        <f>VLOOKUP($O9,'records (2)'!$A:$Z,10,FALSE)</f>
        <v>003IV000010tTsfYAE</v>
      </c>
      <c r="AM9" s="26" t="str">
        <f>VLOOKUP($O9,'records (2)'!$A:$Z,11,FALSE)</f>
        <v>Christine GROSSELIN</v>
      </c>
      <c r="AN9" s="18">
        <v>1</v>
      </c>
      <c r="AO9" s="4">
        <v>1000</v>
      </c>
      <c r="AP9" s="4">
        <v>1000</v>
      </c>
      <c r="AQ9" s="20">
        <v>0</v>
      </c>
      <c r="AR9" s="6">
        <v>0</v>
      </c>
    </row>
    <row r="10" spans="1:44">
      <c r="A10" s="18" t="s">
        <v>196</v>
      </c>
      <c r="B10" s="18" t="s">
        <v>197</v>
      </c>
      <c r="C10" s="18" t="s">
        <v>197</v>
      </c>
      <c r="D10" s="18" t="s">
        <v>198</v>
      </c>
      <c r="E10" s="18" t="s">
        <v>16</v>
      </c>
      <c r="F10" s="18" t="s">
        <v>17</v>
      </c>
      <c r="G10" s="18"/>
      <c r="H10" s="19" t="s">
        <v>1216</v>
      </c>
      <c r="I10" s="23" t="s">
        <v>1217</v>
      </c>
      <c r="J10" s="24">
        <v>46023</v>
      </c>
      <c r="K10" s="24">
        <v>46387</v>
      </c>
      <c r="L10" s="24" t="s">
        <v>1218</v>
      </c>
      <c r="M10" s="24" t="s">
        <v>1219</v>
      </c>
      <c r="N10" s="24">
        <v>46023</v>
      </c>
      <c r="O10" s="24" t="str">
        <f>VLOOKUP(D10,records!$A:$U,10,FALSE)</f>
        <v>001SZ000002Sv8iYAC</v>
      </c>
      <c r="P10" s="24" t="str">
        <f>VLOOKUP(D10,records!$A:$V,20,FALSE)</f>
        <v>FR36781107446</v>
      </c>
      <c r="Q10" s="24" t="str">
        <f>VLOOKUP(D10,records!$A:$V,12,FALSE)</f>
        <v>78 110 744 600 069</v>
      </c>
      <c r="R10" s="24" t="s">
        <v>1224</v>
      </c>
      <c r="S10" s="24"/>
      <c r="T10" s="26" t="s">
        <v>1221</v>
      </c>
      <c r="U10" s="26" t="s">
        <v>1222</v>
      </c>
      <c r="V10" s="26" t="str">
        <f>VLOOKUP($D10,records!$A:$V,3,FALSE)</f>
        <v>OFFICE PUBLIC DE L'HABITAT DU DEPARTEMENT DE SEINE-MARITIME</v>
      </c>
      <c r="W10" s="26" t="str">
        <f>IFERROR(VLOOKUP($D10,records!$A:$V,6,FALSE),)</f>
        <v>HABITAT 76 - Service RHEC</v>
      </c>
      <c r="X10" s="26" t="str">
        <f>VLOOKUP($D10,records!$A:$V,9,FALSE)</f>
        <v>112 Boulevard d'Orléans</v>
      </c>
      <c r="Y10" s="26" t="str">
        <f>VLOOKUP($D10,records!$A:$V,4,FALSE)</f>
        <v>ROUEN</v>
      </c>
      <c r="Z10" s="26" t="str">
        <f>VLOOKUP($D10,records!$A:$V,7,FALSE)</f>
        <v>76100</v>
      </c>
      <c r="AA10" s="26" t="s">
        <v>1223</v>
      </c>
      <c r="AB10" s="26">
        <f>VLOOKUP(O10,'records (2)'!$A:$Z,8,FALSE)</f>
        <v>30</v>
      </c>
      <c r="AC10" s="26" t="b">
        <f>VLOOKUP(O10,'records (4)'!$A:$C,3,FALSE)</f>
        <v>1</v>
      </c>
      <c r="AD10" s="26" t="s">
        <v>1225</v>
      </c>
      <c r="AE10" s="24">
        <v>46023</v>
      </c>
      <c r="AF10" s="26" t="str">
        <f>VLOOKUP($D10,records!$A:$V,13,FALSE)</f>
        <v>OFFICE PUBLIC DE L'HABITAT DU DEPARTEMENT DE SEINE-MARITIME</v>
      </c>
      <c r="AG10" s="26" t="str">
        <f>VLOOKUP($D10,records!$A:$V,16,FALSE)</f>
        <v>HABITAT 76 - Service RHEC</v>
      </c>
      <c r="AH10" s="26" t="str">
        <f>VLOOKUP($D10,records!$A:$V,19,FALSE)</f>
        <v>112 Boulevard d'Orléans</v>
      </c>
      <c r="AI10" s="26" t="str">
        <f>VLOOKUP($D10,records!$A:$V,14,FALSE)</f>
        <v>ROUEN</v>
      </c>
      <c r="AJ10" s="26" t="str">
        <f>VLOOKUP($O10,'records (2)'!$A:$Z,14,FALSE)</f>
        <v>003IV000010rLj2YAE</v>
      </c>
      <c r="AK10" s="26" t="str">
        <f>VLOOKUP($O10,'records (2)'!$A:$Z,15,FALSE)</f>
        <v>Mélissa AMGHAR</v>
      </c>
      <c r="AL10" s="26" t="str">
        <f>VLOOKUP($O10,'records (2)'!$A:$Z,10,FALSE)</f>
        <v>003IV000010rLj2YAE</v>
      </c>
      <c r="AM10" s="26" t="str">
        <f>VLOOKUP($O10,'records (2)'!$A:$Z,11,FALSE)</f>
        <v>Mélissa AMGHAR</v>
      </c>
      <c r="AN10" s="18">
        <v>1</v>
      </c>
      <c r="AO10" s="4">
        <v>3000</v>
      </c>
      <c r="AP10" s="4">
        <v>3000</v>
      </c>
      <c r="AQ10" s="20">
        <v>0</v>
      </c>
      <c r="AR10" s="6">
        <v>0</v>
      </c>
    </row>
    <row r="11" spans="1:44">
      <c r="A11" s="18" t="s">
        <v>924</v>
      </c>
      <c r="B11" s="18" t="s">
        <v>925</v>
      </c>
      <c r="C11" s="18" t="s">
        <v>925</v>
      </c>
      <c r="D11" s="18" t="s">
        <v>926</v>
      </c>
      <c r="E11" s="18" t="s">
        <v>52</v>
      </c>
      <c r="F11" s="18" t="s">
        <v>53</v>
      </c>
      <c r="G11" s="18"/>
      <c r="H11" s="19" t="s">
        <v>1216</v>
      </c>
      <c r="I11" s="23" t="s">
        <v>1217</v>
      </c>
      <c r="J11" s="24">
        <v>46023</v>
      </c>
      <c r="K11" s="24">
        <v>46387</v>
      </c>
      <c r="L11" s="24" t="s">
        <v>1218</v>
      </c>
      <c r="M11" s="24" t="s">
        <v>1219</v>
      </c>
      <c r="N11" s="24">
        <v>46023</v>
      </c>
      <c r="O11" s="24" t="str">
        <f>VLOOKUP(D11,records!$A:$U,10,FALSE)</f>
        <v>0012p00004OKNMCAA5</v>
      </c>
      <c r="P11" s="24" t="str">
        <f>VLOOKUP(D11,records!$A:$V,20,FALSE)</f>
        <v>FR30017150285</v>
      </c>
      <c r="Q11" s="24" t="str">
        <f>VLOOKUP(D11,records!$A:$V,12,FALSE)</f>
        <v>1 715 028 500 066</v>
      </c>
      <c r="R11" s="24" t="s">
        <v>1220</v>
      </c>
      <c r="S11" s="24" t="str">
        <f>VLOOKUP(D11,records!$A:$U,19,FALSE)</f>
        <v>144.accountspayable@ap.tetrapak.com</v>
      </c>
      <c r="T11" s="26" t="s">
        <v>1221</v>
      </c>
      <c r="U11" s="26" t="s">
        <v>1222</v>
      </c>
      <c r="V11" s="26" t="str">
        <f>VLOOKUP($D11,records!$A:$V,3,FALSE)</f>
        <v>PAPETERIES DE DIJON snc</v>
      </c>
      <c r="W11" s="26"/>
      <c r="X11" s="26" t="str">
        <f>VLOOKUP($D11,records!$A:$V,9,FALSE)</f>
        <v>3 rue Romelet</v>
      </c>
      <c r="Y11" s="26" t="str">
        <f>VLOOKUP($D11,records!$A:$V,4,FALSE)</f>
        <v>LONGVIC</v>
      </c>
      <c r="Z11" s="26" t="str">
        <f>VLOOKUP($D11,records!$A:$V,7,FALSE)</f>
        <v>21600</v>
      </c>
      <c r="AA11" s="26" t="s">
        <v>1223</v>
      </c>
      <c r="AB11" s="26">
        <f>VLOOKUP(O11,'records (2)'!$A:$Z,8,FALSE)</f>
        <v>30</v>
      </c>
      <c r="AC11" s="26" t="b">
        <v>0</v>
      </c>
      <c r="AD11" s="26"/>
      <c r="AE11" s="26"/>
      <c r="AF11" s="26" t="str">
        <f>VLOOKUP($D11,records!$A:$V,13,FALSE)</f>
        <v>PAPETERIES DE DIJON snc</v>
      </c>
      <c r="AG11" s="26" t="s">
        <v>1226</v>
      </c>
      <c r="AH11" s="26" t="str">
        <f>VLOOKUP($D11,records!$A:$V,19,FALSE)</f>
        <v>144.accountspayable@ap.tetrapak.com</v>
      </c>
      <c r="AI11" s="26" t="str">
        <f>VLOOKUP($D11,records!$A:$V,14,FALSE)</f>
        <v>.</v>
      </c>
      <c r="AJ11" s="26" t="str">
        <f>VLOOKUP($O11,'records (2)'!$A:$Z,14,FALSE)</f>
        <v>003IV000010tRVxYAM</v>
      </c>
      <c r="AK11" s="26" t="str">
        <f>VLOOKUP($O11,'records (2)'!$A:$Z,15,FALSE)</f>
        <v>Monika HORVATH (Accounting)</v>
      </c>
      <c r="AL11" s="26" t="str">
        <f>VLOOKUP($O11,'records (2)'!$A:$Z,10,FALSE)</f>
        <v>003IV000010tRVxYAM</v>
      </c>
      <c r="AM11" s="26" t="str">
        <f>VLOOKUP($O11,'records (2)'!$A:$Z,11,FALSE)</f>
        <v>Monika HORVATH (Accounting)</v>
      </c>
      <c r="AN11" s="18">
        <v>1</v>
      </c>
      <c r="AO11" s="4">
        <v>500</v>
      </c>
      <c r="AP11" s="4">
        <v>500</v>
      </c>
      <c r="AQ11" s="20">
        <v>0</v>
      </c>
      <c r="AR11" s="6">
        <v>0</v>
      </c>
    </row>
    <row r="12" spans="1:44">
      <c r="A12" s="18" t="s">
        <v>1140</v>
      </c>
      <c r="B12" s="18" t="s">
        <v>1141</v>
      </c>
      <c r="C12" s="18" t="s">
        <v>1141</v>
      </c>
      <c r="D12" s="18" t="s">
        <v>1142</v>
      </c>
      <c r="E12" s="18" t="s">
        <v>52</v>
      </c>
      <c r="F12" s="18" t="s">
        <v>53</v>
      </c>
      <c r="G12" s="18"/>
      <c r="H12" s="19" t="s">
        <v>1216</v>
      </c>
      <c r="I12" s="23" t="s">
        <v>1217</v>
      </c>
      <c r="J12" s="24">
        <v>46023</v>
      </c>
      <c r="K12" s="24">
        <v>46387</v>
      </c>
      <c r="L12" s="24" t="s">
        <v>1218</v>
      </c>
      <c r="M12" s="24" t="s">
        <v>1219</v>
      </c>
      <c r="N12" s="24">
        <v>46023</v>
      </c>
      <c r="O12" s="24" t="str">
        <f>VLOOKUP(D12,records!$A:$U,10,FALSE)</f>
        <v>001SZ00000DoG8ZYAV</v>
      </c>
      <c r="P12" s="24" t="str">
        <f>VLOOKUP(D12,records!$A:$V,20,FALSE)</f>
        <v>FR55518697685</v>
      </c>
      <c r="Q12" s="24" t="str">
        <f>VLOOKUP(D12,records!$A:$V,12,FALSE)</f>
        <v>51 869 768 502 383</v>
      </c>
      <c r="R12" s="24" t="s">
        <v>1224</v>
      </c>
      <c r="S12" s="24"/>
      <c r="T12" s="26" t="s">
        <v>1221</v>
      </c>
      <c r="U12" s="26" t="s">
        <v>1222</v>
      </c>
      <c r="V12" s="26" t="str">
        <f>VLOOKUP($D12,records!$A:$V,3,FALSE)</f>
        <v>SNCF DOMAINE MATERIEL</v>
      </c>
      <c r="W12" s="26"/>
      <c r="X12" s="26" t="str">
        <f>VLOOKUP($D12,records!$A:$V,9,FALSE)</f>
        <v>16 rue Simone Veil</v>
      </c>
      <c r="Y12" s="26" t="str">
        <f>VLOOKUP($D12,records!$A:$V,4,FALSE)</f>
        <v>SAINT-OUEN-SUR-SEINE</v>
      </c>
      <c r="Z12" s="26" t="str">
        <f>VLOOKUP($D12,records!$A:$V,7,FALSE)</f>
        <v>93400</v>
      </c>
      <c r="AA12" s="26" t="s">
        <v>1223</v>
      </c>
      <c r="AB12" s="26">
        <f>VLOOKUP(O12,'records (2)'!$A:$Z,8,FALSE)</f>
        <v>30</v>
      </c>
      <c r="AC12" s="26" t="b">
        <v>0</v>
      </c>
      <c r="AD12" s="26"/>
      <c r="AE12" s="26"/>
      <c r="AF12" s="26" t="str">
        <f>VLOOKUP($D12,records!$A:$V,13,FALSE)</f>
        <v>SNCF DOMAINE MATERIEL</v>
      </c>
      <c r="AG12" s="26"/>
      <c r="AH12" s="26" t="str">
        <f>VLOOKUP($D12,records!$A:$V,19,FALSE)</f>
        <v>16 rue Simone Veil</v>
      </c>
      <c r="AI12" s="26" t="str">
        <f>VLOOKUP($D12,records!$A:$V,14,FALSE)</f>
        <v>SAINT-OUEN-SUR-SEINE</v>
      </c>
      <c r="AJ12" s="26" t="str">
        <f>VLOOKUP($O12,'records (2)'!$A:$Z,14,FALSE)</f>
        <v>003IV000010tNmEYAU</v>
      </c>
      <c r="AK12" s="26" t="str">
        <f>VLOOKUP($O12,'records (2)'!$A:$Z,15,FALSE)</f>
        <v>Marine BOSCH</v>
      </c>
      <c r="AL12" s="26" t="str">
        <f>VLOOKUP($O12,'records (2)'!$A:$Z,10,FALSE)</f>
        <v>003IV000010tSjCYAU</v>
      </c>
      <c r="AM12" s="26" t="str">
        <f>VLOOKUP($O12,'records (2)'!$A:$Z,11,FALSE)</f>
        <v>Lolita DE VITI</v>
      </c>
      <c r="AN12" s="18">
        <v>1</v>
      </c>
      <c r="AO12" s="4">
        <v>1000</v>
      </c>
      <c r="AP12" s="4">
        <v>1000</v>
      </c>
      <c r="AQ12" s="20">
        <v>0</v>
      </c>
      <c r="AR12" s="6">
        <v>0</v>
      </c>
    </row>
    <row r="13" spans="1:44">
      <c r="A13" s="18" t="s">
        <v>433</v>
      </c>
      <c r="B13" s="18" t="s">
        <v>434</v>
      </c>
      <c r="C13" s="18" t="s">
        <v>435</v>
      </c>
      <c r="D13" s="18" t="s">
        <v>436</v>
      </c>
      <c r="E13" s="18" t="s">
        <v>52</v>
      </c>
      <c r="F13" s="18" t="s">
        <v>53</v>
      </c>
      <c r="G13" s="18"/>
      <c r="H13" s="19" t="s">
        <v>1216</v>
      </c>
      <c r="I13" s="23" t="s">
        <v>1217</v>
      </c>
      <c r="J13" s="24">
        <v>46023</v>
      </c>
      <c r="K13" s="24">
        <v>46387</v>
      </c>
      <c r="L13" s="24" t="s">
        <v>1218</v>
      </c>
      <c r="M13" s="24" t="s">
        <v>1219</v>
      </c>
      <c r="N13" s="24">
        <v>46023</v>
      </c>
      <c r="O13" s="24" t="str">
        <f>VLOOKUP(D13,records!$A:$U,10,FALSE)</f>
        <v>001SZ000001s7vFYAQ</v>
      </c>
      <c r="P13" s="24" t="str">
        <f>VLOOKUP(D13,records!$A:$V,20,FALSE)</f>
        <v>FR55130003262</v>
      </c>
      <c r="Q13" s="24" t="str">
        <f>VLOOKUP(D13,records!$A:$V,12,FALSE)</f>
        <v>13 000 326 200 024</v>
      </c>
      <c r="R13" s="24" t="s">
        <v>1224</v>
      </c>
      <c r="S13" s="24"/>
      <c r="T13" s="26" t="s">
        <v>1221</v>
      </c>
      <c r="U13" s="26" t="s">
        <v>1222</v>
      </c>
      <c r="V13" s="26" t="str">
        <f>VLOOKUP($D13,records!$A:$V,3,FALSE)</f>
        <v>AGENCE NATIONALE DES TITRES SECURISES</v>
      </c>
      <c r="W13" s="26"/>
      <c r="X13" s="26" t="str">
        <f>VLOOKUP($D13,records!$A:$V,9,FALSE)</f>
        <v>18 Rue Irénee Carré</v>
      </c>
      <c r="Y13" s="26" t="str">
        <f>VLOOKUP($D13,records!$A:$V,4,FALSE)</f>
        <v>CHARLEVILLE-MEZIERES</v>
      </c>
      <c r="Z13" s="26" t="str">
        <f>VLOOKUP($D13,records!$A:$V,7,FALSE)</f>
        <v>8800</v>
      </c>
      <c r="AA13" s="26" t="s">
        <v>1223</v>
      </c>
      <c r="AB13" s="26">
        <f>VLOOKUP(O13,'records (2)'!$A:$Z,8,FALSE)</f>
        <v>30</v>
      </c>
      <c r="AC13" s="26" t="b">
        <f>VLOOKUP(O13,'records (4)'!$A:$C,3,FALSE)</f>
        <v>1</v>
      </c>
      <c r="AD13" s="26" t="s">
        <v>1225</v>
      </c>
      <c r="AE13" s="24">
        <v>46023</v>
      </c>
      <c r="AF13" s="26" t="str">
        <f>VLOOKUP($D13,records!$A:$V,13,FALSE)</f>
        <v>AGENCE NATIONALE DES TITRES SECURISES</v>
      </c>
      <c r="AG13" s="26"/>
      <c r="AH13" s="26" t="str">
        <f>VLOOKUP($D13,records!$A:$V,19,FALSE)</f>
        <v>18 Rue Irénee Carré</v>
      </c>
      <c r="AI13" s="26" t="str">
        <f>VLOOKUP($D13,records!$A:$V,14,FALSE)</f>
        <v>CHARLEVILLE-MEZIERES</v>
      </c>
      <c r="AJ13" s="26" t="str">
        <f>VLOOKUP($O13,'records (2)'!$A:$Z,14,FALSE)</f>
        <v>003IV000010tSnVYAU</v>
      </c>
      <c r="AK13" s="26" t="str">
        <f>VLOOKUP($O13,'records (2)'!$A:$Z,15,FALSE)</f>
        <v>Service facturation</v>
      </c>
      <c r="AL13" s="26" t="str">
        <f>VLOOKUP($O13,'records (2)'!$A:$Z,10,FALSE)</f>
        <v>003IV000010tSnVYAU</v>
      </c>
      <c r="AM13" s="26" t="str">
        <f>VLOOKUP($O13,'records (2)'!$A:$Z,11,FALSE)</f>
        <v>Service facturation</v>
      </c>
      <c r="AN13" s="18">
        <v>1</v>
      </c>
      <c r="AO13" s="4">
        <v>500</v>
      </c>
      <c r="AP13" s="4">
        <v>500</v>
      </c>
      <c r="AQ13" s="20">
        <v>0</v>
      </c>
      <c r="AR13" s="6">
        <v>0</v>
      </c>
    </row>
    <row r="14" spans="1:44">
      <c r="A14" s="18" t="s">
        <v>295</v>
      </c>
      <c r="B14" s="18" t="s">
        <v>296</v>
      </c>
      <c r="C14" s="18" t="s">
        <v>296</v>
      </c>
      <c r="D14" s="18" t="s">
        <v>297</v>
      </c>
      <c r="E14" s="18" t="s">
        <v>16</v>
      </c>
      <c r="F14" s="18" t="s">
        <v>17</v>
      </c>
      <c r="G14" s="18"/>
      <c r="H14" s="19" t="s">
        <v>1216</v>
      </c>
      <c r="I14" s="23" t="s">
        <v>1217</v>
      </c>
      <c r="J14" s="24">
        <v>46023</v>
      </c>
      <c r="K14" s="24">
        <v>46387</v>
      </c>
      <c r="L14" s="24" t="s">
        <v>1218</v>
      </c>
      <c r="M14" s="24" t="s">
        <v>1219</v>
      </c>
      <c r="N14" s="24">
        <v>46023</v>
      </c>
      <c r="O14" s="24" t="str">
        <f>VLOOKUP(D14,records!$A:$U,10,FALSE)</f>
        <v>0012p00004MTowVAAT</v>
      </c>
      <c r="P14" s="24" t="str">
        <f>VLOOKUP(D14,records!$A:$V,20,FALSE)</f>
        <v>FR56448954362</v>
      </c>
      <c r="Q14" s="24" t="str">
        <f>VLOOKUP(D14,records!$A:$V,12,FALSE)</f>
        <v>44 895 436 200 043</v>
      </c>
      <c r="R14" s="24" t="s">
        <v>1224</v>
      </c>
      <c r="S14" s="24"/>
      <c r="T14" s="26" t="s">
        <v>1221</v>
      </c>
      <c r="U14" s="26" t="s">
        <v>1222</v>
      </c>
      <c r="V14" s="26" t="str">
        <f>VLOOKUP($D14,records!$A:$V,3,FALSE)</f>
        <v>MONT BLANC sas</v>
      </c>
      <c r="W14" s="26" t="str">
        <f>IFERROR(VLOOKUP($D14,records!$A:$V,6,FALSE),)</f>
        <v>RH</v>
      </c>
      <c r="X14" s="26" t="str">
        <f>VLOOKUP($D14,records!$A:$V,9,FALSE)</f>
        <v>2 rue du Capitaine Rex Combs</v>
      </c>
      <c r="Y14" s="26" t="str">
        <f>VLOOKUP($D14,records!$A:$V,4,FALSE)</f>
        <v>CHEF DU PONT</v>
      </c>
      <c r="Z14" s="26" t="str">
        <f>VLOOKUP($D14,records!$A:$V,7,FALSE)</f>
        <v>50480</v>
      </c>
      <c r="AA14" s="26" t="s">
        <v>1223</v>
      </c>
      <c r="AB14" s="26">
        <f>VLOOKUP(O14,'records (2)'!$A:$Z,8,FALSE)</f>
        <v>30</v>
      </c>
      <c r="AC14" s="26" t="b">
        <v>0</v>
      </c>
      <c r="AD14" s="26"/>
      <c r="AE14" s="26"/>
      <c r="AF14" s="26" t="str">
        <f>VLOOKUP($D14,records!$A:$V,13,FALSE)</f>
        <v>MONT BLANC sas</v>
      </c>
      <c r="AG14" s="26"/>
      <c r="AH14" s="26" t="str">
        <f>VLOOKUP($D14,records!$A:$V,19,FALSE)</f>
        <v>2 rue du Capitaine Rex Combs</v>
      </c>
      <c r="AI14" s="26" t="str">
        <f>VLOOKUP($D14,records!$A:$V,14,FALSE)</f>
        <v>CHEF DU PONT</v>
      </c>
      <c r="AJ14" s="26" t="str">
        <f>VLOOKUP($O14,'records (2)'!$A:$Z,14,FALSE)</f>
        <v>003IV000010t1w0YAA</v>
      </c>
      <c r="AK14" s="26" t="str">
        <f>VLOOKUP($O14,'records (2)'!$A:$Z,15,FALSE)</f>
        <v>Lise BAJIC</v>
      </c>
      <c r="AL14" s="26" t="str">
        <f>VLOOKUP($O14,'records (2)'!$A:$Z,10,FALSE)</f>
        <v>003IV000010t1w0YAA</v>
      </c>
      <c r="AM14" s="26" t="str">
        <f>VLOOKUP($O14,'records (2)'!$A:$Z,11,FALSE)</f>
        <v>Lise BAJIC</v>
      </c>
      <c r="AN14" s="18">
        <v>1</v>
      </c>
      <c r="AO14" s="4">
        <v>2000</v>
      </c>
      <c r="AP14" s="4">
        <v>2000</v>
      </c>
      <c r="AQ14" s="20">
        <v>0</v>
      </c>
      <c r="AR14" s="6">
        <v>0</v>
      </c>
    </row>
    <row r="15" spans="1:44">
      <c r="A15" s="18" t="s">
        <v>669</v>
      </c>
      <c r="B15" s="18" t="s">
        <v>670</v>
      </c>
      <c r="C15" s="18" t="s">
        <v>670</v>
      </c>
      <c r="D15" s="18" t="s">
        <v>671</v>
      </c>
      <c r="E15" s="18" t="s">
        <v>52</v>
      </c>
      <c r="F15" s="18" t="s">
        <v>53</v>
      </c>
      <c r="G15" s="18"/>
      <c r="H15" s="19" t="s">
        <v>1216</v>
      </c>
      <c r="I15" s="23" t="s">
        <v>1217</v>
      </c>
      <c r="J15" s="24">
        <v>46023</v>
      </c>
      <c r="K15" s="24">
        <v>46387</v>
      </c>
      <c r="L15" s="24" t="s">
        <v>1218</v>
      </c>
      <c r="M15" s="24" t="s">
        <v>1219</v>
      </c>
      <c r="N15" s="24">
        <v>46023</v>
      </c>
      <c r="O15" s="24" t="str">
        <f>VLOOKUP(D15,records!$A:$U,10,FALSE)</f>
        <v>001SZ000003jyZNYAY</v>
      </c>
      <c r="P15" s="24" t="str">
        <f>VLOOKUP(D15,records!$A:$V,20,FALSE)</f>
        <v>FR26393588595</v>
      </c>
      <c r="Q15" s="24" t="str">
        <f>VLOOKUP(D15,records!$A:$V,12,FALSE)</f>
        <v>39 358 859 500 065</v>
      </c>
      <c r="R15" s="24" t="s">
        <v>1224</v>
      </c>
      <c r="S15" s="24"/>
      <c r="T15" s="26" t="s">
        <v>1221</v>
      </c>
      <c r="U15" s="26" t="s">
        <v>1222</v>
      </c>
      <c r="V15" s="26" t="str">
        <f>VLOOKUP($D15,records!$A:$V,3,FALSE)</f>
        <v>GROUPE SFPI sa</v>
      </c>
      <c r="W15" s="26"/>
      <c r="X15" s="26" t="str">
        <f>VLOOKUP($D15,records!$A:$V,9,FALSE)</f>
        <v>20 Rue de L'Arc de Triomphe</v>
      </c>
      <c r="Y15" s="26" t="str">
        <f>VLOOKUP($D15,records!$A:$V,4,FALSE)</f>
        <v>PARIS</v>
      </c>
      <c r="Z15" s="26" t="str">
        <f>VLOOKUP($D15,records!$A:$V,7,FALSE)</f>
        <v>75017</v>
      </c>
      <c r="AA15" s="26" t="s">
        <v>1223</v>
      </c>
      <c r="AB15" s="26">
        <f>VLOOKUP(O15,'records (2)'!$A:$Z,8,FALSE)</f>
        <v>30</v>
      </c>
      <c r="AC15" s="26" t="b">
        <v>0</v>
      </c>
      <c r="AD15" s="26"/>
      <c r="AE15" s="26"/>
      <c r="AF15" s="26" t="str">
        <f>VLOOKUP($D15,records!$A:$V,13,FALSE)</f>
        <v>GROUPE SFPI sa</v>
      </c>
      <c r="AG15" s="26"/>
      <c r="AH15" s="26" t="str">
        <f>VLOOKUP($D15,records!$A:$V,19,FALSE)</f>
        <v>20 Rue de L'Arc de Triomphe</v>
      </c>
      <c r="AI15" s="26" t="str">
        <f>VLOOKUP($D15,records!$A:$V,14,FALSE)</f>
        <v>PARIS</v>
      </c>
      <c r="AJ15" s="26" t="str">
        <f>VLOOKUP($O15,'records (2)'!$A:$Z,14,FALSE)</f>
        <v>003IV000010tIdSYAU</v>
      </c>
      <c r="AK15" s="26" t="str">
        <f>VLOOKUP($O15,'records (2)'!$A:$Z,15,FALSE)</f>
        <v>Laura DI BARTOLOMEO</v>
      </c>
      <c r="AL15" s="26" t="str">
        <f>VLOOKUP($O15,'records (2)'!$A:$Z,10,FALSE)</f>
        <v>003IV000010tIdSYAU</v>
      </c>
      <c r="AM15" s="26" t="str">
        <f>VLOOKUP($O15,'records (2)'!$A:$Z,11,FALSE)</f>
        <v>Laura DI BARTOLOMEO</v>
      </c>
      <c r="AN15" s="18">
        <v>1</v>
      </c>
      <c r="AO15" s="4">
        <v>2500</v>
      </c>
      <c r="AP15" s="4">
        <v>2500</v>
      </c>
      <c r="AQ15" s="20">
        <v>0</v>
      </c>
      <c r="AR15" s="6">
        <v>0</v>
      </c>
    </row>
    <row r="16" spans="1:44">
      <c r="A16" s="18" t="s">
        <v>1040</v>
      </c>
      <c r="B16" s="18" t="s">
        <v>1041</v>
      </c>
      <c r="C16" s="18" t="s">
        <v>1041</v>
      </c>
      <c r="D16" s="18" t="s">
        <v>1042</v>
      </c>
      <c r="E16" s="18" t="s">
        <v>52</v>
      </c>
      <c r="F16" s="18" t="s">
        <v>53</v>
      </c>
      <c r="G16" s="18"/>
      <c r="H16" s="19" t="s">
        <v>1216</v>
      </c>
      <c r="I16" s="23" t="s">
        <v>1217</v>
      </c>
      <c r="J16" s="24">
        <v>46023</v>
      </c>
      <c r="K16" s="24">
        <v>46387</v>
      </c>
      <c r="L16" s="24" t="s">
        <v>1218</v>
      </c>
      <c r="M16" s="24" t="s">
        <v>1219</v>
      </c>
      <c r="N16" s="24">
        <v>46023</v>
      </c>
      <c r="O16" s="24" t="str">
        <f>VLOOKUP(D16,records!$A:$U,10,FALSE)</f>
        <v>001SZ000004kQ5GYAU</v>
      </c>
      <c r="P16" s="24" t="str">
        <f>VLOOKUP(D16,records!$A:$V,20,FALSE)</f>
        <v>FR86760800060</v>
      </c>
      <c r="Q16" s="24" t="str">
        <f>VLOOKUP(D16,records!$A:$V,12,FALSE)</f>
        <v>76 080 006 000 013</v>
      </c>
      <c r="R16" s="24" t="s">
        <v>1224</v>
      </c>
      <c r="S16" s="24"/>
      <c r="T16" s="26" t="s">
        <v>1221</v>
      </c>
      <c r="U16" s="26" t="s">
        <v>1222</v>
      </c>
      <c r="V16" s="26" t="str">
        <f>VLOOKUP($D16,records!$A:$V,3,FALSE)</f>
        <v>BACCARAT sa</v>
      </c>
      <c r="W16" s="26"/>
      <c r="X16" s="26" t="str">
        <f>VLOOKUP($D16,records!$A:$V,9,FALSE)</f>
        <v>20 Rue des Cristalleries</v>
      </c>
      <c r="Y16" s="26" t="str">
        <f>VLOOKUP($D16,records!$A:$V,4,FALSE)</f>
        <v>BACCARAT</v>
      </c>
      <c r="Z16" s="26" t="str">
        <f>VLOOKUP($D16,records!$A:$V,7,FALSE)</f>
        <v>54120</v>
      </c>
      <c r="AA16" s="26" t="s">
        <v>1223</v>
      </c>
      <c r="AB16" s="26">
        <f>VLOOKUP(O16,'records (2)'!$A:$Z,8,FALSE)</f>
        <v>30</v>
      </c>
      <c r="AC16" s="26" t="b">
        <v>0</v>
      </c>
      <c r="AD16" s="26"/>
      <c r="AE16" s="26"/>
      <c r="AF16" s="26" t="str">
        <f>VLOOKUP($D16,records!$A:$V,13,FALSE)</f>
        <v>BACCARAT sa</v>
      </c>
      <c r="AG16" s="26"/>
      <c r="AH16" s="26" t="str">
        <f>VLOOKUP($D16,records!$A:$V,19,FALSE)</f>
        <v>20 Rue des Cristalleries</v>
      </c>
      <c r="AI16" s="26" t="str">
        <f>VLOOKUP($D16,records!$A:$V,14,FALSE)</f>
        <v>BACCARAT</v>
      </c>
      <c r="AJ16" s="26" t="str">
        <f>VLOOKUP($O16,'records (2)'!$A:$Z,14,FALSE)</f>
        <v>003IV000010su8iYAA</v>
      </c>
      <c r="AK16" s="26" t="str">
        <f>VLOOKUP($O16,'records (2)'!$A:$Z,15,FALSE)</f>
        <v>Compta Fournisseurs BACCARAT</v>
      </c>
      <c r="AL16" s="26" t="str">
        <f>VLOOKUP($O16,'records (2)'!$A:$Z,10,FALSE)</f>
        <v>003IV000010su8iYAA</v>
      </c>
      <c r="AM16" s="26" t="str">
        <f>VLOOKUP($O16,'records (2)'!$A:$Z,11,FALSE)</f>
        <v>Compta Fournisseurs BACCARAT</v>
      </c>
      <c r="AN16" s="18">
        <v>1</v>
      </c>
      <c r="AO16" s="4">
        <v>500</v>
      </c>
      <c r="AP16" s="4">
        <v>500</v>
      </c>
      <c r="AQ16" s="20">
        <v>0</v>
      </c>
      <c r="AR16" s="6">
        <v>0</v>
      </c>
    </row>
    <row r="17" spans="1:44">
      <c r="A17" s="18" t="s">
        <v>273</v>
      </c>
      <c r="B17" s="18" t="s">
        <v>274</v>
      </c>
      <c r="C17" s="18" t="s">
        <v>275</v>
      </c>
      <c r="D17" s="18" t="s">
        <v>276</v>
      </c>
      <c r="E17" s="18" t="s">
        <v>16</v>
      </c>
      <c r="F17" s="18" t="s">
        <v>17</v>
      </c>
      <c r="G17" s="18"/>
      <c r="H17" s="19" t="s">
        <v>1216</v>
      </c>
      <c r="I17" s="23" t="s">
        <v>1217</v>
      </c>
      <c r="J17" s="24">
        <v>46023</v>
      </c>
      <c r="K17" s="24">
        <v>46387</v>
      </c>
      <c r="L17" s="24" t="s">
        <v>1218</v>
      </c>
      <c r="M17" s="24" t="s">
        <v>1219</v>
      </c>
      <c r="N17" s="24">
        <v>46023</v>
      </c>
      <c r="O17" s="24" t="str">
        <f>VLOOKUP(D17,records!$A:$U,10,FALSE)</f>
        <v>001SZ000008J7IzYAK</v>
      </c>
      <c r="P17" s="24" t="str">
        <f>VLOOKUP(D17,records!$A:$V,20,FALSE)</f>
        <v>FR10391159548</v>
      </c>
      <c r="Q17" s="24" t="str">
        <f>VLOOKUP(D17,records!$A:$V,12,FALSE)</f>
        <v>39 115 954 800 034</v>
      </c>
      <c r="R17" s="24" t="s">
        <v>1224</v>
      </c>
      <c r="S17" s="24"/>
      <c r="T17" s="26" t="s">
        <v>1221</v>
      </c>
      <c r="U17" s="26" t="s">
        <v>1222</v>
      </c>
      <c r="V17" s="26" t="str">
        <f>VLOOKUP($D17,records!$A:$V,3,FALSE)</f>
        <v>McBRIDE S.A.S</v>
      </c>
      <c r="W17" s="26"/>
      <c r="X17" s="26" t="str">
        <f>VLOOKUP($D17,records!$A:$V,9,FALSE)</f>
        <v>20 Rue Gustave Flaubert</v>
      </c>
      <c r="Y17" s="26" t="str">
        <f>VLOOKUP($D17,records!$A:$V,4,FALSE)</f>
        <v>MOYAUX</v>
      </c>
      <c r="Z17" s="26" t="str">
        <f>VLOOKUP($D17,records!$A:$V,7,FALSE)</f>
        <v>14590</v>
      </c>
      <c r="AA17" s="26" t="s">
        <v>1223</v>
      </c>
      <c r="AB17" s="26">
        <f>VLOOKUP(O17,'records (2)'!$A:$Z,8,FALSE)</f>
        <v>45</v>
      </c>
      <c r="AC17" s="26" t="b">
        <f>VLOOKUP(O17,'records (4)'!$A:$C,3,FALSE)</f>
        <v>1</v>
      </c>
      <c r="AD17" s="26" t="s">
        <v>1225</v>
      </c>
      <c r="AE17" s="24">
        <v>46023</v>
      </c>
      <c r="AF17" s="26" t="str">
        <f>VLOOKUP($D17,records!$A:$V,13,FALSE)</f>
        <v>McBRIDE S.A.S</v>
      </c>
      <c r="AG17" s="26"/>
      <c r="AH17" s="26" t="str">
        <f>VLOOKUP($D17,records!$A:$V,19,FALSE)</f>
        <v>20 Rue Gustave Flaubert</v>
      </c>
      <c r="AI17" s="26" t="str">
        <f>VLOOKUP($D17,records!$A:$V,14,FALSE)</f>
        <v>MOYAUX</v>
      </c>
      <c r="AJ17" s="26" t="str">
        <f>VLOOKUP($O17,'records (2)'!$A:$Z,14,FALSE)</f>
        <v>003IV000010tJZpYAM</v>
      </c>
      <c r="AK17" s="26" t="str">
        <f>VLOOKUP($O17,'records (2)'!$A:$Z,15,FALSE)</f>
        <v>Aurélie PETIT</v>
      </c>
      <c r="AL17" s="26" t="str">
        <f>VLOOKUP($O17,'records (2)'!$A:$Z,10,FALSE)</f>
        <v>003IV000010tJZpYAM</v>
      </c>
      <c r="AM17" s="26" t="str">
        <f>VLOOKUP($O17,'records (2)'!$A:$Z,11,FALSE)</f>
        <v>Aurélie PETIT</v>
      </c>
      <c r="AN17" s="18">
        <v>1</v>
      </c>
      <c r="AO17" s="4">
        <v>3000</v>
      </c>
      <c r="AP17" s="4">
        <v>3000</v>
      </c>
      <c r="AQ17" s="20">
        <v>0</v>
      </c>
      <c r="AR17" s="6">
        <v>0</v>
      </c>
    </row>
    <row r="18" spans="1:44">
      <c r="A18" s="18" t="s">
        <v>797</v>
      </c>
      <c r="B18" s="18" t="s">
        <v>798</v>
      </c>
      <c r="C18" s="18" t="s">
        <v>799</v>
      </c>
      <c r="D18" s="18" t="s">
        <v>800</v>
      </c>
      <c r="E18" s="18" t="s">
        <v>52</v>
      </c>
      <c r="F18" s="18" t="s">
        <v>53</v>
      </c>
      <c r="G18" s="18"/>
      <c r="H18" s="19" t="s">
        <v>1216</v>
      </c>
      <c r="I18" s="23" t="s">
        <v>1217</v>
      </c>
      <c r="J18" s="24">
        <v>46023</v>
      </c>
      <c r="K18" s="24">
        <v>46387</v>
      </c>
      <c r="L18" s="24" t="s">
        <v>1218</v>
      </c>
      <c r="M18" s="24" t="s">
        <v>1219</v>
      </c>
      <c r="N18" s="24">
        <v>46023</v>
      </c>
      <c r="O18" s="24" t="str">
        <f>VLOOKUP(D18,records!$A:$U,10,FALSE)</f>
        <v>0012p00004Nh7mSAAR</v>
      </c>
      <c r="P18" s="24" t="str">
        <f>VLOOKUP(D18,records!$A:$V,20,FALSE)</f>
        <v>FR88829809482</v>
      </c>
      <c r="Q18" s="24" t="str">
        <f>VLOOKUP(D18,records!$A:$V,12,FALSE)</f>
        <v>82 980 948 200 039</v>
      </c>
      <c r="R18" s="24" t="s">
        <v>1224</v>
      </c>
      <c r="S18" s="24"/>
      <c r="T18" s="26" t="s">
        <v>1221</v>
      </c>
      <c r="U18" s="26" t="s">
        <v>1222</v>
      </c>
      <c r="V18" s="26" t="str">
        <f>VLOOKUP($D18,records!$A:$V,3,FALSE)</f>
        <v>PASTACORP TRAITEUR sas</v>
      </c>
      <c r="W18" s="26" t="str">
        <f>IFERROR(VLOOKUP($D18,records!$A:$V,6,FALSE),)</f>
        <v>Ressources Humaines</v>
      </c>
      <c r="X18" s="26" t="str">
        <f>VLOOKUP($D18,records!$A:$V,9,FALSE)</f>
        <v>21 Rue de Borolan</v>
      </c>
      <c r="Y18" s="26" t="str">
        <f>VLOOKUP($D18,records!$A:$V,4,FALSE)</f>
        <v>CHAMBERY</v>
      </c>
      <c r="Z18" s="26" t="str">
        <f>VLOOKUP($D18,records!$A:$V,7,FALSE)</f>
        <v>73000</v>
      </c>
      <c r="AA18" s="26" t="s">
        <v>1223</v>
      </c>
      <c r="AB18" s="26">
        <f>VLOOKUP(O18,'records (2)'!$A:$Z,8,FALSE)</f>
        <v>30</v>
      </c>
      <c r="AC18" s="26" t="b">
        <v>0</v>
      </c>
      <c r="AD18" s="26"/>
      <c r="AE18" s="26"/>
      <c r="AF18" s="26" t="str">
        <f>VLOOKUP($D18,records!$A:$V,13,FALSE)</f>
        <v>PASTACORP TRAITEUR sas</v>
      </c>
      <c r="AG18" s="26"/>
      <c r="AH18" s="26" t="str">
        <f>VLOOKUP($D18,records!$A:$V,19,FALSE)</f>
        <v>21 Rue de Borolan</v>
      </c>
      <c r="AI18" s="26" t="str">
        <f>VLOOKUP($D18,records!$A:$V,14,FALSE)</f>
        <v>CHAMBERY</v>
      </c>
      <c r="AJ18" s="26" t="str">
        <f>VLOOKUP($O18,'records (2)'!$A:$Z,14,FALSE)</f>
        <v>003IV000010rvHPYAY</v>
      </c>
      <c r="AK18" s="26" t="str">
        <f>VLOOKUP($O18,'records (2)'!$A:$Z,15,FALSE)</f>
        <v>Lory LAGACHE (Facturation)</v>
      </c>
      <c r="AL18" s="26" t="str">
        <f>VLOOKUP($O18,'records (2)'!$A:$Z,10,FALSE)</f>
        <v>003IV000010rvHFYAY</v>
      </c>
      <c r="AM18" s="26" t="str">
        <f>VLOOKUP($O18,'records (2)'!$A:$Z,11,FALSE)</f>
        <v>Lory LAGACHE</v>
      </c>
      <c r="AN18" s="18">
        <v>1</v>
      </c>
      <c r="AO18" s="4">
        <v>1000</v>
      </c>
      <c r="AP18" s="4">
        <v>1000</v>
      </c>
      <c r="AQ18" s="20">
        <v>0</v>
      </c>
      <c r="AR18" s="6">
        <v>0</v>
      </c>
    </row>
    <row r="19" spans="1:44">
      <c r="A19" s="18" t="s">
        <v>970</v>
      </c>
      <c r="B19" s="18" t="s">
        <v>971</v>
      </c>
      <c r="C19" s="18" t="s">
        <v>972</v>
      </c>
      <c r="D19" s="18" t="s">
        <v>973</v>
      </c>
      <c r="E19" s="18" t="s">
        <v>16</v>
      </c>
      <c r="F19" s="18" t="s">
        <v>17</v>
      </c>
      <c r="G19" s="18"/>
      <c r="H19" s="19" t="s">
        <v>1216</v>
      </c>
      <c r="I19" s="23" t="s">
        <v>1217</v>
      </c>
      <c r="J19" s="24">
        <v>46023</v>
      </c>
      <c r="K19" s="24">
        <v>46387</v>
      </c>
      <c r="L19" s="24" t="s">
        <v>1218</v>
      </c>
      <c r="M19" s="24" t="s">
        <v>1219</v>
      </c>
      <c r="N19" s="24">
        <v>46023</v>
      </c>
      <c r="O19" s="24" t="str">
        <f>VLOOKUP(D19,records!$A:$U,10,FALSE)</f>
        <v>0012p00004MzQWLAA3</v>
      </c>
      <c r="P19" s="24" t="str">
        <f>VLOOKUP(D19,records!$A:$V,20,FALSE)</f>
        <v>FR59538487885</v>
      </c>
      <c r="Q19" s="24" t="str">
        <f>VLOOKUP(D19,records!$A:$V,12,FALSE)</f>
        <v>34 787 539 500 013</v>
      </c>
      <c r="R19" s="24" t="s">
        <v>1224</v>
      </c>
      <c r="S19" s="24"/>
      <c r="T19" s="26" t="s">
        <v>1221</v>
      </c>
      <c r="U19" s="26" t="s">
        <v>1222</v>
      </c>
      <c r="V19" s="26" t="str">
        <f>VLOOKUP($D19,records!$A:$V,3,FALSE)</f>
        <v>AUTAJON SERVICES sasu</v>
      </c>
      <c r="W19" s="26"/>
      <c r="X19" s="26" t="str">
        <f>VLOOKUP($D19,records!$A:$V,9,FALSE)</f>
        <v>36 route d'Espeluche- CS 40149</v>
      </c>
      <c r="Y19" s="26" t="str">
        <f>VLOOKUP($D19,records!$A:$V,4,FALSE)</f>
        <v>MONTELIMAR CEDEX</v>
      </c>
      <c r="Z19" s="26" t="str">
        <f>VLOOKUP($D19,records!$A:$V,7,FALSE)</f>
        <v>26216</v>
      </c>
      <c r="AA19" s="26" t="s">
        <v>1223</v>
      </c>
      <c r="AB19" s="26">
        <f>VLOOKUP(O19,'records (2)'!$A:$Z,8,FALSE)</f>
        <v>30</v>
      </c>
      <c r="AC19" s="26" t="b">
        <v>0</v>
      </c>
      <c r="AD19" s="26"/>
      <c r="AE19" s="26"/>
      <c r="AF19" s="26" t="str">
        <f>VLOOKUP($D19,records!$A:$V,13,FALSE)</f>
        <v>AUTAJON SERVICES sasu</v>
      </c>
      <c r="AG19" s="26"/>
      <c r="AH19" s="26" t="str">
        <f>VLOOKUP($D19,records!$A:$V,19,FALSE)</f>
        <v>36 route d'Espeluche- CS 40149</v>
      </c>
      <c r="AI19" s="26" t="str">
        <f>VLOOKUP($D19,records!$A:$V,14,FALSE)</f>
        <v>MONTELIMAR CEDEX</v>
      </c>
      <c r="AJ19" s="26" t="str">
        <f>VLOOKUP($O19,'records (2)'!$A:$Z,14,FALSE)</f>
        <v>003IV000010rv3eYAA</v>
      </c>
      <c r="AK19" s="26" t="str">
        <f>VLOOKUP($O19,'records (2)'!$A:$Z,15,FALSE)</f>
        <v>Evelyne VICHARD</v>
      </c>
      <c r="AL19" s="26" t="str">
        <f>VLOOKUP($O19,'records (2)'!$A:$Z,10,FALSE)</f>
        <v>003IV000010t2ZTYAY</v>
      </c>
      <c r="AM19" s="26" t="str">
        <f>VLOOKUP($O19,'records (2)'!$A:$Z,11,FALSE)</f>
        <v>Michele MOLINA</v>
      </c>
      <c r="AN19" s="18">
        <v>1</v>
      </c>
      <c r="AO19" s="4">
        <v>9000</v>
      </c>
      <c r="AP19" s="4">
        <v>9000</v>
      </c>
      <c r="AQ19" s="20">
        <v>0</v>
      </c>
      <c r="AR19" s="6">
        <v>0</v>
      </c>
    </row>
    <row r="20" spans="1:44">
      <c r="A20" s="18" t="s">
        <v>808</v>
      </c>
      <c r="B20" s="18" t="s">
        <v>809</v>
      </c>
      <c r="C20" s="18" t="s">
        <v>809</v>
      </c>
      <c r="D20" s="18" t="s">
        <v>810</v>
      </c>
      <c r="E20" s="18" t="s">
        <v>52</v>
      </c>
      <c r="F20" s="18" t="s">
        <v>53</v>
      </c>
      <c r="G20" s="18"/>
      <c r="H20" s="19" t="s">
        <v>1216</v>
      </c>
      <c r="I20" s="23" t="s">
        <v>1217</v>
      </c>
      <c r="J20" s="24">
        <v>46023</v>
      </c>
      <c r="K20" s="24">
        <v>46387</v>
      </c>
      <c r="L20" s="24" t="s">
        <v>1218</v>
      </c>
      <c r="M20" s="24" t="s">
        <v>1219</v>
      </c>
      <c r="N20" s="24">
        <v>46023</v>
      </c>
      <c r="O20" s="24" t="str">
        <f>VLOOKUP(D20,records!$A:$U,10,FALSE)</f>
        <v>001SZ000004rtaLYAQ</v>
      </c>
      <c r="P20" s="24" t="str">
        <f>VLOOKUP(D20,records!$A:$V,20,FALSE)</f>
        <v>FR73695680108</v>
      </c>
      <c r="Q20" s="24" t="str">
        <f>VLOOKUP(D20,records!$A:$V,12,FALSE)</f>
        <v>69 568 010 802 753</v>
      </c>
      <c r="R20" s="24" t="s">
        <v>1224</v>
      </c>
      <c r="S20" s="24"/>
      <c r="T20" s="26" t="s">
        <v>1221</v>
      </c>
      <c r="U20" s="26" t="s">
        <v>1222</v>
      </c>
      <c r="V20" s="26" t="str">
        <f>VLOOKUP($D20,records!$A:$V,3,FALSE)</f>
        <v>POINT. P S.A.S.</v>
      </c>
      <c r="W20" s="26" t="str">
        <f>IFERROR(VLOOKUP($D20,records!$A:$V,6,FALSE),)</f>
        <v>IDF - BCR</v>
      </c>
      <c r="X20" s="26" t="str">
        <f>VLOOKUP($D20,records!$A:$V,9,FALSE)</f>
        <v>9 rue Chappe Gessalin</v>
      </c>
      <c r="Y20" s="26" t="str">
        <f>VLOOKUP($D20,records!$A:$V,4,FALSE)</f>
        <v>BRIE COMTE ROBERT</v>
      </c>
      <c r="Z20" s="26" t="str">
        <f>VLOOKUP($D20,records!$A:$V,7,FALSE)</f>
        <v>77170</v>
      </c>
      <c r="AA20" s="26" t="s">
        <v>1223</v>
      </c>
      <c r="AB20" s="26">
        <f>VLOOKUP(O20,'records (2)'!$A:$Z,8,FALSE)</f>
        <v>30</v>
      </c>
      <c r="AC20" s="26" t="b">
        <v>0</v>
      </c>
      <c r="AD20" s="26"/>
      <c r="AE20" s="26"/>
      <c r="AF20" s="26" t="str">
        <f>VLOOKUP($D20,records!$A:$V,13,FALSE)</f>
        <v>POINT P IDF</v>
      </c>
      <c r="AG20" s="26"/>
      <c r="AH20" s="26" t="str">
        <f>VLOOKUP($D20,records!$A:$V,19,FALSE)</f>
        <v>4 Boulevard Jean Moulin - 
 CS10429</v>
      </c>
      <c r="AI20" s="26" t="str">
        <f>VLOOKUP($D20,records!$A:$V,14,FALSE)</f>
        <v>NANTES</v>
      </c>
      <c r="AJ20" s="26" t="str">
        <f>VLOOKUP($O20,'records (2)'!$A:$Z,14,FALSE)</f>
        <v>003IV000010rlbQYAQ</v>
      </c>
      <c r="AK20" s="26" t="str">
        <f>VLOOKUP($O20,'records (2)'!$A:$Z,15,FALSE)</f>
        <v>Clara ARCHER</v>
      </c>
      <c r="AL20" s="26" t="str">
        <f>VLOOKUP($O20,'records (2)'!$A:$Z,10,FALSE)</f>
        <v>003IV000010rlbQYAQ</v>
      </c>
      <c r="AM20" s="26" t="str">
        <f>VLOOKUP($O20,'records (2)'!$A:$Z,11,FALSE)</f>
        <v>Clara ARCHER</v>
      </c>
      <c r="AN20" s="18">
        <v>1</v>
      </c>
      <c r="AO20" s="4">
        <v>1500</v>
      </c>
      <c r="AP20" s="4">
        <v>1500</v>
      </c>
      <c r="AQ20" s="20">
        <v>0</v>
      </c>
      <c r="AR20" s="6">
        <v>0</v>
      </c>
    </row>
    <row r="21" spans="1:44">
      <c r="A21" s="18" t="s">
        <v>753</v>
      </c>
      <c r="B21" s="18" t="s">
        <v>754</v>
      </c>
      <c r="C21" s="18" t="s">
        <v>754</v>
      </c>
      <c r="D21" s="18" t="s">
        <v>755</v>
      </c>
      <c r="E21" s="18" t="s">
        <v>52</v>
      </c>
      <c r="F21" s="18" t="s">
        <v>53</v>
      </c>
      <c r="G21" s="18"/>
      <c r="H21" s="19" t="s">
        <v>1216</v>
      </c>
      <c r="I21" s="23" t="s">
        <v>1217</v>
      </c>
      <c r="J21" s="24">
        <v>46023</v>
      </c>
      <c r="K21" s="24">
        <v>46387</v>
      </c>
      <c r="L21" s="24" t="s">
        <v>1218</v>
      </c>
      <c r="M21" s="24" t="s">
        <v>1219</v>
      </c>
      <c r="N21" s="24">
        <v>46023</v>
      </c>
      <c r="O21" s="24" t="str">
        <f>VLOOKUP(D21,records!$A:$U,10,FALSE)</f>
        <v>0012p00004UJFBRAA5</v>
      </c>
      <c r="P21" s="24" t="str">
        <f>VLOOKUP(D21,records!$A:$V,20,FALSE)</f>
        <v>FR12692015266</v>
      </c>
      <c r="Q21" s="24" t="str">
        <f>VLOOKUP(D21,records!$A:$V,12,FALSE)</f>
        <v>69 201 526 600 020</v>
      </c>
      <c r="R21" s="24" t="s">
        <v>1224</v>
      </c>
      <c r="S21" s="24"/>
      <c r="T21" s="26" t="s">
        <v>1221</v>
      </c>
      <c r="U21" s="26" t="s">
        <v>1222</v>
      </c>
      <c r="V21" s="26" t="str">
        <f>VLOOKUP($D21,records!$A:$V,3,FALSE)</f>
        <v>LIS France sa</v>
      </c>
      <c r="W21" s="26" t="str">
        <f>IFERROR(VLOOKUP($D21,records!$A:$V,6,FALSE),)</f>
        <v>Service RH</v>
      </c>
      <c r="X21" s="26" t="str">
        <f>VLOOKUP($D21,records!$A:$V,9,FALSE)</f>
        <v>67 rue de la Gare</v>
      </c>
      <c r="Y21" s="26" t="str">
        <f>VLOOKUP($D21,records!$A:$V,4,FALSE)</f>
        <v>CERENCES</v>
      </c>
      <c r="Z21" s="26" t="str">
        <f>VLOOKUP($D21,records!$A:$V,7,FALSE)</f>
        <v>50510</v>
      </c>
      <c r="AA21" s="26" t="s">
        <v>1223</v>
      </c>
      <c r="AB21" s="26">
        <f>VLOOKUP(O21,'records (2)'!$A:$Z,8,FALSE)</f>
        <v>30</v>
      </c>
      <c r="AC21" s="26" t="b">
        <v>0</v>
      </c>
      <c r="AD21" s="26"/>
      <c r="AE21" s="26"/>
      <c r="AF21" s="26" t="str">
        <f>VLOOKUP($D21,records!$A:$V,13,FALSE)</f>
        <v>LIS France sa</v>
      </c>
      <c r="AG21" s="26"/>
      <c r="AH21" s="26" t="str">
        <f>VLOOKUP($D21,records!$A:$V,19,FALSE)</f>
        <v>67 rue de la Gare</v>
      </c>
      <c r="AI21" s="26" t="str">
        <f>VLOOKUP($D21,records!$A:$V,14,FALSE)</f>
        <v>CERENCES</v>
      </c>
      <c r="AJ21" s="26" t="str">
        <f>VLOOKUP($O21,'records (2)'!$A:$Z,14,FALSE)</f>
        <v>003IV000010sxFvYAI</v>
      </c>
      <c r="AK21" s="26" t="str">
        <f>VLOOKUP($O21,'records (2)'!$A:$Z,15,FALSE)</f>
        <v>Franck MORIN</v>
      </c>
      <c r="AL21" s="26" t="str">
        <f>VLOOKUP($O21,'records (2)'!$A:$Z,10,FALSE)</f>
        <v>003IV000010tRVeYAM</v>
      </c>
      <c r="AM21" s="26" t="str">
        <f>VLOOKUP($O21,'records (2)'!$A:$Z,11,FALSE)</f>
        <v>Viviane PAWLAK - (compta)</v>
      </c>
      <c r="AN21" s="18">
        <v>1</v>
      </c>
      <c r="AO21" s="4">
        <v>1000</v>
      </c>
      <c r="AP21" s="4">
        <v>1000</v>
      </c>
      <c r="AQ21" s="20">
        <v>0</v>
      </c>
      <c r="AR21" s="6">
        <v>0</v>
      </c>
    </row>
    <row r="22" spans="1:44">
      <c r="A22" s="18" t="s">
        <v>64</v>
      </c>
      <c r="B22" s="18" t="s">
        <v>65</v>
      </c>
      <c r="C22" s="18" t="s">
        <v>65</v>
      </c>
      <c r="D22" s="18" t="s">
        <v>66</v>
      </c>
      <c r="E22" s="18" t="s">
        <v>16</v>
      </c>
      <c r="F22" s="18" t="s">
        <v>17</v>
      </c>
      <c r="G22" s="18"/>
      <c r="H22" s="19" t="s">
        <v>1216</v>
      </c>
      <c r="I22" s="23" t="s">
        <v>1217</v>
      </c>
      <c r="J22" s="24">
        <v>46023</v>
      </c>
      <c r="K22" s="24">
        <v>46387</v>
      </c>
      <c r="L22" s="24" t="s">
        <v>1218</v>
      </c>
      <c r="M22" s="24" t="s">
        <v>1219</v>
      </c>
      <c r="N22" s="24">
        <v>46023</v>
      </c>
      <c r="O22" s="24" t="str">
        <f>VLOOKUP(D22,records!$A:$U,10,FALSE)</f>
        <v>0012p00004UHPDrAAP</v>
      </c>
      <c r="P22" s="24" t="str">
        <f>VLOOKUP(D22,records!$A:$V,20,FALSE)</f>
        <v>FR31304488794</v>
      </c>
      <c r="Q22" s="24" t="str">
        <f>VLOOKUP(D22,records!$A:$V,12,FALSE)</f>
        <v>30 448 879 400 146</v>
      </c>
      <c r="R22" s="24" t="s">
        <v>1224</v>
      </c>
      <c r="S22" s="24"/>
      <c r="T22" s="26" t="s">
        <v>1221</v>
      </c>
      <c r="U22" s="26" t="s">
        <v>1222</v>
      </c>
      <c r="V22" s="26" t="str">
        <f>VLOOKUP($D22,records!$A:$V,3,FALSE)</f>
        <v>ALMA SA</v>
      </c>
      <c r="W22" s="26"/>
      <c r="X22" s="26" t="str">
        <f>VLOOKUP($D22,records!$A:$V,9,FALSE)</f>
        <v>70 Avenue des Sources</v>
      </c>
      <c r="Y22" s="26" t="str">
        <f>VLOOKUP($D22,records!$A:$V,4,FALSE)</f>
        <v>SAINT- YORRE</v>
      </c>
      <c r="Z22" s="26" t="str">
        <f>VLOOKUP($D22,records!$A:$V,7,FALSE)</f>
        <v>3270</v>
      </c>
      <c r="AA22" s="26" t="s">
        <v>1223</v>
      </c>
      <c r="AB22" s="26">
        <f>VLOOKUP(O22,'records (2)'!$A:$Z,8,FALSE)</f>
        <v>30</v>
      </c>
      <c r="AC22" s="26" t="b">
        <v>0</v>
      </c>
      <c r="AD22" s="26"/>
      <c r="AE22" s="26"/>
      <c r="AF22" s="26" t="str">
        <f>VLOOKUP($D22,records!$A:$V,13,FALSE)</f>
        <v>ALMA SA</v>
      </c>
      <c r="AG22" s="26"/>
      <c r="AH22" s="26" t="str">
        <f>VLOOKUP($D22,records!$A:$V,19,FALSE)</f>
        <v>70 Avenue des Sources</v>
      </c>
      <c r="AI22" s="26" t="str">
        <f>VLOOKUP($D22,records!$A:$V,14,FALSE)</f>
        <v>SAINT- YORRE</v>
      </c>
      <c r="AJ22" s="26" t="str">
        <f>VLOOKUP($O22,'records (2)'!$A:$Z,14,FALSE)</f>
        <v>003IV000010tJXDYA2</v>
      </c>
      <c r="AK22" s="26" t="str">
        <f>VLOOKUP($O22,'records (2)'!$A:$Z,15,FALSE)</f>
        <v>Olivier GIRAUD</v>
      </c>
      <c r="AL22" s="26" t="str">
        <f>VLOOKUP($O22,'records (2)'!$A:$Z,10,FALSE)</f>
        <v>003IV000010tJXDYA2</v>
      </c>
      <c r="AM22" s="26" t="str">
        <f>VLOOKUP($O22,'records (2)'!$A:$Z,11,FALSE)</f>
        <v>Olivier GIRAUD</v>
      </c>
      <c r="AN22" s="18">
        <v>1</v>
      </c>
      <c r="AO22" s="4">
        <v>9000</v>
      </c>
      <c r="AP22" s="4">
        <v>9000</v>
      </c>
      <c r="AQ22" s="20">
        <v>0</v>
      </c>
      <c r="AR22" s="6">
        <v>0</v>
      </c>
    </row>
    <row r="23" spans="1:44">
      <c r="A23" s="18" t="s">
        <v>880</v>
      </c>
      <c r="B23" s="18" t="s">
        <v>881</v>
      </c>
      <c r="C23" s="18" t="s">
        <v>882</v>
      </c>
      <c r="D23" s="18" t="s">
        <v>883</v>
      </c>
      <c r="E23" s="18" t="s">
        <v>52</v>
      </c>
      <c r="F23" s="18" t="s">
        <v>53</v>
      </c>
      <c r="G23" s="18"/>
      <c r="H23" s="19" t="s">
        <v>1216</v>
      </c>
      <c r="I23" s="23" t="s">
        <v>1217</v>
      </c>
      <c r="J23" s="24">
        <v>46023</v>
      </c>
      <c r="K23" s="24">
        <v>46387</v>
      </c>
      <c r="L23" s="24" t="s">
        <v>1218</v>
      </c>
      <c r="M23" s="24" t="s">
        <v>1219</v>
      </c>
      <c r="N23" s="24">
        <v>46023</v>
      </c>
      <c r="O23" s="24" t="str">
        <f>VLOOKUP(D23,records!$A:$U,10,FALSE)</f>
        <v>0012p00004RIoWPAA1</v>
      </c>
      <c r="P23" s="24" t="str">
        <f>VLOOKUP(D23,records!$A:$V,20,FALSE)</f>
        <v>FR37440285401</v>
      </c>
      <c r="Q23" s="24" t="str">
        <f>VLOOKUP(D23,records!$A:$V,12,FALSE)</f>
        <v>44 028 540 100 053</v>
      </c>
      <c r="R23" s="24" t="s">
        <v>1224</v>
      </c>
      <c r="S23" s="24"/>
      <c r="T23" s="26" t="s">
        <v>1221</v>
      </c>
      <c r="U23" s="26" t="s">
        <v>1222</v>
      </c>
      <c r="V23" s="26" t="str">
        <f>VLOOKUP($D23,records!$A:$V,3,FALSE)</f>
        <v>SENIOR AEROSPACE ERMETO SAS</v>
      </c>
      <c r="W23" s="26"/>
      <c r="X23" s="26" t="str">
        <f>VLOOKUP($D23,records!$A:$V,9,FALSE)</f>
        <v>8 rue du Clos Thomas - BP 30</v>
      </c>
      <c r="Y23" s="26" t="str">
        <f>VLOOKUP($D23,records!$A:$V,4,FALSE)</f>
        <v>FOSSÉ</v>
      </c>
      <c r="Z23" s="26" t="str">
        <f>VLOOKUP($D23,records!$A:$V,7,FALSE)</f>
        <v>41330</v>
      </c>
      <c r="AA23" s="26" t="s">
        <v>1223</v>
      </c>
      <c r="AB23" s="26">
        <f>VLOOKUP(O23,'records (2)'!$A:$Z,8,FALSE)</f>
        <v>30</v>
      </c>
      <c r="AC23" s="26" t="b">
        <v>0</v>
      </c>
      <c r="AD23" s="26"/>
      <c r="AE23" s="26"/>
      <c r="AF23" s="26" t="str">
        <f>VLOOKUP($D23,records!$A:$V,13,FALSE)</f>
        <v>SENIOR AEROSPACE ERMETO SAS</v>
      </c>
      <c r="AG23" s="26"/>
      <c r="AH23" s="26" t="str">
        <f>VLOOKUP($D23,records!$A:$V,19,FALSE)</f>
        <v>8 rue du Clos Thomas - BP 30</v>
      </c>
      <c r="AI23" s="26" t="str">
        <f>VLOOKUP($D23,records!$A:$V,14,FALSE)</f>
        <v>FOSSÉ</v>
      </c>
      <c r="AJ23" s="26" t="str">
        <f>VLOOKUP($O23,'records (2)'!$A:$Z,14,FALSE)</f>
        <v>003IV000010tQI5YAM</v>
      </c>
      <c r="AK23" s="26" t="str">
        <f>VLOOKUP($O23,'records (2)'!$A:$Z,15,FALSE)</f>
        <v>Prescillia MORIS</v>
      </c>
      <c r="AL23" s="26" t="str">
        <f>VLOOKUP($O23,'records (2)'!$A:$Z,10,FALSE)</f>
        <v>003IV000010tQI6YAM</v>
      </c>
      <c r="AM23" s="26" t="str">
        <f>VLOOKUP($O23,'records (2)'!$A:$Z,11,FALSE)</f>
        <v>Fabienne POTAGE LEGOFF</v>
      </c>
      <c r="AN23" s="18">
        <v>1</v>
      </c>
      <c r="AO23" s="4">
        <v>1000</v>
      </c>
      <c r="AP23" s="4">
        <v>1000</v>
      </c>
      <c r="AQ23" s="20">
        <v>0</v>
      </c>
      <c r="AR23" s="6">
        <v>0</v>
      </c>
    </row>
    <row r="24" spans="1:44">
      <c r="A24" s="18" t="s">
        <v>150</v>
      </c>
      <c r="B24" s="18" t="s">
        <v>151</v>
      </c>
      <c r="C24" s="18" t="s">
        <v>152</v>
      </c>
      <c r="D24" s="18" t="s">
        <v>153</v>
      </c>
      <c r="E24" s="18" t="s">
        <v>16</v>
      </c>
      <c r="F24" s="18" t="s">
        <v>17</v>
      </c>
      <c r="G24" s="18"/>
      <c r="H24" s="19" t="s">
        <v>1216</v>
      </c>
      <c r="I24" s="23" t="s">
        <v>1217</v>
      </c>
      <c r="J24" s="24">
        <v>46023</v>
      </c>
      <c r="K24" s="24">
        <v>46387</v>
      </c>
      <c r="L24" s="24" t="s">
        <v>1218</v>
      </c>
      <c r="M24" s="24" t="s">
        <v>1219</v>
      </c>
      <c r="N24" s="24">
        <v>46023</v>
      </c>
      <c r="O24" s="24" t="str">
        <f>VLOOKUP(D24,records!$A:$U,10,FALSE)</f>
        <v>001SZ000007iWoDYAU</v>
      </c>
      <c r="P24" s="24" t="str">
        <f>VLOOKUP(D24,records!$A:$V,20,FALSE)</f>
        <v>FR26388062796</v>
      </c>
      <c r="Q24" s="24" t="str">
        <f>VLOOKUP(D24,records!$A:$V,12,FALSE)</f>
        <v>38 806 279 600 080</v>
      </c>
      <c r="R24" s="24" t="s">
        <v>1220</v>
      </c>
      <c r="S24" s="24" t="str">
        <f>VLOOKUP(D24,records!$A:$W,19,FALSE)</f>
        <v>acano@elydan.eu</v>
      </c>
      <c r="T24" s="26" t="s">
        <v>1221</v>
      </c>
      <c r="U24" s="26" t="s">
        <v>1222</v>
      </c>
      <c r="V24" s="26" t="str">
        <f>VLOOKUP($D24,records!$A:$V,3,FALSE)</f>
        <v>ELYDAN sas</v>
      </c>
      <c r="W24" s="26" t="str">
        <f>IFERROR(VLOOKUP($D24,records!$A:$V,6,FALSE),)</f>
        <v>Ressources Humaines</v>
      </c>
      <c r="X24" s="26" t="str">
        <f>VLOOKUP($D24,records!$A:$V,9,FALSE)</f>
        <v>127 Avenue Louis Bleriot</v>
      </c>
      <c r="Y24" s="26" t="str">
        <f>VLOOKUP($D24,records!$A:$V,4,FALSE)</f>
        <v>SAINT ETIENNE DE SAINT GEOIRS</v>
      </c>
      <c r="Z24" s="26" t="str">
        <f>VLOOKUP($D24,records!$A:$V,7,FALSE)</f>
        <v>38590</v>
      </c>
      <c r="AA24" s="26" t="s">
        <v>1223</v>
      </c>
      <c r="AB24" s="26">
        <f>VLOOKUP(O24,'records (2)'!$A:$Z,8,FALSE)</f>
        <v>30</v>
      </c>
      <c r="AC24" s="26" t="b">
        <v>0</v>
      </c>
      <c r="AD24" s="26"/>
      <c r="AE24" s="26"/>
      <c r="AF24" s="26" t="str">
        <f>VLOOKUP($D24,records!$A:$V,13,FALSE)</f>
        <v>ELYDAN sas</v>
      </c>
      <c r="AG24" s="26" t="s">
        <v>1226</v>
      </c>
      <c r="AH24" s="26" t="str">
        <f>VLOOKUP($D24,records!$A:$V,19,FALSE)</f>
        <v>acano@elydan.eu</v>
      </c>
      <c r="AI24" s="26" t="str">
        <f>VLOOKUP($D24,records!$A:$V,14,FALSE)</f>
        <v>.</v>
      </c>
      <c r="AJ24" s="26" t="str">
        <f>VLOOKUP($O24,'records (2)'!$A:$Z,14,FALSE)</f>
        <v>003IV000010sqLJYAY</v>
      </c>
      <c r="AK24" s="26" t="str">
        <f>VLOOKUP($O24,'records (2)'!$A:$Z,15,FALSE)</f>
        <v>Facture Elydan</v>
      </c>
      <c r="AL24" s="26" t="str">
        <f>VLOOKUP($O24,'records (2)'!$A:$Z,10,FALSE)</f>
        <v>003IV000010sqLKYAY</v>
      </c>
      <c r="AM24" s="26" t="str">
        <f>VLOOKUP($O24,'records (2)'!$A:$Z,11,FALSE)</f>
        <v>Relance Factures Elydan</v>
      </c>
      <c r="AN24" s="18">
        <v>1</v>
      </c>
      <c r="AO24" s="4">
        <v>3000</v>
      </c>
      <c r="AP24" s="4">
        <v>3000</v>
      </c>
      <c r="AQ24" s="20">
        <v>0</v>
      </c>
      <c r="AR24" s="6">
        <v>0</v>
      </c>
    </row>
    <row r="25" spans="1:44">
      <c r="A25" s="18" t="s">
        <v>353</v>
      </c>
      <c r="B25" s="18" t="s">
        <v>354</v>
      </c>
      <c r="C25" s="18" t="s">
        <v>354</v>
      </c>
      <c r="D25" s="18" t="s">
        <v>355</v>
      </c>
      <c r="E25" s="18" t="s">
        <v>23</v>
      </c>
      <c r="F25" s="18" t="s">
        <v>24</v>
      </c>
      <c r="G25" s="18"/>
      <c r="H25" s="19" t="s">
        <v>1216</v>
      </c>
      <c r="I25" s="23" t="s">
        <v>1217</v>
      </c>
      <c r="J25" s="24">
        <v>46023</v>
      </c>
      <c r="K25" s="24">
        <v>46387</v>
      </c>
      <c r="L25" s="24" t="s">
        <v>1218</v>
      </c>
      <c r="M25" s="24" t="s">
        <v>1219</v>
      </c>
      <c r="N25" s="24">
        <v>46023</v>
      </c>
      <c r="O25" s="24" t="str">
        <f>VLOOKUP(D25,records!$A:$U,10,FALSE)</f>
        <v>0012p00004THFNVAA5</v>
      </c>
      <c r="P25" s="24" t="str">
        <f>VLOOKUP(D25,records!$A:$V,20,FALSE)</f>
        <v>FR75542071329</v>
      </c>
      <c r="Q25" s="24" t="str">
        <f>VLOOKUP(D25,records!$A:$V,12,FALSE)</f>
        <v>54 207 132 900 024</v>
      </c>
      <c r="R25" s="24" t="s">
        <v>1220</v>
      </c>
      <c r="S25" s="24" t="str">
        <f>VLOOKUP(D25,records!$A:$W,19,FALSE)</f>
        <v>account.payable@revima.fr</v>
      </c>
      <c r="T25" s="26" t="s">
        <v>1221</v>
      </c>
      <c r="U25" s="26" t="s">
        <v>1222</v>
      </c>
      <c r="V25" s="26" t="str">
        <f>VLOOKUP($D25,records!$A:$V,3,FALSE)</f>
        <v>REVIMA sasu</v>
      </c>
      <c r="W25" s="26"/>
      <c r="X25" s="26" t="str">
        <f>VLOOKUP($D25,records!$A:$V,9,FALSE)</f>
        <v>1 Avenue du Latham 47</v>
      </c>
      <c r="Y25" s="26" t="str">
        <f>VLOOKUP($D25,records!$A:$V,4,FALSE)</f>
        <v>RIVES-EN-SEINE</v>
      </c>
      <c r="Z25" s="26" t="str">
        <f>VLOOKUP($D25,records!$A:$V,7,FALSE)</f>
        <v>76490</v>
      </c>
      <c r="AA25" s="26" t="s">
        <v>1223</v>
      </c>
      <c r="AB25" s="26">
        <f>VLOOKUP(O25,'records (2)'!$A:$Z,8,FALSE)</f>
        <v>30</v>
      </c>
      <c r="AC25" s="26" t="b">
        <v>0</v>
      </c>
      <c r="AD25" s="26"/>
      <c r="AE25" s="26"/>
      <c r="AF25" s="26" t="str">
        <f>VLOOKUP($D25,records!$A:$V,13,FALSE)</f>
        <v>REVIMA sasu</v>
      </c>
      <c r="AG25" s="26" t="s">
        <v>1226</v>
      </c>
      <c r="AH25" s="26" t="str">
        <f>VLOOKUP($D25,records!$A:$V,19,FALSE)</f>
        <v>account.payable@revima.fr</v>
      </c>
      <c r="AI25" s="26" t="str">
        <f>VLOOKUP($D25,records!$A:$V,14,FALSE)</f>
        <v>.</v>
      </c>
      <c r="AJ25" s="26" t="str">
        <f>VLOOKUP($O25,'records (2)'!$A:$Z,14,FALSE)</f>
        <v>003IV000010tIiXYAU</v>
      </c>
      <c r="AK25" s="26" t="str">
        <f>VLOOKUP($O25,'records (2)'!$A:$Z,15,FALSE)</f>
        <v>Facturation REVIMA</v>
      </c>
      <c r="AL25" s="26" t="str">
        <f>VLOOKUP($O25,'records (2)'!$A:$Z,10,FALSE)</f>
        <v>003IV000010tIiXYAU</v>
      </c>
      <c r="AM25" s="26" t="str">
        <f>VLOOKUP($O25,'records (2)'!$A:$Z,11,FALSE)</f>
        <v>Facturation REVIMA</v>
      </c>
      <c r="AN25" s="18">
        <v>1</v>
      </c>
      <c r="AO25" s="4">
        <v>2000</v>
      </c>
      <c r="AP25" s="4">
        <v>2000</v>
      </c>
      <c r="AQ25" s="20">
        <v>0</v>
      </c>
      <c r="AR25" s="6">
        <v>0</v>
      </c>
    </row>
    <row r="26" spans="1:44">
      <c r="A26" s="18" t="s">
        <v>771</v>
      </c>
      <c r="B26" s="18" t="s">
        <v>772</v>
      </c>
      <c r="C26" s="18" t="s">
        <v>773</v>
      </c>
      <c r="D26" s="18" t="s">
        <v>774</v>
      </c>
      <c r="E26" s="18" t="s">
        <v>52</v>
      </c>
      <c r="F26" s="18" t="s">
        <v>53</v>
      </c>
      <c r="G26" s="18"/>
      <c r="H26" s="19" t="s">
        <v>1216</v>
      </c>
      <c r="I26" s="23" t="s">
        <v>1217</v>
      </c>
      <c r="J26" s="24">
        <v>46023</v>
      </c>
      <c r="K26" s="24">
        <v>46387</v>
      </c>
      <c r="L26" s="24" t="s">
        <v>1218</v>
      </c>
      <c r="M26" s="24" t="s">
        <v>1219</v>
      </c>
      <c r="N26" s="24">
        <v>46023</v>
      </c>
      <c r="O26" s="24" t="str">
        <f>VLOOKUP(D26,records!$A:$U,10,FALSE)</f>
        <v>0012p00004RDYqlAAH</v>
      </c>
      <c r="P26" s="24" t="str">
        <f>VLOOKUP(D26,records!$A:$V,20,FALSE)</f>
        <v>FR38400313318</v>
      </c>
      <c r="Q26" s="24" t="str">
        <f>VLOOKUP(D26,records!$A:$V,12,FALSE)</f>
        <v>40 031 331 800 026</v>
      </c>
      <c r="R26" s="24" t="s">
        <v>1220</v>
      </c>
      <c r="S26" s="24" t="str">
        <f>VLOOKUP(D26,records!$A:$U,19,FALSE)</f>
        <v>accounting.millet@milletmountaingroup.com</v>
      </c>
      <c r="T26" s="26" t="s">
        <v>1221</v>
      </c>
      <c r="U26" s="26" t="s">
        <v>1222</v>
      </c>
      <c r="V26" s="26" t="str">
        <f>VLOOKUP($D26,records!$A:$V,3,FALSE)</f>
        <v>MILLET MOUNTAIN GROUP SAS</v>
      </c>
      <c r="W26" s="26"/>
      <c r="X26" s="26" t="str">
        <f>VLOOKUP($D26,records!$A:$V,9,FALSE)</f>
        <v>21 rue du Pré Faucon</v>
      </c>
      <c r="Y26" s="26" t="str">
        <f>VLOOKUP($D26,records!$A:$V,4,FALSE)</f>
        <v>ANNECY LE VIEUX CEDEX</v>
      </c>
      <c r="Z26" s="26" t="str">
        <f>VLOOKUP($D26,records!$A:$V,7,FALSE)</f>
        <v>74943</v>
      </c>
      <c r="AA26" s="26" t="s">
        <v>1223</v>
      </c>
      <c r="AB26" s="26">
        <f>VLOOKUP(O26,'records (2)'!$A:$Z,8,FALSE)</f>
        <v>30</v>
      </c>
      <c r="AC26" s="26" t="b">
        <v>0</v>
      </c>
      <c r="AD26" s="26"/>
      <c r="AE26" s="26"/>
      <c r="AF26" s="26" t="str">
        <f>VLOOKUP($D26,records!$A:$V,13,FALSE)</f>
        <v>MILLET MOUNTAIN GROUP SAS</v>
      </c>
      <c r="AG26" s="26" t="s">
        <v>1226</v>
      </c>
      <c r="AH26" s="26" t="str">
        <f>VLOOKUP($D26,records!$A:$V,19,FALSE)</f>
        <v>accounting.millet@milletmountaingroup.com</v>
      </c>
      <c r="AI26" s="26" t="str">
        <f>VLOOKUP($D26,records!$A:$V,14,FALSE)</f>
        <v>.</v>
      </c>
      <c r="AJ26" s="26" t="str">
        <f>VLOOKUP($O26,'records (2)'!$A:$Z,14,FALSE)</f>
        <v>003IV000010tQIMYA2</v>
      </c>
      <c r="AK26" s="26" t="str">
        <f>VLOOKUP($O26,'records (2)'!$A:$Z,15,FALSE)</f>
        <v>Olivier LENESTOUR (accounting)</v>
      </c>
      <c r="AL26" s="26" t="str">
        <f>VLOOKUP($O26,'records (2)'!$A:$Z,10,FALSE)</f>
        <v>003IV000010tQIMYA2</v>
      </c>
      <c r="AM26" s="26" t="str">
        <f>VLOOKUP($O26,'records (2)'!$A:$Z,11,FALSE)</f>
        <v>Olivier LENESTOUR (accounting)</v>
      </c>
      <c r="AN26" s="18">
        <v>1</v>
      </c>
      <c r="AO26" s="4">
        <v>500</v>
      </c>
      <c r="AP26" s="4">
        <v>500</v>
      </c>
      <c r="AQ26" s="20">
        <v>0</v>
      </c>
      <c r="AR26" s="6">
        <v>0</v>
      </c>
    </row>
    <row r="27" spans="1:44">
      <c r="A27" s="18" t="s">
        <v>429</v>
      </c>
      <c r="B27" s="18" t="s">
        <v>430</v>
      </c>
      <c r="C27" s="18" t="s">
        <v>431</v>
      </c>
      <c r="D27" s="18" t="s">
        <v>432</v>
      </c>
      <c r="E27" s="18" t="s">
        <v>52</v>
      </c>
      <c r="F27" s="18" t="s">
        <v>53</v>
      </c>
      <c r="G27" s="18"/>
      <c r="H27" s="19" t="s">
        <v>1216</v>
      </c>
      <c r="I27" s="23" t="s">
        <v>1217</v>
      </c>
      <c r="J27" s="24">
        <v>46023</v>
      </c>
      <c r="K27" s="24">
        <v>46387</v>
      </c>
      <c r="L27" s="24" t="s">
        <v>1218</v>
      </c>
      <c r="M27" s="24" t="s">
        <v>1219</v>
      </c>
      <c r="N27" s="24">
        <v>46023</v>
      </c>
      <c r="O27" s="24" t="str">
        <f>VLOOKUP(D27,records!$A:$U,10,FALSE)</f>
        <v>0012p00004ReLR9AAN</v>
      </c>
      <c r="P27" s="24" t="str">
        <f>VLOOKUP(D27,records!$A:$V,20,FALSE)</f>
        <v>FR91388636896</v>
      </c>
      <c r="Q27" s="24" t="str">
        <f>VLOOKUP(D27,records!$A:$V,12,FALSE)</f>
        <v>38 863 689 600 010</v>
      </c>
      <c r="R27" s="24" t="s">
        <v>1220</v>
      </c>
      <c r="S27" s="24" t="str">
        <f>VLOOKUP(D27,records!$A:$U,19,FALSE)</f>
        <v>accounts-payable.besancon@fci.com</v>
      </c>
      <c r="T27" s="26" t="s">
        <v>1221</v>
      </c>
      <c r="U27" s="26" t="s">
        <v>1222</v>
      </c>
      <c r="V27" s="26" t="str">
        <f>VLOOKUP($D27,records!$A:$V,3,FALSE)</f>
        <v>AMPHENOL FCI BESANCON sas</v>
      </c>
      <c r="W27" s="26"/>
      <c r="X27" s="26" t="str">
        <f>VLOOKUP($D27,records!$A:$V,9,FALSE)</f>
        <v>2 Rue Lafayette</v>
      </c>
      <c r="Y27" s="26" t="str">
        <f>VLOOKUP($D27,records!$A:$V,4,FALSE)</f>
        <v>BESANCON</v>
      </c>
      <c r="Z27" s="26" t="str">
        <f>VLOOKUP($D27,records!$A:$V,7,FALSE)</f>
        <v>25000</v>
      </c>
      <c r="AA27" s="26" t="s">
        <v>1223</v>
      </c>
      <c r="AB27" s="26">
        <f>VLOOKUP(O27,'records (2)'!$A:$Z,8,FALSE)</f>
        <v>30</v>
      </c>
      <c r="AC27" s="26" t="b">
        <v>0</v>
      </c>
      <c r="AD27" s="26"/>
      <c r="AE27" s="26"/>
      <c r="AF27" s="26" t="str">
        <f>VLOOKUP($D27,records!$A:$V,13,FALSE)</f>
        <v>AMPHENOL FCI BESANCON sas</v>
      </c>
      <c r="AG27" s="26" t="s">
        <v>1226</v>
      </c>
      <c r="AH27" s="26" t="str">
        <f>VLOOKUP($D27,records!$A:$V,19,FALSE)</f>
        <v>accounts-payable.besancon@fci.com</v>
      </c>
      <c r="AI27" s="26" t="str">
        <f>VLOOKUP($D27,records!$A:$V,14,FALSE)</f>
        <v>.</v>
      </c>
      <c r="AJ27" s="26" t="str">
        <f>VLOOKUP($O27,'records (2)'!$A:$Z,14,FALSE)</f>
        <v>003IV000010t1XAYAY</v>
      </c>
      <c r="AK27" s="26" t="str">
        <f>VLOOKUP($O27,'records (2)'!$A:$Z,15,FALSE)</f>
        <v>Jemil ISHAK-BOUSHAKI</v>
      </c>
      <c r="AL27" s="26" t="str">
        <f>VLOOKUP($O27,'records (2)'!$A:$Z,10,FALSE)</f>
        <v>003IV000010t1XAYAY</v>
      </c>
      <c r="AM27" s="26" t="str">
        <f>VLOOKUP($O27,'records (2)'!$A:$Z,11,FALSE)</f>
        <v>Jemil ISHAK-BOUSHAKI</v>
      </c>
      <c r="AN27" s="18">
        <v>1</v>
      </c>
      <c r="AO27" s="4">
        <v>1000</v>
      </c>
      <c r="AP27" s="4">
        <v>1000</v>
      </c>
      <c r="AQ27" s="20">
        <v>0</v>
      </c>
      <c r="AR27" s="6">
        <v>0</v>
      </c>
    </row>
    <row r="28" spans="1:44">
      <c r="A28" s="18" t="s">
        <v>920</v>
      </c>
      <c r="B28" s="18" t="s">
        <v>921</v>
      </c>
      <c r="C28" s="18" t="s">
        <v>922</v>
      </c>
      <c r="D28" s="18" t="s">
        <v>923</v>
      </c>
      <c r="E28" s="18" t="s">
        <v>52</v>
      </c>
      <c r="F28" s="18" t="s">
        <v>53</v>
      </c>
      <c r="G28" s="18"/>
      <c r="H28" s="19" t="s">
        <v>1216</v>
      </c>
      <c r="I28" s="23" t="s">
        <v>1217</v>
      </c>
      <c r="J28" s="24">
        <v>46023</v>
      </c>
      <c r="K28" s="24">
        <v>46387</v>
      </c>
      <c r="L28" s="24" t="s">
        <v>1218</v>
      </c>
      <c r="M28" s="24" t="s">
        <v>1219</v>
      </c>
      <c r="N28" s="24">
        <v>46023</v>
      </c>
      <c r="O28" s="24" t="str">
        <f>VLOOKUP(D28,records!$A:$U,10,FALSE)</f>
        <v>0012p00004TGrjrAAD</v>
      </c>
      <c r="P28" s="24" t="str">
        <f>VLOOKUP(D28,records!$A:$V,20,FALSE)</f>
        <v>FR29555450071</v>
      </c>
      <c r="Q28" s="24" t="str">
        <f>VLOOKUP(D28,records!$A:$V,12,FALSE)</f>
        <v>55 545 007 100 041</v>
      </c>
      <c r="R28" s="24" t="s">
        <v>1220</v>
      </c>
      <c r="S28" s="24" t="str">
        <f>VLOOKUP(D28,records!$A:$U,19,FALSE)</f>
        <v>AccountsPayableFrance@Tenneco.com</v>
      </c>
      <c r="T28" s="26" t="s">
        <v>1221</v>
      </c>
      <c r="U28" s="26" t="s">
        <v>1222</v>
      </c>
      <c r="V28" s="26" t="str">
        <f>VLOOKUP($D28,records!$A:$V,3,FALSE)</f>
        <v>TENNECO AUTOMOTIVE FRANCE SAS</v>
      </c>
      <c r="W28" s="26"/>
      <c r="X28" s="26" t="str">
        <f>VLOOKUP($D28,records!$A:$V,9,FALSE)</f>
        <v>ZA des Giraumeries</v>
      </c>
      <c r="Y28" s="26" t="str">
        <f>VLOOKUP($D28,records!$A:$V,4,FALSE)</f>
        <v>SAINT BERTHEVIN</v>
      </c>
      <c r="Z28" s="26" t="str">
        <f>VLOOKUP($D28,records!$A:$V,7,FALSE)</f>
        <v>53940</v>
      </c>
      <c r="AA28" s="26" t="s">
        <v>1223</v>
      </c>
      <c r="AB28" s="26">
        <f>VLOOKUP(O28,'records (2)'!$A:$Z,8,FALSE)</f>
        <v>30</v>
      </c>
      <c r="AC28" s="26" t="b">
        <v>0</v>
      </c>
      <c r="AD28" s="26"/>
      <c r="AE28" s="26"/>
      <c r="AF28" s="26" t="str">
        <f>VLOOKUP($D28,records!$A:$V,13,FALSE)</f>
        <v>TENNECO AUTOMOTIVE FRANCE SAS</v>
      </c>
      <c r="AG28" s="26" t="s">
        <v>1226</v>
      </c>
      <c r="AH28" s="26" t="str">
        <f>VLOOKUP($D28,records!$A:$V,19,FALSE)</f>
        <v>AccountsPayableFrance@Tenneco.com</v>
      </c>
      <c r="AI28" s="26" t="str">
        <f>VLOOKUP($D28,records!$A:$V,14,FALSE)</f>
        <v>.</v>
      </c>
      <c r="AJ28" s="26" t="str">
        <f>VLOOKUP($O28,'records (2)'!$A:$Z,14,FALSE)</f>
        <v>003IV000010tJXCYA2</v>
      </c>
      <c r="AK28" s="26" t="str">
        <f>VLOOKUP($O28,'records (2)'!$A:$Z,15,FALSE)</f>
        <v>Sandrine LEVECQUE</v>
      </c>
      <c r="AL28" s="26" t="str">
        <f>VLOOKUP($O28,'records (2)'!$A:$Z,10,FALSE)</f>
        <v>003IV000010tJXCYA2</v>
      </c>
      <c r="AM28" s="26" t="str">
        <f>VLOOKUP($O28,'records (2)'!$A:$Z,11,FALSE)</f>
        <v>Sandrine LEVECQUE</v>
      </c>
      <c r="AN28" s="18">
        <v>1</v>
      </c>
      <c r="AO28" s="4">
        <v>500</v>
      </c>
      <c r="AP28" s="4">
        <v>500</v>
      </c>
      <c r="AQ28" s="20">
        <v>0</v>
      </c>
      <c r="AR28" s="6">
        <v>0</v>
      </c>
    </row>
    <row r="29" spans="1:44">
      <c r="A29" s="18" t="s">
        <v>587</v>
      </c>
      <c r="B29" s="18" t="s">
        <v>588</v>
      </c>
      <c r="C29" s="18" t="s">
        <v>588</v>
      </c>
      <c r="D29" s="18" t="s">
        <v>589</v>
      </c>
      <c r="E29" s="18" t="s">
        <v>52</v>
      </c>
      <c r="F29" s="18" t="s">
        <v>53</v>
      </c>
      <c r="G29" s="18"/>
      <c r="H29" s="19" t="s">
        <v>1216</v>
      </c>
      <c r="I29" s="23" t="s">
        <v>1217</v>
      </c>
      <c r="J29" s="24">
        <v>46023</v>
      </c>
      <c r="K29" s="24">
        <v>46387</v>
      </c>
      <c r="L29" s="24" t="s">
        <v>1218</v>
      </c>
      <c r="M29" s="24" t="s">
        <v>1219</v>
      </c>
      <c r="N29" s="24">
        <v>46023</v>
      </c>
      <c r="O29" s="24" t="str">
        <f>VLOOKUP(D29,records!$A:$U,10,FALSE)</f>
        <v>0012p00004UJG6aAAH</v>
      </c>
      <c r="P29" s="24" t="str">
        <f>VLOOKUP(D29,records!$A:$V,20,FALSE)</f>
        <v>FR82335820684</v>
      </c>
      <c r="Q29" s="24" t="str">
        <f>VLOOKUP(D29,records!$A:$V,12,FALSE)</f>
        <v>33 582 068 400 033</v>
      </c>
      <c r="R29" s="24" t="s">
        <v>1220</v>
      </c>
      <c r="S29" s="24" t="str">
        <f>VLOOKUP(D29,records!$A:$U,19,FALSE)</f>
        <v>accueilfactures.excelvision@fareva.com</v>
      </c>
      <c r="T29" s="26" t="s">
        <v>1221</v>
      </c>
      <c r="U29" s="26" t="s">
        <v>1222</v>
      </c>
      <c r="V29" s="26" t="str">
        <f>VLOOKUP($D29,records!$A:$V,3,FALSE)</f>
        <v>EXCELVISION sas</v>
      </c>
      <c r="W29" s="26"/>
      <c r="X29" s="26" t="str">
        <f>VLOOKUP($D29,records!$A:$V,9,FALSE)</f>
        <v>27 Rue de la Lombardière</v>
      </c>
      <c r="Y29" s="26" t="str">
        <f>VLOOKUP($D29,records!$A:$V,4,FALSE)</f>
        <v>ANNONAY</v>
      </c>
      <c r="Z29" s="26" t="str">
        <f>VLOOKUP($D29,records!$A:$V,7,FALSE)</f>
        <v>7100</v>
      </c>
      <c r="AA29" s="26" t="s">
        <v>1223</v>
      </c>
      <c r="AB29" s="26">
        <f>VLOOKUP(O29,'records (2)'!$A:$Z,8,FALSE)</f>
        <v>60</v>
      </c>
      <c r="AC29" s="26" t="b">
        <v>0</v>
      </c>
      <c r="AD29" s="26"/>
      <c r="AE29" s="26"/>
      <c r="AF29" s="26" t="str">
        <f>VLOOKUP($D29,records!$A:$V,13,FALSE)</f>
        <v>EXCELVISION sas</v>
      </c>
      <c r="AG29" s="26" t="s">
        <v>1226</v>
      </c>
      <c r="AH29" s="26" t="str">
        <f>VLOOKUP($D29,records!$A:$V,19,FALSE)</f>
        <v>accueilfactures.excelvision@fareva.com</v>
      </c>
      <c r="AI29" s="26" t="str">
        <f>VLOOKUP($D29,records!$A:$V,14,FALSE)</f>
        <v>.</v>
      </c>
      <c r="AJ29" s="26" t="str">
        <f>VLOOKUP($O29,'records (2)'!$A:$Z,14,FALSE)</f>
        <v>003IV000010t687YAA</v>
      </c>
      <c r="AK29" s="26" t="str">
        <f>VLOOKUP($O29,'records (2)'!$A:$Z,15,FALSE)</f>
        <v>Service Comptabilité</v>
      </c>
      <c r="AL29" s="26" t="str">
        <f>VLOOKUP($O29,'records (2)'!$A:$Z,10,FALSE)</f>
        <v>003IV000010t688YAA</v>
      </c>
      <c r="AM29" s="26" t="str">
        <f>VLOOKUP($O29,'records (2)'!$A:$Z,11,FALSE)</f>
        <v>Frédéric DE ROMELIN</v>
      </c>
      <c r="AN29" s="18">
        <v>1</v>
      </c>
      <c r="AO29" s="4">
        <v>500</v>
      </c>
      <c r="AP29" s="4">
        <v>500</v>
      </c>
      <c r="AQ29" s="20">
        <v>0</v>
      </c>
      <c r="AR29" s="6">
        <v>0</v>
      </c>
    </row>
    <row r="30" spans="1:44">
      <c r="A30" s="18" t="s">
        <v>1005</v>
      </c>
      <c r="B30" s="18" t="s">
        <v>1006</v>
      </c>
      <c r="C30" s="18" t="s">
        <v>1007</v>
      </c>
      <c r="D30" s="18" t="s">
        <v>1008</v>
      </c>
      <c r="E30" s="18" t="s">
        <v>52</v>
      </c>
      <c r="F30" s="18" t="s">
        <v>53</v>
      </c>
      <c r="G30" s="18"/>
      <c r="H30" s="19" t="s">
        <v>1216</v>
      </c>
      <c r="I30" s="23" t="s">
        <v>1217</v>
      </c>
      <c r="J30" s="24">
        <v>46023</v>
      </c>
      <c r="K30" s="24">
        <v>46387</v>
      </c>
      <c r="L30" s="24" t="s">
        <v>1218</v>
      </c>
      <c r="M30" s="24" t="s">
        <v>1219</v>
      </c>
      <c r="N30" s="24">
        <v>46023</v>
      </c>
      <c r="O30" s="24" t="str">
        <f>VLOOKUP(D30,records!$A:$U,10,FALSE)</f>
        <v>001SZ000005Od72YAC</v>
      </c>
      <c r="P30" s="24" t="str">
        <f>VLOOKUP(D30,records!$A:$V,20,FALSE)</f>
        <v>FR44773201108</v>
      </c>
      <c r="Q30" s="24" t="str">
        <f>VLOOKUP(D30,records!$A:$V,12,FALSE)</f>
        <v>77 320 110 800 018</v>
      </c>
      <c r="R30" s="24" t="s">
        <v>1220</v>
      </c>
      <c r="S30" s="24" t="str">
        <f>VLOOKUP(D30,records!$A:$U,19,FALSE)</f>
        <v>adminlallemand@lafuma-mobilier.fr</v>
      </c>
      <c r="T30" s="26" t="s">
        <v>1221</v>
      </c>
      <c r="U30" s="26" t="s">
        <v>1222</v>
      </c>
      <c r="V30" s="26" t="str">
        <f>VLOOKUP($D30,records!$A:$V,3,FALSE)</f>
        <v>LALLEMAND SAS</v>
      </c>
      <c r="W30" s="26"/>
      <c r="X30" s="26" t="str">
        <f>VLOOKUP($D30,records!$A:$V,9,FALSE)</f>
        <v>Le Balmay</v>
      </c>
      <c r="Y30" s="26" t="str">
        <f>VLOOKUP($D30,records!$A:$V,4,FALSE)</f>
        <v>VIEU D'IZENAVE</v>
      </c>
      <c r="Z30" s="26" t="str">
        <f>VLOOKUP($D30,records!$A:$V,7,FALSE)</f>
        <v>1430</v>
      </c>
      <c r="AA30" s="26" t="s">
        <v>1223</v>
      </c>
      <c r="AB30" s="26">
        <f>VLOOKUP(O30,'records (2)'!$A:$Z,8,FALSE)</f>
        <v>30</v>
      </c>
      <c r="AC30" s="26" t="b">
        <v>0</v>
      </c>
      <c r="AD30" s="26"/>
      <c r="AE30" s="26"/>
      <c r="AF30" s="26" t="str">
        <f>VLOOKUP($D30,records!$A:$V,13,FALSE)</f>
        <v>LALLEMAND SAS</v>
      </c>
      <c r="AG30" s="26" t="s">
        <v>1226</v>
      </c>
      <c r="AH30" s="26" t="str">
        <f>VLOOKUP($D30,records!$A:$V,19,FALSE)</f>
        <v>adminlallemand@lafuma-mobilier.fr</v>
      </c>
      <c r="AI30" s="26" t="str">
        <f>VLOOKUP($D30,records!$A:$V,14,FALSE)</f>
        <v>.</v>
      </c>
      <c r="AJ30" s="26" t="str">
        <f>VLOOKUP($O30,'records (2)'!$A:$Z,14,FALSE)</f>
        <v>003IV000010su8mYAA</v>
      </c>
      <c r="AK30" s="26" t="str">
        <f>VLOOKUP($O30,'records (2)'!$A:$Z,15,FALSE)</f>
        <v>Fabrice CORMORECHE</v>
      </c>
      <c r="AL30" s="26" t="str">
        <f>VLOOKUP($O30,'records (2)'!$A:$Z,10,FALSE)</f>
        <v>003IV000010su8mYAA</v>
      </c>
      <c r="AM30" s="26" t="str">
        <f>VLOOKUP($O30,'records (2)'!$A:$Z,11,FALSE)</f>
        <v>Fabrice CORMORECHE</v>
      </c>
      <c r="AN30" s="18">
        <v>1</v>
      </c>
      <c r="AO30" s="4">
        <v>500</v>
      </c>
      <c r="AP30" s="4">
        <v>500</v>
      </c>
      <c r="AQ30" s="20"/>
      <c r="AR30" s="6"/>
    </row>
    <row r="31" spans="1:44">
      <c r="A31" s="18" t="s">
        <v>721</v>
      </c>
      <c r="B31" s="18" t="s">
        <v>722</v>
      </c>
      <c r="C31" s="18" t="s">
        <v>723</v>
      </c>
      <c r="D31" s="18" t="s">
        <v>724</v>
      </c>
      <c r="E31" s="18" t="s">
        <v>52</v>
      </c>
      <c r="F31" s="18" t="s">
        <v>53</v>
      </c>
      <c r="G31" s="18"/>
      <c r="H31" s="19" t="s">
        <v>1216</v>
      </c>
      <c r="I31" s="23" t="s">
        <v>1217</v>
      </c>
      <c r="J31" s="24">
        <v>46023</v>
      </c>
      <c r="K31" s="24">
        <v>46387</v>
      </c>
      <c r="L31" s="24" t="s">
        <v>1218</v>
      </c>
      <c r="M31" s="24" t="s">
        <v>1219</v>
      </c>
      <c r="N31" s="24">
        <v>46023</v>
      </c>
      <c r="O31" s="24" t="str">
        <f>VLOOKUP(D31,records!$A:$U,10,FALSE)</f>
        <v>0012p00004RmixTAAR</v>
      </c>
      <c r="P31" s="24" t="str">
        <f>VLOOKUP(D31,records!$A:$V,20,FALSE)</f>
        <v>FR20569801897</v>
      </c>
      <c r="Q31" s="24" t="str">
        <f>VLOOKUP(D31,records!$A:$V,12,FALSE)</f>
        <v>56 980 189 700 103</v>
      </c>
      <c r="R31" s="24" t="s">
        <v>1220</v>
      </c>
      <c r="S31" s="24" t="str">
        <f>VLOOKUP(D31,records!$A:$U,19,FALSE)</f>
        <v>alexandra.rongy@ksb.com</v>
      </c>
      <c r="T31" s="26" t="s">
        <v>1221</v>
      </c>
      <c r="U31" s="26" t="s">
        <v>1222</v>
      </c>
      <c r="V31" s="26" t="str">
        <f>VLOOKUP($D31,records!$A:$V,3,FALSE)</f>
        <v>KSB SAS</v>
      </c>
      <c r="W31" s="26"/>
      <c r="X31" s="26" t="str">
        <f>VLOOKUP($D31,records!$A:$V,9,FALSE)</f>
        <v>Allée de Sagan</v>
      </c>
      <c r="Y31" s="26" t="str">
        <f>VLOOKUP($D31,records!$A:$V,4,FALSE)</f>
        <v>CHATEAUROUX</v>
      </c>
      <c r="Z31" s="26" t="str">
        <f>VLOOKUP($D31,records!$A:$V,7,FALSE)</f>
        <v>36000</v>
      </c>
      <c r="AA31" s="26" t="s">
        <v>1223</v>
      </c>
      <c r="AB31" s="26">
        <f>VLOOKUP(O31,'records (2)'!$A:$Z,8,FALSE)</f>
        <v>30</v>
      </c>
      <c r="AC31" s="26" t="b">
        <v>0</v>
      </c>
      <c r="AD31" s="26"/>
      <c r="AE31" s="26"/>
      <c r="AF31" s="26" t="str">
        <f>VLOOKUP($D31,records!$A:$V,13,FALSE)</f>
        <v>KSB SAS</v>
      </c>
      <c r="AG31" s="26" t="s">
        <v>1226</v>
      </c>
      <c r="AH31" s="26" t="str">
        <f>VLOOKUP($D31,records!$A:$V,19,FALSE)</f>
        <v>alexandra.rongy@ksb.com</v>
      </c>
      <c r="AI31" s="26" t="str">
        <f>VLOOKUP($D31,records!$A:$V,14,FALSE)</f>
        <v>.</v>
      </c>
      <c r="AJ31" s="26" t="str">
        <f>VLOOKUP($O31,'records (2)'!$A:$Z,14,FALSE)</f>
        <v>003IV000010tIdmYAE</v>
      </c>
      <c r="AK31" s="26" t="str">
        <f>VLOOKUP($O31,'records (2)'!$A:$Z,15,FALSE)</f>
        <v>Thomas BRUNEAU</v>
      </c>
      <c r="AL31" s="26" t="str">
        <f>VLOOKUP($O31,'records (2)'!$A:$Z,10,FALSE)</f>
        <v>003IV000010sxGoYAI</v>
      </c>
      <c r="AM31" s="26" t="str">
        <f>VLOOKUP($O31,'records (2)'!$A:$Z,11,FALSE)</f>
        <v>Fabienne BOISBOURDIN</v>
      </c>
      <c r="AN31" s="18">
        <v>1</v>
      </c>
      <c r="AO31" s="4">
        <v>500</v>
      </c>
      <c r="AP31" s="4">
        <v>500</v>
      </c>
      <c r="AQ31" s="20">
        <v>0</v>
      </c>
      <c r="AR31" s="6">
        <v>0</v>
      </c>
    </row>
    <row r="32" spans="1:44">
      <c r="A32" s="18" t="s">
        <v>468</v>
      </c>
      <c r="B32" s="18" t="s">
        <v>469</v>
      </c>
      <c r="C32" s="18" t="s">
        <v>470</v>
      </c>
      <c r="D32" s="22" t="s">
        <v>471</v>
      </c>
      <c r="E32" s="18" t="s">
        <v>52</v>
      </c>
      <c r="F32" s="18" t="s">
        <v>53</v>
      </c>
      <c r="G32" s="22" t="s">
        <v>469</v>
      </c>
      <c r="H32" s="19" t="s">
        <v>1216</v>
      </c>
      <c r="I32" s="23" t="s">
        <v>1217</v>
      </c>
      <c r="J32" s="24">
        <v>46023</v>
      </c>
      <c r="K32" s="24">
        <v>46387</v>
      </c>
      <c r="L32" s="24" t="s">
        <v>1218</v>
      </c>
      <c r="M32" s="24" t="s">
        <v>1219</v>
      </c>
      <c r="N32" s="24">
        <v>46023</v>
      </c>
      <c r="O32" s="24" t="str">
        <f>VLOOKUP(D32,records!$A:$U,10,FALSE)</f>
        <v>001SZ000003ZJXVYA4</v>
      </c>
      <c r="P32" s="24" t="str">
        <f>VLOOKUP(D32,records!$A:$V,20,FALSE)</f>
        <v>FR52759200454</v>
      </c>
      <c r="Q32" s="24" t="str">
        <f>VLOOKUP(D32,records!$A:$V,12,FALSE)</f>
        <v>75 920 045 400 156</v>
      </c>
      <c r="R32" s="24" t="s">
        <v>1220</v>
      </c>
      <c r="S32" s="29" t="s">
        <v>1227</v>
      </c>
      <c r="T32" s="26" t="s">
        <v>1221</v>
      </c>
      <c r="U32" s="26" t="s">
        <v>1222</v>
      </c>
      <c r="V32" s="26" t="str">
        <f>VLOOKUP($D32,records!$A:$V,3,FALSE)</f>
        <v>PROMENS SA</v>
      </c>
      <c r="W32" s="26"/>
      <c r="X32" s="26" t="str">
        <f>VLOOKUP($D32,records!$A:$V,9,FALSE)</f>
        <v>5 Rue Castellion</v>
      </c>
      <c r="Y32" s="26" t="str">
        <f>VLOOKUP($D32,records!$A:$V,4,FALSE)</f>
        <v>BELLIGNAT</v>
      </c>
      <c r="Z32" s="28" t="s">
        <v>1228</v>
      </c>
      <c r="AA32" s="26" t="s">
        <v>1223</v>
      </c>
      <c r="AB32" s="26">
        <f>VLOOKUP(O32,'records (2)'!$A:$Z,8,FALSE)</f>
        <v>30</v>
      </c>
      <c r="AC32" s="26" t="b">
        <f>VLOOKUP(O32,'records (4)'!$A:$C,3,FALSE)</f>
        <v>1</v>
      </c>
      <c r="AD32" s="26" t="s">
        <v>1225</v>
      </c>
      <c r="AE32" s="24">
        <v>46023</v>
      </c>
      <c r="AF32" s="26" t="str">
        <f>VLOOKUP($D32,records!$A:$V,13,FALSE)</f>
        <v>PROMENS SA</v>
      </c>
      <c r="AG32" s="26" t="s">
        <v>1226</v>
      </c>
      <c r="AH32" s="29" t="s">
        <v>1227</v>
      </c>
      <c r="AI32" s="26" t="str">
        <f>VLOOKUP($D32,records!$A:$V,14,FALSE)</f>
        <v>.</v>
      </c>
      <c r="AJ32" s="26" t="str">
        <f>VLOOKUP($O32,'records (2)'!$A:$Z,14,FALSE)</f>
        <v>003IV000010su8aYAA</v>
      </c>
      <c r="AK32" s="26" t="str">
        <f>VLOOKUP($O32,'records (2)'!$A:$Z,15,FALSE)</f>
        <v>Alexandra GROSSAT</v>
      </c>
      <c r="AL32" s="26" t="str">
        <f>VLOOKUP($O32,'records (2)'!$A:$Z,10,FALSE)</f>
        <v>003IV000010su8aYAA</v>
      </c>
      <c r="AM32" s="26" t="str">
        <f>VLOOKUP($O32,'records (2)'!$A:$Z,11,FALSE)</f>
        <v>Alexandra GROSSAT</v>
      </c>
      <c r="AN32" s="18">
        <v>1</v>
      </c>
      <c r="AO32" s="4">
        <v>1500</v>
      </c>
      <c r="AP32" s="4">
        <v>1500</v>
      </c>
      <c r="AQ32" s="20">
        <v>0</v>
      </c>
      <c r="AR32" s="6">
        <v>0</v>
      </c>
    </row>
    <row r="33" spans="1:44">
      <c r="A33" s="18" t="s">
        <v>736</v>
      </c>
      <c r="B33" s="18" t="s">
        <v>1157</v>
      </c>
      <c r="C33" s="18" t="s">
        <v>1157</v>
      </c>
      <c r="D33" s="22" t="s">
        <v>471</v>
      </c>
      <c r="E33" s="18" t="s">
        <v>52</v>
      </c>
      <c r="F33" s="18" t="s">
        <v>53</v>
      </c>
      <c r="G33" s="22" t="s">
        <v>1157</v>
      </c>
      <c r="H33" s="19" t="s">
        <v>1216</v>
      </c>
      <c r="I33" s="23" t="s">
        <v>1217</v>
      </c>
      <c r="J33" s="24">
        <v>46023</v>
      </c>
      <c r="K33" s="24">
        <v>46387</v>
      </c>
      <c r="L33" s="24" t="s">
        <v>1218</v>
      </c>
      <c r="M33" s="24" t="s">
        <v>1219</v>
      </c>
      <c r="N33" s="24">
        <v>46023</v>
      </c>
      <c r="O33" s="24" t="str">
        <f>VLOOKUP(D33,records!$A:$U,10,FALSE)</f>
        <v>001SZ000003ZJXVYA4</v>
      </c>
      <c r="P33" s="24" t="s">
        <v>1229</v>
      </c>
      <c r="Q33" s="27">
        <v>75920045400156</v>
      </c>
      <c r="R33" s="24" t="s">
        <v>1220</v>
      </c>
      <c r="S33" s="29" t="s">
        <v>1227</v>
      </c>
      <c r="T33" s="26" t="s">
        <v>1221</v>
      </c>
      <c r="U33" s="26" t="s">
        <v>1222</v>
      </c>
      <c r="V33" s="26" t="s">
        <v>1230</v>
      </c>
      <c r="W33" s="26"/>
      <c r="X33" s="26" t="s">
        <v>1231</v>
      </c>
      <c r="Y33" s="26" t="s">
        <v>1232</v>
      </c>
      <c r="Z33" s="28" t="s">
        <v>1228</v>
      </c>
      <c r="AA33" s="26" t="s">
        <v>1223</v>
      </c>
      <c r="AB33" s="26">
        <f>VLOOKUP(O33,'records (2)'!$A:$Z,8,FALSE)</f>
        <v>30</v>
      </c>
      <c r="AC33" s="26" t="b">
        <f>VLOOKUP(O33,'records (4)'!$A:$C,3,FALSE)</f>
        <v>1</v>
      </c>
      <c r="AD33" s="26" t="s">
        <v>1225</v>
      </c>
      <c r="AE33" s="24">
        <v>46023</v>
      </c>
      <c r="AF33" s="26" t="s">
        <v>1230</v>
      </c>
      <c r="AG33" s="26" t="s">
        <v>1226</v>
      </c>
      <c r="AH33" s="29" t="s">
        <v>1227</v>
      </c>
      <c r="AI33" s="26" t="s">
        <v>1233</v>
      </c>
      <c r="AJ33" s="26" t="s">
        <v>1234</v>
      </c>
      <c r="AK33" s="26" t="s">
        <v>1235</v>
      </c>
      <c r="AL33" s="26" t="s">
        <v>1234</v>
      </c>
      <c r="AM33" s="26" t="s">
        <v>1235</v>
      </c>
      <c r="AN33" s="18">
        <v>1</v>
      </c>
      <c r="AO33" s="4">
        <v>1000</v>
      </c>
      <c r="AP33" s="4">
        <v>1000</v>
      </c>
      <c r="AQ33" s="20">
        <v>0</v>
      </c>
      <c r="AR33" s="6" t="s">
        <v>1158</v>
      </c>
    </row>
    <row r="34" spans="1:44">
      <c r="A34" s="18" t="s">
        <v>529</v>
      </c>
      <c r="B34" s="18" t="s">
        <v>530</v>
      </c>
      <c r="C34" s="18" t="s">
        <v>530</v>
      </c>
      <c r="D34" s="18" t="s">
        <v>531</v>
      </c>
      <c r="E34" s="18" t="s">
        <v>52</v>
      </c>
      <c r="F34" s="18" t="s">
        <v>53</v>
      </c>
      <c r="G34" s="18"/>
      <c r="H34" s="19" t="s">
        <v>1216</v>
      </c>
      <c r="I34" s="23" t="s">
        <v>1217</v>
      </c>
      <c r="J34" s="24">
        <v>46023</v>
      </c>
      <c r="K34" s="24">
        <v>46387</v>
      </c>
      <c r="L34" s="24" t="s">
        <v>1218</v>
      </c>
      <c r="M34" s="24" t="s">
        <v>1219</v>
      </c>
      <c r="N34" s="24">
        <v>46023</v>
      </c>
      <c r="O34" s="24" t="str">
        <f>VLOOKUP(D34,records!$A:$U,10,FALSE)</f>
        <v>0012p00004SxGjuAAF</v>
      </c>
      <c r="P34" s="24" t="str">
        <f>VLOOKUP(D34,records!$A:$V,20,FALSE)</f>
        <v>FR80713780278</v>
      </c>
      <c r="Q34" s="24" t="str">
        <f>VLOOKUP(D34,records!$A:$V,12,FALSE)</f>
        <v>71 378 027 800 030</v>
      </c>
      <c r="R34" s="24" t="s">
        <v>1220</v>
      </c>
      <c r="S34" s="24" t="str">
        <f>VLOOKUP(D34,records!$A:$U,19,FALSE)</f>
        <v>amelie.chesneau@danfoss.com</v>
      </c>
      <c r="T34" s="26" t="s">
        <v>1221</v>
      </c>
      <c r="U34" s="26" t="s">
        <v>1222</v>
      </c>
      <c r="V34" s="26" t="str">
        <f>VLOOKUP($D34,records!$A:$V,3,FALSE)</f>
        <v>DANFOSS COMMERCIAL COMPRESSORS sa</v>
      </c>
      <c r="W34" s="26" t="str">
        <f>IFERROR(VLOOKUP($D34,records!$A:$V,6,FALSE),)</f>
        <v>Comptabilité</v>
      </c>
      <c r="X34" s="26" t="str">
        <f>VLOOKUP($D34,records!$A:$V,9,FALSE)</f>
        <v>ZI de Reyrieux - BP331</v>
      </c>
      <c r="Y34" s="26" t="str">
        <f>VLOOKUP($D34,records!$A:$V,4,FALSE)</f>
        <v>TREVOUX</v>
      </c>
      <c r="Z34" s="26" t="str">
        <f>VLOOKUP($D34,records!$A:$V,7,FALSE)</f>
        <v>1600</v>
      </c>
      <c r="AA34" s="26" t="s">
        <v>1223</v>
      </c>
      <c r="AB34" s="26">
        <f>VLOOKUP(O34,'records (2)'!$A:$Z,8,FALSE)</f>
        <v>45</v>
      </c>
      <c r="AC34" s="26" t="b">
        <f>VLOOKUP(O34,'records (4)'!$A:$C,3,FALSE)</f>
        <v>1</v>
      </c>
      <c r="AD34" s="26" t="s">
        <v>1225</v>
      </c>
      <c r="AE34" s="24">
        <v>46023</v>
      </c>
      <c r="AF34" s="26" t="str">
        <f>VLOOKUP($D34,records!$A:$V,13,FALSE)</f>
        <v>DANFOSS COMMERCIAL COMPRESSORS sa</v>
      </c>
      <c r="AG34" s="26" t="s">
        <v>1226</v>
      </c>
      <c r="AH34" s="26" t="str">
        <f>VLOOKUP($D34,records!$A:$V,19,FALSE)</f>
        <v>amelie.chesneau@danfoss.com</v>
      </c>
      <c r="AI34" s="26" t="s">
        <v>1233</v>
      </c>
      <c r="AJ34" s="26" t="str">
        <f>VLOOKUP($O34,'records (2)'!$A:$Z,14,FALSE)</f>
        <v>003IV000010t7J0YAI</v>
      </c>
      <c r="AK34" s="26" t="str">
        <f>VLOOKUP($O34,'records (2)'!$A:$Z,15,FALSE)</f>
        <v>Sylvie BERTOIN</v>
      </c>
      <c r="AL34" s="26" t="str">
        <f>VLOOKUP($O34,'records (2)'!$A:$Z,10,FALSE)</f>
        <v>003IV000010tIiJYAU</v>
      </c>
      <c r="AM34" s="26" t="str">
        <f>VLOOKUP($O34,'records (2)'!$A:$Z,11,FALSE)</f>
        <v>Corinne ROCHA</v>
      </c>
      <c r="AN34" s="18">
        <v>1</v>
      </c>
      <c r="AO34" s="4">
        <v>2000</v>
      </c>
      <c r="AP34" s="4">
        <v>2000</v>
      </c>
      <c r="AQ34" s="20">
        <v>0</v>
      </c>
      <c r="AR34" s="6">
        <v>0</v>
      </c>
    </row>
    <row r="35" spans="1:44">
      <c r="A35" s="18" t="s">
        <v>169</v>
      </c>
      <c r="B35" s="18" t="s">
        <v>170</v>
      </c>
      <c r="C35" s="18" t="s">
        <v>171</v>
      </c>
      <c r="D35" s="18" t="s">
        <v>172</v>
      </c>
      <c r="E35" s="18" t="s">
        <v>16</v>
      </c>
      <c r="F35" s="18" t="s">
        <v>17</v>
      </c>
      <c r="G35" s="18"/>
      <c r="H35" s="19" t="s">
        <v>1216</v>
      </c>
      <c r="I35" s="23" t="s">
        <v>1217</v>
      </c>
      <c r="J35" s="24">
        <v>46023</v>
      </c>
      <c r="K35" s="24">
        <v>46387</v>
      </c>
      <c r="L35" s="24" t="s">
        <v>1218</v>
      </c>
      <c r="M35" s="24" t="s">
        <v>1219</v>
      </c>
      <c r="N35" s="24">
        <v>46023</v>
      </c>
      <c r="O35" s="24" t="str">
        <f>VLOOKUP(D35,records!$A:$U,10,FALSE)</f>
        <v>001SZ000004b5HnYAI</v>
      </c>
      <c r="P35" s="24" t="str">
        <f>VLOOKUP(D35,records!$A:$V,20,FALSE)</f>
        <v>FR62450982343</v>
      </c>
      <c r="Q35" s="24" t="str">
        <f>VLOOKUP(D35,records!$A:$V,12,FALSE)</f>
        <v>45 098 234 300 011</v>
      </c>
      <c r="R35" s="24" t="s">
        <v>1220</v>
      </c>
      <c r="S35" s="24" t="str">
        <f>VLOOKUP(D35,records!$A:$U,19,FALSE)</f>
        <v>amelie.rousselot@francos.fr</v>
      </c>
      <c r="T35" s="26" t="s">
        <v>1221</v>
      </c>
      <c r="U35" s="26" t="s">
        <v>1222</v>
      </c>
      <c r="V35" s="26" t="str">
        <f>VLOOKUP($D35,records!$A:$V,3,FALSE)</f>
        <v>FRANCOS sasu</v>
      </c>
      <c r="W35" s="26"/>
      <c r="X35" s="26" t="str">
        <f>VLOOKUP($D35,records!$A:$V,9,FALSE)</f>
        <v>1 Rue des Mardeaux</v>
      </c>
      <c r="Y35" s="26" t="str">
        <f>VLOOKUP($D35,records!$A:$V,4,FALSE)</f>
        <v>BLOIS</v>
      </c>
      <c r="Z35" s="26" t="str">
        <f>VLOOKUP($D35,records!$A:$V,7,FALSE)</f>
        <v>41000</v>
      </c>
      <c r="AA35" s="26" t="s">
        <v>1223</v>
      </c>
      <c r="AB35" s="26">
        <f>VLOOKUP(O35,'records (2)'!$A:$Z,8,FALSE)</f>
        <v>30</v>
      </c>
      <c r="AC35" s="26" t="b">
        <v>0</v>
      </c>
      <c r="AD35" s="26"/>
      <c r="AE35" s="26"/>
      <c r="AF35" s="26" t="str">
        <f>VLOOKUP($D35,records!$A:$V,13,FALSE)</f>
        <v>FRANCOS sasu</v>
      </c>
      <c r="AG35" s="26" t="s">
        <v>1226</v>
      </c>
      <c r="AH35" s="26" t="str">
        <f>VLOOKUP($D35,records!$A:$V,19,FALSE)</f>
        <v>amelie.rousselot@francos.fr</v>
      </c>
      <c r="AI35" s="26" t="s">
        <v>1233</v>
      </c>
      <c r="AJ35" s="26" t="str">
        <f>VLOOKUP($O35,'records (2)'!$A:$Z,14,FALSE)</f>
        <v>003IV000010t2BcYAI</v>
      </c>
      <c r="AK35" s="26" t="str">
        <f>VLOOKUP($O35,'records (2)'!$A:$Z,15,FALSE)</f>
        <v>Amelie ROUSSELOT</v>
      </c>
      <c r="AL35" s="26" t="str">
        <f>VLOOKUP($O35,'records (2)'!$A:$Z,10,FALSE)</f>
        <v>003IV000010t2BcYAI</v>
      </c>
      <c r="AM35" s="26" t="str">
        <f>VLOOKUP($O35,'records (2)'!$A:$Z,11,FALSE)</f>
        <v>Amelie ROUSSELOT</v>
      </c>
      <c r="AN35" s="18">
        <v>1</v>
      </c>
      <c r="AO35" s="4">
        <v>1000</v>
      </c>
      <c r="AP35" s="4">
        <v>1000</v>
      </c>
      <c r="AQ35" s="20">
        <v>0</v>
      </c>
      <c r="AR35" s="6">
        <v>0</v>
      </c>
    </row>
    <row r="36" spans="1:44">
      <c r="A36" s="18" t="s">
        <v>949</v>
      </c>
      <c r="B36" s="18" t="s">
        <v>950</v>
      </c>
      <c r="C36" s="18" t="s">
        <v>950</v>
      </c>
      <c r="D36" s="18" t="s">
        <v>951</v>
      </c>
      <c r="E36" s="18" t="s">
        <v>52</v>
      </c>
      <c r="F36" s="18" t="s">
        <v>53</v>
      </c>
      <c r="G36" s="18"/>
      <c r="H36" s="19" t="s">
        <v>1216</v>
      </c>
      <c r="I36" s="23" t="s">
        <v>1217</v>
      </c>
      <c r="J36" s="24">
        <v>46023</v>
      </c>
      <c r="K36" s="24">
        <v>46387</v>
      </c>
      <c r="L36" s="24" t="s">
        <v>1218</v>
      </c>
      <c r="M36" s="24" t="s">
        <v>1219</v>
      </c>
      <c r="N36" s="24">
        <v>46023</v>
      </c>
      <c r="O36" s="24" t="str">
        <f>VLOOKUP(D36,records!$A:$U,10,FALSE)</f>
        <v>001SZ000001pKNXYA2</v>
      </c>
      <c r="P36" s="24" t="str">
        <f>VLOOKUP(D36,records!$A:$V,20,FALSE)</f>
        <v>FR12535520316</v>
      </c>
      <c r="Q36" s="24" t="str">
        <f>VLOOKUP(D36,records!$A:$V,12,FALSE)</f>
        <v>53 552 031 600 014</v>
      </c>
      <c r="R36" s="24" t="s">
        <v>1220</v>
      </c>
      <c r="S36" s="24" t="str">
        <f>VLOOKUP(D36,records!$A:$U,19,FALSE)</f>
        <v>andrea.cametti@voestalpine.com</v>
      </c>
      <c r="T36" s="26" t="s">
        <v>1221</v>
      </c>
      <c r="U36" s="26" t="s">
        <v>1222</v>
      </c>
      <c r="V36" s="26" t="str">
        <f>VLOOKUP($D36,records!$A:$V,3,FALSE)</f>
        <v>VOESTALPINE AUTOMOTIVE COMPONENTS FONTAINE sa</v>
      </c>
      <c r="W36" s="26"/>
      <c r="X36" s="26" t="str">
        <f>VLOOKUP($D36,records!$A:$V,9,FALSE)</f>
        <v>Zac de l'Aéroparc</v>
      </c>
      <c r="Y36" s="26" t="str">
        <f>VLOOKUP($D36,records!$A:$V,4,FALSE)</f>
        <v>FONTAINE</v>
      </c>
      <c r="Z36" s="26" t="str">
        <f>VLOOKUP($D36,records!$A:$V,7,FALSE)</f>
        <v>90150</v>
      </c>
      <c r="AA36" s="26" t="s">
        <v>1223</v>
      </c>
      <c r="AB36" s="26">
        <f>VLOOKUP(O36,'records (2)'!$A:$Z,8,FALSE)</f>
        <v>30</v>
      </c>
      <c r="AC36" s="26" t="b">
        <v>0</v>
      </c>
      <c r="AD36" s="26"/>
      <c r="AE36" s="26"/>
      <c r="AF36" s="26" t="str">
        <f>VLOOKUP($D36,records!$A:$V,13,FALSE)</f>
        <v>VOESTALPINE AUTOMOTIVE COMPONENTS FONTAINE sa</v>
      </c>
      <c r="AG36" s="26" t="s">
        <v>1226</v>
      </c>
      <c r="AH36" s="26" t="str">
        <f>VLOOKUP($D36,records!$A:$V,19,FALSE)</f>
        <v>andrea.cametti@voestalpine.com</v>
      </c>
      <c r="AI36" s="26" t="s">
        <v>1233</v>
      </c>
      <c r="AJ36" s="26" t="str">
        <f>VLOOKUP($O36,'records (2)'!$A:$Z,14,FALSE)</f>
        <v>003IV000010su9YYAQ</v>
      </c>
      <c r="AK36" s="26" t="str">
        <f>VLOOKUP($O36,'records (2)'!$A:$Z,15,FALSE)</f>
        <v>Christine BONTEMPS</v>
      </c>
      <c r="AL36" s="26" t="str">
        <f>VLOOKUP($O36,'records (2)'!$A:$Z,10,FALSE)</f>
        <v>003IV000010su9YYAQ</v>
      </c>
      <c r="AM36" s="26" t="str">
        <f>VLOOKUP($O36,'records (2)'!$A:$Z,11,FALSE)</f>
        <v>Christine BONTEMPS</v>
      </c>
      <c r="AN36" s="18">
        <v>1</v>
      </c>
      <c r="AO36" s="4">
        <v>500</v>
      </c>
      <c r="AP36" s="4">
        <v>500</v>
      </c>
      <c r="AQ36" s="20">
        <v>0</v>
      </c>
      <c r="AR36" s="6">
        <v>0</v>
      </c>
    </row>
    <row r="37" spans="1:44">
      <c r="A37" s="18" t="s">
        <v>254</v>
      </c>
      <c r="B37" s="18" t="s">
        <v>255</v>
      </c>
      <c r="C37" s="18" t="s">
        <v>256</v>
      </c>
      <c r="D37" s="18" t="s">
        <v>257</v>
      </c>
      <c r="E37" s="18" t="s">
        <v>16</v>
      </c>
      <c r="F37" s="18" t="s">
        <v>17</v>
      </c>
      <c r="G37" s="18"/>
      <c r="H37" s="19" t="s">
        <v>1216</v>
      </c>
      <c r="I37" s="23" t="s">
        <v>1217</v>
      </c>
      <c r="J37" s="24">
        <v>46023</v>
      </c>
      <c r="K37" s="24">
        <v>46387</v>
      </c>
      <c r="L37" s="24" t="s">
        <v>1218</v>
      </c>
      <c r="M37" s="24" t="s">
        <v>1219</v>
      </c>
      <c r="N37" s="24">
        <v>46023</v>
      </c>
      <c r="O37" s="24" t="str">
        <f>VLOOKUP(D37,records!$A:$U,10,FALSE)</f>
        <v>001SZ000003YcdpYAC</v>
      </c>
      <c r="P37" s="24" t="str">
        <f>VLOOKUP(D37,records!$A:$V,20,FALSE)</f>
        <v>FR93542091996</v>
      </c>
      <c r="Q37" s="24" t="str">
        <f>VLOOKUP(D37,records!$A:$V,12,FALSE)</f>
        <v>54 209 199 600 026</v>
      </c>
      <c r="R37" s="24" t="s">
        <v>1220</v>
      </c>
      <c r="S37" s="24" t="str">
        <f>VLOOKUP(D37,records!$A:$U,19,FALSE)</f>
        <v>ap.biospringer@lesaffre.com</v>
      </c>
      <c r="T37" s="26" t="s">
        <v>1221</v>
      </c>
      <c r="U37" s="26" t="s">
        <v>1222</v>
      </c>
      <c r="V37" s="26" t="str">
        <f>VLOOKUP($D37,records!$A:$V,3,FALSE)</f>
        <v>BIO SPRINGER sa</v>
      </c>
      <c r="W37" s="26" t="str">
        <f>IFERROR(VLOOKUP($D37,records!$A:$V,6,FALSE),)</f>
        <v>Ressources Humaines</v>
      </c>
      <c r="X37" s="26" t="str">
        <f>VLOOKUP($D37,records!$A:$V,9,FALSE)</f>
        <v>103 Rue Jean Jaurès</v>
      </c>
      <c r="Y37" s="26" t="str">
        <f>VLOOKUP($D37,records!$A:$V,4,FALSE)</f>
        <v>MAISONS-ALFORT</v>
      </c>
      <c r="Z37" s="26" t="str">
        <f>VLOOKUP($D37,records!$A:$V,7,FALSE)</f>
        <v>94700</v>
      </c>
      <c r="AA37" s="26" t="s">
        <v>1223</v>
      </c>
      <c r="AB37" s="26">
        <f>VLOOKUP(O37,'records (2)'!$A:$Z,8,FALSE)</f>
        <v>60</v>
      </c>
      <c r="AC37" s="26" t="b">
        <f>VLOOKUP(O37,'records (4)'!$A:$C,3,FALSE)</f>
        <v>1</v>
      </c>
      <c r="AD37" s="26" t="s">
        <v>1225</v>
      </c>
      <c r="AE37" s="24">
        <v>46023</v>
      </c>
      <c r="AF37" s="26" t="str">
        <f>VLOOKUP($D37,records!$A:$V,13,FALSE)</f>
        <v>BIO SPRINGER sa</v>
      </c>
      <c r="AG37" s="26" t="s">
        <v>1226</v>
      </c>
      <c r="AH37" s="26" t="str">
        <f>VLOOKUP($D37,records!$A:$V,19,FALSE)</f>
        <v>ap.biospringer@lesaffre.com</v>
      </c>
      <c r="AI37" s="26" t="s">
        <v>1233</v>
      </c>
      <c r="AJ37" s="26" t="str">
        <f>VLOOKUP($O37,'records (2)'!$A:$Z,14,FALSE)</f>
        <v>003IV000010tSnLYAU</v>
      </c>
      <c r="AK37" s="26" t="str">
        <f>VLOOKUP($O37,'records (2)'!$A:$Z,15,FALSE)</f>
        <v>Morgane PEREZ</v>
      </c>
      <c r="AL37" s="26" t="str">
        <f>VLOOKUP($O37,'records (2)'!$A:$Z,10,FALSE)</f>
        <v>003IV000010sqM3YAI</v>
      </c>
      <c r="AM37" s="26" t="str">
        <f>VLOOKUP($O37,'records (2)'!$A:$Z,11,FALSE)</f>
        <v>Contact Recouvrement LESAFFRE - BIO SPRINGER</v>
      </c>
      <c r="AN37" s="18">
        <v>1</v>
      </c>
      <c r="AO37" s="4">
        <v>2000</v>
      </c>
      <c r="AP37" s="4">
        <v>2000</v>
      </c>
      <c r="AQ37" s="20">
        <v>0</v>
      </c>
      <c r="AR37" s="6">
        <v>0</v>
      </c>
    </row>
    <row r="38" spans="1:44">
      <c r="A38" s="18" t="s">
        <v>786</v>
      </c>
      <c r="B38" s="18" t="s">
        <v>787</v>
      </c>
      <c r="C38" s="18" t="s">
        <v>788</v>
      </c>
      <c r="D38" s="18" t="s">
        <v>789</v>
      </c>
      <c r="E38" s="18" t="s">
        <v>52</v>
      </c>
      <c r="F38" s="18" t="s">
        <v>53</v>
      </c>
      <c r="G38" s="18"/>
      <c r="H38" s="19" t="s">
        <v>1216</v>
      </c>
      <c r="I38" s="23" t="s">
        <v>1217</v>
      </c>
      <c r="J38" s="24">
        <v>46023</v>
      </c>
      <c r="K38" s="24">
        <v>46387</v>
      </c>
      <c r="L38" s="24" t="s">
        <v>1218</v>
      </c>
      <c r="M38" s="24" t="s">
        <v>1219</v>
      </c>
      <c r="N38" s="24">
        <v>46023</v>
      </c>
      <c r="O38" s="24" t="str">
        <f>VLOOKUP(D38,records!$A:$U,10,FALSE)</f>
        <v>001SZ00000BFAySYAX</v>
      </c>
      <c r="P38" s="24" t="str">
        <f>VLOOKUP(D38,records!$A:$V,20,FALSE)</f>
        <v>FR81388056962</v>
      </c>
      <c r="Q38" s="24" t="str">
        <f>VLOOKUP(D38,records!$A:$V,12,FALSE)</f>
        <v>38 805 696 200 029</v>
      </c>
      <c r="R38" s="24" t="s">
        <v>1220</v>
      </c>
      <c r="S38" s="24" t="str">
        <f>VLOOKUP(D38,records!$A:$U,19,FALSE)</f>
        <v>ap.invoicesnemeralaverpilliere@nemera.net</v>
      </c>
      <c r="T38" s="26" t="s">
        <v>1221</v>
      </c>
      <c r="U38" s="26" t="s">
        <v>1222</v>
      </c>
      <c r="V38" s="26" t="str">
        <f>VLOOKUP($D38,records!$A:$V,3,FALSE)</f>
        <v>NEMERA LA VERPILIERE sas</v>
      </c>
      <c r="W38" s="26"/>
      <c r="X38" s="26" t="str">
        <f>VLOOKUP($D38,records!$A:$V,9,FALSE)</f>
        <v>20 Avenue de la Gare</v>
      </c>
      <c r="Y38" s="26" t="str">
        <f>VLOOKUP($D38,records!$A:$V,4,FALSE)</f>
        <v>LA VERPILLIERE</v>
      </c>
      <c r="Z38" s="26" t="str">
        <f>VLOOKUP($D38,records!$A:$V,7,FALSE)</f>
        <v>38290</v>
      </c>
      <c r="AA38" s="26" t="s">
        <v>1223</v>
      </c>
      <c r="AB38" s="26">
        <f>VLOOKUP(O38,'records (2)'!$A:$Z,8,FALSE)</f>
        <v>30</v>
      </c>
      <c r="AC38" s="26" t="b">
        <f>VLOOKUP(O38,'records (4)'!$A:$C,3,FALSE)</f>
        <v>1</v>
      </c>
      <c r="AD38" s="26" t="s">
        <v>1225</v>
      </c>
      <c r="AE38" s="24">
        <v>46023</v>
      </c>
      <c r="AF38" s="26" t="str">
        <f>VLOOKUP($D38,records!$A:$V,13,FALSE)</f>
        <v>NEMERA LA VERPILIERE sas</v>
      </c>
      <c r="AG38" s="26" t="s">
        <v>1226</v>
      </c>
      <c r="AH38" s="26" t="str">
        <f>VLOOKUP($D38,records!$A:$V,19,FALSE)</f>
        <v>ap.invoicesnemeralaverpilliere@nemera.net</v>
      </c>
      <c r="AI38" s="26" t="s">
        <v>1233</v>
      </c>
      <c r="AJ38" s="26" t="str">
        <f>VLOOKUP($O38,'records (2)'!$A:$Z,14,FALSE)</f>
        <v>003IV000010su9XYAQ</v>
      </c>
      <c r="AK38" s="26" t="str">
        <f>VLOOKUP($O38,'records (2)'!$A:$Z,15,FALSE)</f>
        <v>Laurence DALLEMAGNE</v>
      </c>
      <c r="AL38" s="26" t="str">
        <f>VLOOKUP($O38,'records (2)'!$A:$Z,10,FALSE)</f>
        <v>003IV000010su9XYAQ</v>
      </c>
      <c r="AM38" s="26" t="str">
        <f>VLOOKUP($O38,'records (2)'!$A:$Z,11,FALSE)</f>
        <v>Laurence DALLEMAGNE</v>
      </c>
      <c r="AN38" s="18">
        <v>1</v>
      </c>
      <c r="AO38" s="4">
        <v>2000</v>
      </c>
      <c r="AP38" s="4">
        <v>2000</v>
      </c>
      <c r="AQ38" s="20">
        <v>0</v>
      </c>
      <c r="AR38" s="6">
        <v>0</v>
      </c>
    </row>
    <row r="39" spans="1:44">
      <c r="A39" s="18" t="s">
        <v>725</v>
      </c>
      <c r="B39" s="18" t="s">
        <v>726</v>
      </c>
      <c r="C39" s="18" t="s">
        <v>726</v>
      </c>
      <c r="D39" s="18" t="s">
        <v>727</v>
      </c>
      <c r="E39" s="18" t="s">
        <v>52</v>
      </c>
      <c r="F39" s="18" t="s">
        <v>53</v>
      </c>
      <c r="G39" s="18"/>
      <c r="H39" s="19" t="s">
        <v>1216</v>
      </c>
      <c r="I39" s="23" t="s">
        <v>1217</v>
      </c>
      <c r="J39" s="24">
        <v>46023</v>
      </c>
      <c r="K39" s="24">
        <v>46387</v>
      </c>
      <c r="L39" s="24" t="s">
        <v>1218</v>
      </c>
      <c r="M39" s="24" t="s">
        <v>1219</v>
      </c>
      <c r="N39" s="24">
        <v>46023</v>
      </c>
      <c r="O39" s="24" t="str">
        <f>VLOOKUP(D39,records!$A:$U,10,FALSE)</f>
        <v>0012p00004UIt7LAAT</v>
      </c>
      <c r="P39" s="24" t="str">
        <f>VLOOKUP(D39,records!$A:$V,20,FALSE)</f>
        <v>FR20569801897</v>
      </c>
      <c r="Q39" s="24" t="str">
        <f>VLOOKUP(D39,records!$A:$V,12,FALSE)</f>
        <v>56 980 189 700 632</v>
      </c>
      <c r="R39" s="24" t="s">
        <v>1220</v>
      </c>
      <c r="S39" s="24" t="str">
        <f>VLOOKUP(D39,records!$A:$U,19,FALSE)</f>
        <v>ap_invoices_fr@ksb.com</v>
      </c>
      <c r="T39" s="26" t="s">
        <v>1221</v>
      </c>
      <c r="U39" s="26" t="s">
        <v>1222</v>
      </c>
      <c r="V39" s="26" t="str">
        <f>VLOOKUP($D39,records!$A:$V,3,FALSE)</f>
        <v>KSB SAS</v>
      </c>
      <c r="W39" s="26" t="str">
        <f>IFERROR(VLOOKUP($D39,records!$A:$V,6,FALSE),)</f>
        <v>Comptabilité fournisseurs</v>
      </c>
      <c r="X39" s="26" t="str">
        <f>VLOOKUP($D39,records!$A:$V,9,FALSE)</f>
        <v>4 Allée des Barbanniers</v>
      </c>
      <c r="Y39" s="26" t="str">
        <f>VLOOKUP($D39,records!$A:$V,4,FALSE)</f>
        <v>GENNEVILLIERS</v>
      </c>
      <c r="Z39" s="26" t="str">
        <f>VLOOKUP($D39,records!$A:$V,7,FALSE)</f>
        <v>92230</v>
      </c>
      <c r="AA39" s="26" t="s">
        <v>1223</v>
      </c>
      <c r="AB39" s="26">
        <f>VLOOKUP(O39,'records (2)'!$A:$Z,8,FALSE)</f>
        <v>30</v>
      </c>
      <c r="AC39" s="26" t="b">
        <v>0</v>
      </c>
      <c r="AD39" s="26"/>
      <c r="AE39" s="26"/>
      <c r="AF39" s="26" t="str">
        <f>VLOOKUP($D39,records!$A:$V,13,FALSE)</f>
        <v>KSB SAS</v>
      </c>
      <c r="AG39" s="26" t="s">
        <v>1226</v>
      </c>
      <c r="AH39" s="26" t="str">
        <f>VLOOKUP($D39,records!$A:$V,19,FALSE)</f>
        <v>ap_invoices_fr@ksb.com</v>
      </c>
      <c r="AI39" s="26" t="s">
        <v>1233</v>
      </c>
      <c r="AJ39" s="26" t="str">
        <f>VLOOKUP($O39,'records (2)'!$A:$Z,14,FALSE)</f>
        <v>003IV000010su8fYAA</v>
      </c>
      <c r="AK39" s="26" t="str">
        <f>VLOOKUP($O39,'records (2)'!$A:$Z,15,FALSE)</f>
        <v>Hervé DECROOS</v>
      </c>
      <c r="AL39" s="26" t="str">
        <f>VLOOKUP($O39,'records (2)'!$A:$Z,10,FALSE)</f>
        <v>003IV000010su8gYAA</v>
      </c>
      <c r="AM39" s="26" t="str">
        <f>VLOOKUP($O39,'records (2)'!$A:$Z,11,FALSE)</f>
        <v>Valérie RAYNAUD</v>
      </c>
      <c r="AN39" s="18">
        <v>1</v>
      </c>
      <c r="AO39" s="4">
        <v>500</v>
      </c>
      <c r="AP39" s="4">
        <v>500</v>
      </c>
      <c r="AQ39" s="20">
        <v>0</v>
      </c>
      <c r="AR39" s="6">
        <v>0</v>
      </c>
    </row>
    <row r="40" spans="1:44">
      <c r="A40" s="18" t="s">
        <v>218</v>
      </c>
      <c r="B40" s="18" t="s">
        <v>219</v>
      </c>
      <c r="C40" s="18" t="s">
        <v>220</v>
      </c>
      <c r="D40" s="18" t="s">
        <v>221</v>
      </c>
      <c r="E40" s="18" t="s">
        <v>16</v>
      </c>
      <c r="F40" s="18" t="s">
        <v>17</v>
      </c>
      <c r="G40" s="18"/>
      <c r="H40" s="19" t="s">
        <v>1216</v>
      </c>
      <c r="I40" s="23" t="s">
        <v>1217</v>
      </c>
      <c r="J40" s="24">
        <v>46023</v>
      </c>
      <c r="K40" s="24">
        <v>46387</v>
      </c>
      <c r="L40" s="24" t="s">
        <v>1218</v>
      </c>
      <c r="M40" s="24" t="s">
        <v>1219</v>
      </c>
      <c r="N40" s="24">
        <v>46023</v>
      </c>
      <c r="O40" s="24" t="str">
        <f>VLOOKUP(D40,records!$A:$U,10,FALSE)</f>
        <v>001SZ0000059VWTYA2</v>
      </c>
      <c r="P40" s="24" t="str">
        <f>VLOOKUP(D40,records!$A:$V,20,FALSE)</f>
        <v>FR19348418732</v>
      </c>
      <c r="Q40" s="24" t="str">
        <f>VLOOKUP(D40,records!$A:$V,12,FALSE)</f>
        <v>34 841 873 200 049</v>
      </c>
      <c r="R40" s="24" t="s">
        <v>1220</v>
      </c>
      <c r="S40" s="24" t="str">
        <f>VLOOKUP(D40,records!$A:$U,19,FALSE)</f>
        <v>ap3110ivcfranceoperations@invacare.com</v>
      </c>
      <c r="T40" s="26" t="s">
        <v>1221</v>
      </c>
      <c r="U40" s="26" t="s">
        <v>1222</v>
      </c>
      <c r="V40" s="26" t="str">
        <f>VLOOKUP($D40,records!$A:$V,3,FALSE)</f>
        <v>INVACARE FRANCE OPERATIONS SAS</v>
      </c>
      <c r="W40" s="26"/>
      <c r="X40" s="26" t="str">
        <f>VLOOKUP($D40,records!$A:$V,9,FALSE)</f>
        <v>Route de Saint- Roch</v>
      </c>
      <c r="Y40" s="26" t="str">
        <f>VLOOKUP($D40,records!$A:$V,4,FALSE)</f>
        <v>FONDETTES</v>
      </c>
      <c r="Z40" s="26" t="str">
        <f>VLOOKUP($D40,records!$A:$V,7,FALSE)</f>
        <v>37230</v>
      </c>
      <c r="AA40" s="26" t="s">
        <v>1223</v>
      </c>
      <c r="AB40" s="26">
        <f>VLOOKUP(O40,'records (2)'!$A:$Z,8,FALSE)</f>
        <v>30</v>
      </c>
      <c r="AC40" s="26" t="b">
        <v>0</v>
      </c>
      <c r="AD40" s="26"/>
      <c r="AE40" s="26"/>
      <c r="AF40" s="26" t="str">
        <f>VLOOKUP($D40,records!$A:$V,13,FALSE)</f>
        <v>INVACARE FRANCE OPERATIONS SAS</v>
      </c>
      <c r="AG40" s="26" t="s">
        <v>1226</v>
      </c>
      <c r="AH40" s="26" t="str">
        <f>VLOOKUP($D40,records!$A:$V,19,FALSE)</f>
        <v>ap3110ivcfranceoperations@invacare.com</v>
      </c>
      <c r="AI40" s="26" t="s">
        <v>1233</v>
      </c>
      <c r="AJ40" s="26" t="str">
        <f>VLOOKUP($O40,'records (2)'!$A:$Z,14,FALSE)</f>
        <v>003IV000010su8kYAA</v>
      </c>
      <c r="AK40" s="26" t="str">
        <f>VLOOKUP($O40,'records (2)'!$A:$Z,15,FALSE)</f>
        <v>Stéphane CHEBROUX (ap3110ivcfr)</v>
      </c>
      <c r="AL40" s="26" t="str">
        <f>VLOOKUP($O40,'records (2)'!$A:$Z,10,FALSE)</f>
        <v>003IV000010su8kYAA</v>
      </c>
      <c r="AM40" s="26" t="str">
        <f>VLOOKUP($O40,'records (2)'!$A:$Z,11,FALSE)</f>
        <v>Stéphane CHEBROUX (ap3110ivcfr)</v>
      </c>
      <c r="AN40" s="18">
        <v>1</v>
      </c>
      <c r="AO40" s="4">
        <v>3000</v>
      </c>
      <c r="AP40" s="4">
        <v>3000</v>
      </c>
      <c r="AQ40" s="20">
        <v>0</v>
      </c>
      <c r="AR40" s="6">
        <v>0</v>
      </c>
    </row>
    <row r="41" spans="1:44">
      <c r="A41" s="18" t="s">
        <v>1153</v>
      </c>
      <c r="B41" s="18" t="s">
        <v>1154</v>
      </c>
      <c r="C41" s="18" t="s">
        <v>1155</v>
      </c>
      <c r="D41" s="18" t="s">
        <v>1156</v>
      </c>
      <c r="E41" s="18" t="s">
        <v>16</v>
      </c>
      <c r="F41" s="18" t="s">
        <v>17</v>
      </c>
      <c r="G41" s="18"/>
      <c r="H41" s="19" t="s">
        <v>1216</v>
      </c>
      <c r="I41" s="23" t="s">
        <v>1217</v>
      </c>
      <c r="J41" s="24">
        <v>46023</v>
      </c>
      <c r="K41" s="24">
        <v>46387</v>
      </c>
      <c r="L41" s="24" t="s">
        <v>1218</v>
      </c>
      <c r="M41" s="24" t="s">
        <v>1219</v>
      </c>
      <c r="N41" s="24">
        <v>46023</v>
      </c>
      <c r="O41" s="24" t="str">
        <f>VLOOKUP(D41,records!$A:$U,10,FALSE)</f>
        <v>001SZ00000YI0h9YAD</v>
      </c>
      <c r="P41" s="24" t="str">
        <f>VLOOKUP(D41,records!$A:$V,20,FALSE)</f>
        <v>FR27930267059</v>
      </c>
      <c r="Q41" s="24" t="str">
        <f>VLOOKUP(D41,records!$A:$V,12,FALSE)</f>
        <v>93 026 705 900 028</v>
      </c>
      <c r="R41" s="24" t="s">
        <v>1220</v>
      </c>
      <c r="S41" s="24" t="str">
        <f>VLOOKUP(D41,records!$A:$U,19,FALSE)</f>
        <v>apchemvironparentis.ccc@kuraray.com</v>
      </c>
      <c r="T41" s="26" t="s">
        <v>1221</v>
      </c>
      <c r="U41" s="26" t="s">
        <v>1222</v>
      </c>
      <c r="V41" s="26" t="str">
        <f>VLOOKUP($D41,records!$A:$V,3,FALSE)</f>
        <v>CHEMVRION PARENTIS SAS</v>
      </c>
      <c r="W41" s="26"/>
      <c r="X41" s="26" t="str">
        <f>VLOOKUP($D41,records!$A:$V,9,FALSE)</f>
        <v>58 Avenue de Wagram</v>
      </c>
      <c r="Y41" s="26" t="str">
        <f>VLOOKUP($D41,records!$A:$V,4,FALSE)</f>
        <v>PARIS</v>
      </c>
      <c r="Z41" s="26" t="str">
        <f>VLOOKUP($D41,records!$A:$V,7,FALSE)</f>
        <v>75017</v>
      </c>
      <c r="AA41" s="26" t="s">
        <v>1223</v>
      </c>
      <c r="AB41" s="26">
        <f>VLOOKUP(O41,'records (2)'!$A:$Z,8,FALSE)</f>
        <v>30</v>
      </c>
      <c r="AC41" s="26" t="b">
        <f>VLOOKUP(O41,'records (4)'!$A:$C,3,FALSE)</f>
        <v>1</v>
      </c>
      <c r="AD41" s="26" t="s">
        <v>1225</v>
      </c>
      <c r="AE41" s="24">
        <v>46023</v>
      </c>
      <c r="AF41" s="26" t="str">
        <f>VLOOKUP($D41,records!$A:$V,13,FALSE)</f>
        <v>CHEMVRION PARENTIS SAS</v>
      </c>
      <c r="AG41" s="26" t="s">
        <v>1226</v>
      </c>
      <c r="AH41" s="26" t="str">
        <f>VLOOKUP($D41,records!$A:$V,19,FALSE)</f>
        <v>apchemvironparentis.ccc@kuraray.com</v>
      </c>
      <c r="AI41" s="26" t="s">
        <v>1233</v>
      </c>
      <c r="AJ41" s="26" t="str">
        <f>VLOOKUP($O41,'records (2)'!$A:$Z,14,FALSE)</f>
        <v>003IV000010t9wwYAA</v>
      </c>
      <c r="AK41" s="26" t="str">
        <f>VLOOKUP($O41,'records (2)'!$A:$Z,15,FALSE)</f>
        <v>Catherine BOGEMANS</v>
      </c>
      <c r="AL41" s="26" t="str">
        <f>VLOOKUP($O41,'records (2)'!$A:$Z,10,FALSE)</f>
        <v>003IV000010t9wwYAA</v>
      </c>
      <c r="AM41" s="26" t="str">
        <f>VLOOKUP($O41,'records (2)'!$A:$Z,11,FALSE)</f>
        <v>Catherine BOGEMANS</v>
      </c>
      <c r="AN41" s="18">
        <v>1</v>
      </c>
      <c r="AO41" s="4">
        <v>1000</v>
      </c>
      <c r="AP41" s="4">
        <v>1000</v>
      </c>
      <c r="AQ41" s="20"/>
      <c r="AR41" s="6"/>
    </row>
    <row r="42" spans="1:44">
      <c r="A42" s="18" t="s">
        <v>1037</v>
      </c>
      <c r="B42" s="18" t="s">
        <v>1038</v>
      </c>
      <c r="C42" s="18" t="s">
        <v>1038</v>
      </c>
      <c r="D42" s="18" t="s">
        <v>1039</v>
      </c>
      <c r="E42" s="18" t="s">
        <v>16</v>
      </c>
      <c r="F42" s="18" t="s">
        <v>17</v>
      </c>
      <c r="G42" s="18"/>
      <c r="H42" s="19" t="s">
        <v>1216</v>
      </c>
      <c r="I42" s="23" t="s">
        <v>1217</v>
      </c>
      <c r="J42" s="24">
        <v>46023</v>
      </c>
      <c r="K42" s="24">
        <v>46387</v>
      </c>
      <c r="L42" s="24" t="s">
        <v>1218</v>
      </c>
      <c r="M42" s="24" t="s">
        <v>1219</v>
      </c>
      <c r="N42" s="24">
        <v>46023</v>
      </c>
      <c r="O42" s="24" t="str">
        <f>VLOOKUP(D42,records!$A:$U,10,FALSE)</f>
        <v>001SZ00000Lspr7YAB</v>
      </c>
      <c r="P42" s="24" t="str">
        <f>VLOOKUP(D42,records!$A:$V,20,FALSE)</f>
        <v>FR78448139634</v>
      </c>
      <c r="Q42" s="24" t="str">
        <f>VLOOKUP(D42,records!$A:$V,12,FALSE)</f>
        <v>44 813 963 400 019</v>
      </c>
      <c r="R42" s="24" t="s">
        <v>1220</v>
      </c>
      <c r="S42" s="24" t="str">
        <f>VLOOKUP(D42,records!$A:$U,19,FALSE)</f>
        <v>apinvoicesdunkerque@astrazeneca.com</v>
      </c>
      <c r="T42" s="26" t="s">
        <v>1221</v>
      </c>
      <c r="U42" s="26" t="s">
        <v>1222</v>
      </c>
      <c r="V42" s="26" t="str">
        <f>VLOOKUP($D42,records!$A:$V,3,FALSE)</f>
        <v>ASTRA ZENECA DUNKERQUE PRODUCTION scs</v>
      </c>
      <c r="W42" s="26"/>
      <c r="X42" s="26" t="str">
        <f>VLOOKUP($D42,records!$A:$V,9,FALSE)</f>
        <v>224 Avenue de la Dordogne</v>
      </c>
      <c r="Y42" s="26" t="str">
        <f>VLOOKUP($D42,records!$A:$V,4,FALSE)</f>
        <v>DUNKERQUE</v>
      </c>
      <c r="Z42" s="26" t="str">
        <f>VLOOKUP($D42,records!$A:$V,7,FALSE)</f>
        <v>59640</v>
      </c>
      <c r="AA42" s="26" t="s">
        <v>1223</v>
      </c>
      <c r="AB42" s="26">
        <f>VLOOKUP(O42,'records (2)'!$A:$Z,8,FALSE)</f>
        <v>60</v>
      </c>
      <c r="AC42" s="26" t="b">
        <f>VLOOKUP(O42,'records (4)'!$A:$C,3,FALSE)</f>
        <v>1</v>
      </c>
      <c r="AD42" s="26" t="s">
        <v>1225</v>
      </c>
      <c r="AE42" s="24">
        <v>46023</v>
      </c>
      <c r="AF42" s="26" t="str">
        <f>VLOOKUP($D42,records!$A:$V,13,FALSE)</f>
        <v>ASTRA ZENECA DUNKERQUE PRODUCTION scs</v>
      </c>
      <c r="AG42" s="26" t="s">
        <v>1226</v>
      </c>
      <c r="AH42" s="26" t="str">
        <f>VLOOKUP($D42,records!$A:$V,19,FALSE)</f>
        <v>apinvoicesdunkerque@astrazeneca.com</v>
      </c>
      <c r="AI42" s="26" t="s">
        <v>1233</v>
      </c>
      <c r="AJ42" s="26" t="str">
        <f>VLOOKUP($O42,'records (2)'!$A:$Z,14,FALSE)</f>
        <v>003IV000010tJa7YAE</v>
      </c>
      <c r="AK42" s="26" t="str">
        <f>VLOOKUP($O42,'records (2)'!$A:$Z,15,FALSE)</f>
        <v>Compta-Facturation ASTRAZENECA</v>
      </c>
      <c r="AL42" s="26" t="str">
        <f>VLOOKUP($O42,'records (2)'!$A:$Z,10,FALSE)</f>
        <v>003IV000010tJa7YAE</v>
      </c>
      <c r="AM42" s="26" t="str">
        <f>VLOOKUP($O42,'records (2)'!$A:$Z,11,FALSE)</f>
        <v>Compta-Facturation ASTRAZENECA</v>
      </c>
      <c r="AN42" s="18">
        <v>1</v>
      </c>
      <c r="AO42" s="4">
        <v>7000</v>
      </c>
      <c r="AP42" s="4">
        <v>7000</v>
      </c>
      <c r="AQ42" s="20">
        <v>0</v>
      </c>
      <c r="AR42" s="6">
        <v>0</v>
      </c>
    </row>
    <row r="43" spans="1:44">
      <c r="A43" s="18" t="s">
        <v>81</v>
      </c>
      <c r="B43" s="18" t="s">
        <v>82</v>
      </c>
      <c r="C43" s="18" t="s">
        <v>83</v>
      </c>
      <c r="D43" s="18" t="s">
        <v>84</v>
      </c>
      <c r="E43" s="18" t="s">
        <v>23</v>
      </c>
      <c r="F43" s="18" t="s">
        <v>24</v>
      </c>
      <c r="G43" s="18"/>
      <c r="H43" s="19" t="s">
        <v>1216</v>
      </c>
      <c r="I43" s="23" t="s">
        <v>1217</v>
      </c>
      <c r="J43" s="24">
        <v>46023</v>
      </c>
      <c r="K43" s="24">
        <v>46387</v>
      </c>
      <c r="L43" s="24" t="s">
        <v>1218</v>
      </c>
      <c r="M43" s="24" t="s">
        <v>1219</v>
      </c>
      <c r="N43" s="24">
        <v>46023</v>
      </c>
      <c r="O43" s="24" t="str">
        <f>VLOOKUP(D43,records!$A:$U,10,FALSE)</f>
        <v>0012p00004MygGUAAZ</v>
      </c>
      <c r="P43" s="24" t="str">
        <f>VLOOKUP(D43,records!$A:$V,20,FALSE)</f>
        <v>FR46349516005</v>
      </c>
      <c r="Q43" s="24" t="str">
        <f>VLOOKUP(D43,records!$A:$V,12,FALSE)</f>
        <v>34 951 600 500 015</v>
      </c>
      <c r="R43" s="24" t="s">
        <v>1220</v>
      </c>
      <c r="S43" s="24" t="str">
        <f>VLOOKUP(D43,records!$A:$U,19,FALSE)</f>
        <v>apinvoicesfr@ball.com</v>
      </c>
      <c r="T43" s="26" t="s">
        <v>1221</v>
      </c>
      <c r="U43" s="26" t="s">
        <v>1222</v>
      </c>
      <c r="V43" s="26" t="str">
        <f>VLOOKUP($D43,records!$A:$V,3,FALSE)</f>
        <v>BALL PACKAGING EUROPE FRANCE sasu</v>
      </c>
      <c r="W43" s="26"/>
      <c r="X43" s="26" t="str">
        <f>VLOOKUP($D43,records!$A:$V,9,FALSE)</f>
        <v>Zone d'Entreprises de Bergues</v>
      </c>
      <c r="Y43" s="26" t="str">
        <f>VLOOKUP($D43,records!$A:$V,4,FALSE)</f>
        <v>BIERNE</v>
      </c>
      <c r="Z43" s="26" t="str">
        <f>VLOOKUP($D43,records!$A:$V,7,FALSE)</f>
        <v>59380</v>
      </c>
      <c r="AA43" s="26" t="s">
        <v>1223</v>
      </c>
      <c r="AB43" s="26">
        <f>VLOOKUP(O43,'records (2)'!$A:$Z,8,FALSE)</f>
        <v>30</v>
      </c>
      <c r="AC43" s="26" t="b">
        <v>0</v>
      </c>
      <c r="AD43" s="26"/>
      <c r="AE43" s="26"/>
      <c r="AF43" s="26" t="str">
        <f>VLOOKUP($D43,records!$A:$V,13,FALSE)</f>
        <v>BALL PACKAGING EUROPE FRANCE sasu</v>
      </c>
      <c r="AG43" s="26" t="s">
        <v>1226</v>
      </c>
      <c r="AH43" s="26" t="str">
        <f>VLOOKUP($D43,records!$A:$V,19,FALSE)</f>
        <v>apinvoicesfr@ball.com</v>
      </c>
      <c r="AI43" s="26" t="s">
        <v>1233</v>
      </c>
      <c r="AJ43" s="26" t="str">
        <f>VLOOKUP($O43,'records (2)'!$A:$Z,14,FALSE)</f>
        <v>003IV000010t2FaYAI</v>
      </c>
      <c r="AK43" s="26" t="str">
        <f>VLOOKUP($O43,'records (2)'!$A:$Z,15,FALSE)</f>
        <v>Erwan MORVAN</v>
      </c>
      <c r="AL43" s="26" t="str">
        <f>VLOOKUP($O43,'records (2)'!$A:$Z,10,FALSE)</f>
        <v>003IV000010t2FaYAI</v>
      </c>
      <c r="AM43" s="26" t="str">
        <f>VLOOKUP($O43,'records (2)'!$A:$Z,11,FALSE)</f>
        <v>Erwan MORVAN</v>
      </c>
      <c r="AN43" s="18">
        <v>1</v>
      </c>
      <c r="AO43" s="4">
        <v>1080</v>
      </c>
      <c r="AP43" s="4">
        <v>1080</v>
      </c>
      <c r="AQ43" s="20">
        <v>0</v>
      </c>
      <c r="AR43" s="6">
        <v>0</v>
      </c>
    </row>
    <row r="44" spans="1:44">
      <c r="A44" s="18" t="s">
        <v>120</v>
      </c>
      <c r="B44" s="18" t="s">
        <v>121</v>
      </c>
      <c r="C44" s="18" t="s">
        <v>122</v>
      </c>
      <c r="D44" s="18" t="s">
        <v>123</v>
      </c>
      <c r="E44" s="18" t="s">
        <v>16</v>
      </c>
      <c r="F44" s="18" t="s">
        <v>17</v>
      </c>
      <c r="G44" s="18"/>
      <c r="H44" s="19" t="s">
        <v>1216</v>
      </c>
      <c r="I44" s="23" t="s">
        <v>1217</v>
      </c>
      <c r="J44" s="24">
        <v>46023</v>
      </c>
      <c r="K44" s="24">
        <v>46387</v>
      </c>
      <c r="L44" s="24" t="s">
        <v>1218</v>
      </c>
      <c r="M44" s="24" t="s">
        <v>1219</v>
      </c>
      <c r="N44" s="24">
        <v>46023</v>
      </c>
      <c r="O44" s="24" t="str">
        <f>VLOOKUP(D44,records!$A:$U,10,FALSE)</f>
        <v>0012p00004UHMmUAAX</v>
      </c>
      <c r="P44" s="24" t="str">
        <f>VLOOKUP(D44,records!$A:$V,20,FALSE)</f>
        <v>FR29086650041</v>
      </c>
      <c r="Q44" s="24" t="str">
        <f>VLOOKUP(D44,records!$A:$V,12,FALSE)</f>
        <v>8 665 004 100 022</v>
      </c>
      <c r="R44" s="24" t="s">
        <v>1220</v>
      </c>
      <c r="S44" s="24" t="str">
        <f>VLOOKUP(D44,records!$A:$U,19,FALSE)</f>
        <v>ARBCOMPTACRF@crl.com</v>
      </c>
      <c r="T44" s="26" t="s">
        <v>1221</v>
      </c>
      <c r="U44" s="26" t="s">
        <v>1222</v>
      </c>
      <c r="V44" s="26" t="str">
        <f>VLOOKUP($D44,records!$A:$V,3,FALSE)</f>
        <v>CHARLES RIVER LABORATORIES FRANCE - C.R.L.F. sasu</v>
      </c>
      <c r="W44" s="26" t="str">
        <f>IFERROR(VLOOKUP($D44,records!$A:$V,6,FALSE),)</f>
        <v>COMPTABILITE</v>
      </c>
      <c r="X44" s="26" t="str">
        <f>VLOOKUP($D44,records!$A:$V,9,FALSE)</f>
        <v>327 Impasse du Domaine Rozier</v>
      </c>
      <c r="Y44" s="26" t="str">
        <f>VLOOKUP($D44,records!$A:$V,4,FALSE)</f>
        <v>SAINT GERMAIN NUELLES</v>
      </c>
      <c r="Z44" s="26" t="str">
        <f>VLOOKUP($D44,records!$A:$V,7,FALSE)</f>
        <v>69210</v>
      </c>
      <c r="AA44" s="26" t="s">
        <v>1223</v>
      </c>
      <c r="AB44" s="26">
        <f>VLOOKUP(O44,'records (2)'!$A:$Z,8,FALSE)</f>
        <v>30</v>
      </c>
      <c r="AC44" s="26" t="b">
        <v>0</v>
      </c>
      <c r="AD44" s="26"/>
      <c r="AE44" s="26"/>
      <c r="AF44" s="26" t="str">
        <f>VLOOKUP($D44,records!$A:$V,13,FALSE)</f>
        <v>CHARLES RIVER LABORATORIES FRANCE - C.R.L.F. sasu</v>
      </c>
      <c r="AG44" s="26" t="s">
        <v>1226</v>
      </c>
      <c r="AH44" s="26" t="str">
        <f>VLOOKUP($D44,records!$A:$V,19,FALSE)</f>
        <v>ARBCOMPTACRF@crl.com</v>
      </c>
      <c r="AI44" s="26" t="s">
        <v>1233</v>
      </c>
      <c r="AJ44" s="26" t="str">
        <f>VLOOKUP($O44,'records (2)'!$A:$Z,14,FALSE)</f>
        <v>003IV000010su8wYAA</v>
      </c>
      <c r="AK44" s="26" t="str">
        <f>VLOOKUP($O44,'records (2)'!$A:$Z,15,FALSE)</f>
        <v>Diego PINZON (arbcomptacrf)</v>
      </c>
      <c r="AL44" s="26" t="str">
        <f>VLOOKUP($O44,'records (2)'!$A:$Z,10,FALSE)</f>
        <v>003IV000010su8wYAA</v>
      </c>
      <c r="AM44" s="26" t="str">
        <f>VLOOKUP($O44,'records (2)'!$A:$Z,11,FALSE)</f>
        <v>Diego PINZON (arbcomptacrf)</v>
      </c>
      <c r="AN44" s="18">
        <v>1</v>
      </c>
      <c r="AO44" s="4">
        <v>2000</v>
      </c>
      <c r="AP44" s="4">
        <v>2000</v>
      </c>
      <c r="AQ44" s="20">
        <v>0</v>
      </c>
      <c r="AR44" s="6">
        <v>0</v>
      </c>
    </row>
    <row r="45" spans="1:44">
      <c r="A45" s="18" t="s">
        <v>1002</v>
      </c>
      <c r="B45" s="18" t="s">
        <v>1003</v>
      </c>
      <c r="C45" s="18" t="s">
        <v>1003</v>
      </c>
      <c r="D45" s="18" t="s">
        <v>1004</v>
      </c>
      <c r="E45" s="18" t="s">
        <v>23</v>
      </c>
      <c r="F45" s="18" t="s">
        <v>24</v>
      </c>
      <c r="G45" s="18"/>
      <c r="H45" s="19" t="s">
        <v>1216</v>
      </c>
      <c r="I45" s="23" t="s">
        <v>1217</v>
      </c>
      <c r="J45" s="24">
        <v>46023</v>
      </c>
      <c r="K45" s="24">
        <v>46387</v>
      </c>
      <c r="L45" s="24" t="s">
        <v>1218</v>
      </c>
      <c r="M45" s="24" t="s">
        <v>1219</v>
      </c>
      <c r="N45" s="24">
        <v>46023</v>
      </c>
      <c r="O45" s="24" t="str">
        <f>VLOOKUP(D45,records!$A:$U,10,FALSE)</f>
        <v>0012p00004MRAVrAAP</v>
      </c>
      <c r="P45" s="24" t="str">
        <f>VLOOKUP(D45,records!$A:$V,20,FALSE)</f>
        <v>FR58531170819</v>
      </c>
      <c r="Q45" s="24" t="str">
        <f>VLOOKUP(D45,records!$A:$V,12,FALSE)</f>
        <v>53 117 081 900 019</v>
      </c>
      <c r="R45" s="24" t="s">
        <v>1220</v>
      </c>
      <c r="S45" s="24" t="str">
        <f>VLOOKUP(D45,records!$A:$U,19,FALSE)</f>
        <v>ass.gestion@restonis.fr</v>
      </c>
      <c r="T45" s="26" t="s">
        <v>1221</v>
      </c>
      <c r="U45" s="26" t="s">
        <v>1222</v>
      </c>
      <c r="V45" s="26" t="str">
        <f>VLOOKUP($D45,records!$A:$V,3,FALSE)</f>
        <v>RESTONIS sasu</v>
      </c>
      <c r="W45" s="26"/>
      <c r="X45" s="26" t="str">
        <f>VLOOKUP($D45,records!$A:$V,9,FALSE)</f>
        <v>12 rue Jean Marie Poulmarch</v>
      </c>
      <c r="Y45" s="26" t="str">
        <f>VLOOKUP($D45,records!$A:$V,4,FALSE)</f>
        <v>IVRY SUR SEINE</v>
      </c>
      <c r="Z45" s="26" t="str">
        <f>VLOOKUP($D45,records!$A:$V,7,FALSE)</f>
        <v>94200</v>
      </c>
      <c r="AA45" s="26" t="s">
        <v>1223</v>
      </c>
      <c r="AB45" s="26">
        <f>VLOOKUP(O45,'records (2)'!$A:$Z,8,FALSE)</f>
        <v>30</v>
      </c>
      <c r="AC45" s="26" t="b">
        <v>0</v>
      </c>
      <c r="AD45" s="26"/>
      <c r="AE45" s="26"/>
      <c r="AF45" s="26" t="str">
        <f>VLOOKUP($D45,records!$A:$V,13,FALSE)</f>
        <v>RESTONIS sasu</v>
      </c>
      <c r="AG45" s="26" t="s">
        <v>1226</v>
      </c>
      <c r="AH45" s="26" t="str">
        <f>VLOOKUP($D45,records!$A:$V,19,FALSE)</f>
        <v>ass.gestion@restonis.fr</v>
      </c>
      <c r="AI45" s="26" t="s">
        <v>1233</v>
      </c>
      <c r="AJ45" s="26" t="str">
        <f>VLOOKUP($O45,'records (2)'!$A:$Z,10,FALSE)</f>
        <v>003IV000010t7NpYAI</v>
      </c>
      <c r="AK45" s="26" t="str">
        <f>VLOOKUP($O45,'records (2)'!$A:$Z,11,FALSE)</f>
        <v>Amélie GRILLET</v>
      </c>
      <c r="AL45" s="26" t="str">
        <f>VLOOKUP($O45,'records (2)'!$A:$Z,10,FALSE)</f>
        <v>003IV000010t7NpYAI</v>
      </c>
      <c r="AM45" s="26" t="str">
        <f>VLOOKUP($O45,'records (2)'!$A:$Z,11,FALSE)</f>
        <v>Amélie GRILLET</v>
      </c>
      <c r="AN45" s="18">
        <v>1</v>
      </c>
      <c r="AO45" s="4">
        <v>1200</v>
      </c>
      <c r="AP45" s="4">
        <v>1200</v>
      </c>
      <c r="AQ45" s="20">
        <v>0</v>
      </c>
      <c r="AR45" s="6">
        <v>0</v>
      </c>
    </row>
    <row r="46" spans="1:44">
      <c r="A46" s="18" t="s">
        <v>310</v>
      </c>
      <c r="B46" s="18" t="s">
        <v>311</v>
      </c>
      <c r="C46" s="18" t="s">
        <v>312</v>
      </c>
      <c r="D46" s="18" t="s">
        <v>313</v>
      </c>
      <c r="E46" s="18" t="s">
        <v>16</v>
      </c>
      <c r="F46" s="18" t="s">
        <v>17</v>
      </c>
      <c r="G46" s="18"/>
      <c r="H46" s="19" t="s">
        <v>1216</v>
      </c>
      <c r="I46" s="23" t="s">
        <v>1217</v>
      </c>
      <c r="J46" s="24">
        <v>46023</v>
      </c>
      <c r="K46" s="24">
        <v>46387</v>
      </c>
      <c r="L46" s="24" t="s">
        <v>1218</v>
      </c>
      <c r="M46" s="24" t="s">
        <v>1219</v>
      </c>
      <c r="N46" s="24">
        <v>46023</v>
      </c>
      <c r="O46" s="24" t="str">
        <f>VLOOKUP(D46,records!$A:$U,10,FALSE)</f>
        <v>001SZ000002xEQqYAM</v>
      </c>
      <c r="P46" s="24" t="str">
        <f>VLOOKUP(D46,records!$A:$V,20,FALSE)</f>
        <v>FR63490837283</v>
      </c>
      <c r="Q46" s="24" t="str">
        <f>VLOOKUP(D46,records!$A:$V,12,FALSE)</f>
        <v>49 083 728 300 020</v>
      </c>
      <c r="R46" s="24" t="s">
        <v>1220</v>
      </c>
      <c r="S46" s="24" t="str">
        <f>VLOOKUP(D46,records!$A:$U,19,FALSE)</f>
        <v>auby.comptafactures@nyrstar.com</v>
      </c>
      <c r="T46" s="26" t="s">
        <v>1221</v>
      </c>
      <c r="U46" s="26" t="s">
        <v>1222</v>
      </c>
      <c r="V46" s="26" t="str">
        <f>VLOOKUP($D46,records!$A:$V,3,FALSE)</f>
        <v>NYRSTAR FRANCE sasu</v>
      </c>
      <c r="W46" s="26"/>
      <c r="X46" s="26" t="str">
        <f>VLOOKUP($D46,records!$A:$V,9,FALSE)</f>
        <v>Rue Jean Jacques Rousseau</v>
      </c>
      <c r="Y46" s="26" t="str">
        <f>VLOOKUP($D46,records!$A:$V,4,FALSE)</f>
        <v>AUBY</v>
      </c>
      <c r="Z46" s="26" t="str">
        <f>VLOOKUP($D46,records!$A:$V,7,FALSE)</f>
        <v>59950</v>
      </c>
      <c r="AA46" s="26" t="s">
        <v>1223</v>
      </c>
      <c r="AB46" s="26">
        <f>VLOOKUP(O46,'records (2)'!$A:$Z,8,FALSE)</f>
        <v>30</v>
      </c>
      <c r="AC46" s="26" t="b">
        <v>0</v>
      </c>
      <c r="AD46" s="26"/>
      <c r="AE46" s="26"/>
      <c r="AF46" s="26" t="str">
        <f>VLOOKUP($D46,records!$A:$V,13,FALSE)</f>
        <v>NYRSTAR FRANCE sasu</v>
      </c>
      <c r="AG46" s="26" t="s">
        <v>1226</v>
      </c>
      <c r="AH46" s="26" t="str">
        <f>VLOOKUP($D46,records!$A:$V,19,FALSE)</f>
        <v>auby.comptafactures@nyrstar.com</v>
      </c>
      <c r="AI46" s="26" t="s">
        <v>1233</v>
      </c>
      <c r="AJ46" s="26" t="str">
        <f>VLOOKUP($O46,'records (2)'!$A:$Z,14,FALSE)</f>
        <v>003IV000010sqLNYAY</v>
      </c>
      <c r="AK46" s="26" t="str">
        <f>VLOOKUP($O46,'records (2)'!$A:$Z,15,FALSE)</f>
        <v>Alexis DOHEIN</v>
      </c>
      <c r="AL46" s="26" t="str">
        <f>VLOOKUP($O46,'records (2)'!$A:$Z,10,FALSE)</f>
        <v>003IV000010sqLMYAY</v>
      </c>
      <c r="AM46" s="26" t="str">
        <f>VLOOKUP($O46,'records (2)'!$A:$Z,11,FALSE)</f>
        <v>Relances Factures NYRSTAR FRANCE</v>
      </c>
      <c r="AN46" s="18">
        <v>1</v>
      </c>
      <c r="AO46" s="4">
        <v>2000</v>
      </c>
      <c r="AP46" s="4">
        <v>2000</v>
      </c>
      <c r="AQ46" s="20">
        <v>0</v>
      </c>
      <c r="AR46" s="6">
        <v>0</v>
      </c>
    </row>
    <row r="47" spans="1:44">
      <c r="A47" s="18" t="s">
        <v>1097</v>
      </c>
      <c r="B47" s="18" t="s">
        <v>1098</v>
      </c>
      <c r="C47" s="18" t="s">
        <v>1099</v>
      </c>
      <c r="D47" s="18" t="s">
        <v>1100</v>
      </c>
      <c r="E47" s="18" t="s">
        <v>52</v>
      </c>
      <c r="F47" s="18" t="s">
        <v>53</v>
      </c>
      <c r="G47" s="18"/>
      <c r="H47" s="19" t="s">
        <v>1216</v>
      </c>
      <c r="I47" s="23" t="s">
        <v>1217</v>
      </c>
      <c r="J47" s="24">
        <v>46023</v>
      </c>
      <c r="K47" s="24">
        <v>46387</v>
      </c>
      <c r="L47" s="24" t="s">
        <v>1218</v>
      </c>
      <c r="M47" s="24" t="s">
        <v>1219</v>
      </c>
      <c r="N47" s="24">
        <v>46023</v>
      </c>
      <c r="O47" s="24" t="str">
        <f>VLOOKUP(D47,records!$A:$U,10,FALSE)</f>
        <v>001SZ00000PZ6aTYAT</v>
      </c>
      <c r="P47" s="24" t="str">
        <f>VLOOKUP(D47,records!$A:$V,20,FALSE)</f>
        <v>FR38403119431</v>
      </c>
      <c r="Q47" s="24" t="str">
        <f>VLOOKUP(D47,records!$A:$V,12,FALSE)</f>
        <v>40 311 943 100 027</v>
      </c>
      <c r="R47" s="24" t="s">
        <v>1220</v>
      </c>
      <c r="S47" s="29" t="s">
        <v>1236</v>
      </c>
      <c r="T47" s="26" t="s">
        <v>1221</v>
      </c>
      <c r="U47" s="26" t="s">
        <v>1222</v>
      </c>
      <c r="V47" s="26" t="str">
        <f>VLOOKUP($D47,records!$A:$V,3,FALSE)</f>
        <v>INEOS AUTOMOTIVE SAS</v>
      </c>
      <c r="W47" s="26" t="str">
        <f>IFERROR(VLOOKUP($D47,records!$A:$V,6,FALSE),)</f>
        <v>Service comptabilité</v>
      </c>
      <c r="X47" s="26" t="str">
        <f>VLOOKUP($D47,records!$A:$V,9,FALSE)</f>
        <v>Europôle de Sarreguemines</v>
      </c>
      <c r="Y47" s="26" t="str">
        <f>VLOOKUP($D47,records!$A:$V,4,FALSE)</f>
        <v>HAMBACH</v>
      </c>
      <c r="Z47" s="26" t="str">
        <f>VLOOKUP($D47,records!$A:$V,7,FALSE)</f>
        <v>57913</v>
      </c>
      <c r="AA47" s="26" t="s">
        <v>1223</v>
      </c>
      <c r="AB47" s="26">
        <f>VLOOKUP(O47,'records (2)'!$A:$Z,8,FALSE)</f>
        <v>60</v>
      </c>
      <c r="AC47" s="26" t="b">
        <f>VLOOKUP(O47,'records (4)'!$A:$C,3,FALSE)</f>
        <v>1</v>
      </c>
      <c r="AD47" s="26" t="s">
        <v>1225</v>
      </c>
      <c r="AE47" s="24">
        <v>46023</v>
      </c>
      <c r="AF47" s="26" t="str">
        <f>VLOOKUP($D47,records!$A:$V,13,FALSE)</f>
        <v>INEOS AUTOMOTIVE SAS</v>
      </c>
      <c r="AG47" s="26" t="s">
        <v>1226</v>
      </c>
      <c r="AH47" s="29" t="s">
        <v>1236</v>
      </c>
      <c r="AI47" s="26" t="s">
        <v>1233</v>
      </c>
      <c r="AJ47" s="26" t="str">
        <f>VLOOKUP($O47,'records (2)'!$A:$Z,14,FALSE)</f>
        <v>003IV000010tSrXYAU</v>
      </c>
      <c r="AK47" s="26" t="str">
        <f>VLOOKUP($O47,'records (2)'!$A:$Z,15,FALSE)</f>
        <v>Service Comptabilité</v>
      </c>
      <c r="AL47" s="26" t="str">
        <f>VLOOKUP($O47,'records (2)'!$A:$Z,10,FALSE)</f>
        <v>003IV000010tSrXYAU</v>
      </c>
      <c r="AM47" s="26" t="str">
        <f>VLOOKUP($O47,'records (2)'!$A:$Z,11,FALSE)</f>
        <v>Service Comptabilité</v>
      </c>
      <c r="AN47" s="18">
        <v>1</v>
      </c>
      <c r="AO47" s="4">
        <v>2000</v>
      </c>
      <c r="AP47" s="4">
        <v>2000</v>
      </c>
      <c r="AQ47" s="20">
        <v>0</v>
      </c>
      <c r="AR47" s="6">
        <v>0</v>
      </c>
    </row>
    <row r="48" spans="1:44">
      <c r="A48" s="18" t="s">
        <v>488</v>
      </c>
      <c r="B48" s="18" t="s">
        <v>489</v>
      </c>
      <c r="C48" s="18" t="s">
        <v>489</v>
      </c>
      <c r="D48" s="18" t="s">
        <v>490</v>
      </c>
      <c r="E48" s="18" t="s">
        <v>52</v>
      </c>
      <c r="F48" s="18" t="s">
        <v>53</v>
      </c>
      <c r="G48" s="18"/>
      <c r="H48" s="19" t="s">
        <v>1216</v>
      </c>
      <c r="I48" s="23" t="s">
        <v>1217</v>
      </c>
      <c r="J48" s="24">
        <v>46023</v>
      </c>
      <c r="K48" s="24">
        <v>46387</v>
      </c>
      <c r="L48" s="24" t="s">
        <v>1218</v>
      </c>
      <c r="M48" s="24" t="s">
        <v>1219</v>
      </c>
      <c r="N48" s="24">
        <v>46023</v>
      </c>
      <c r="O48" s="24" t="str">
        <f>VLOOKUP(D48,records!$A:$U,10,FALSE)</f>
        <v>0012p00004UHRUgAAP</v>
      </c>
      <c r="P48" s="24" t="str">
        <f>VLOOKUP(D48,records!$A:$V,20,FALSE)</f>
        <v>FR84334089752</v>
      </c>
      <c r="Q48" s="24" t="str">
        <f>VLOOKUP(D48,records!$A:$V,12,FALSE)</f>
        <v>33 408 975 200 102</v>
      </c>
      <c r="R48" s="24" t="s">
        <v>1220</v>
      </c>
      <c r="S48" s="24" t="str">
        <f>VLOOKUP(D48,records!$A:$U,19,FALSE)</f>
        <v>bcouet@carea.fr</v>
      </c>
      <c r="T48" s="26" t="s">
        <v>1221</v>
      </c>
      <c r="U48" s="26" t="s">
        <v>1222</v>
      </c>
      <c r="V48" s="26" t="str">
        <f>VLOOKUP($D48,records!$A:$V,3,FALSE)</f>
        <v>CAREA FACADE sasu</v>
      </c>
      <c r="W48" s="26"/>
      <c r="X48" s="26" t="str">
        <f>VLOOKUP($D48,records!$A:$V,9,FALSE)</f>
        <v>ZA DE BEL AIR
 Bel-Air-de-Combrée - COMBREE</v>
      </c>
      <c r="Y48" s="26" t="str">
        <f>VLOOKUP($D48,records!$A:$V,4,FALSE)</f>
        <v>OMBREE D'ANJOU</v>
      </c>
      <c r="Z48" s="26" t="str">
        <f>VLOOKUP($D48,records!$A:$V,7,FALSE)</f>
        <v>49520</v>
      </c>
      <c r="AA48" s="26" t="s">
        <v>1223</v>
      </c>
      <c r="AB48" s="26">
        <f>VLOOKUP(O48,'records (2)'!$A:$Z,8,FALSE)</f>
        <v>30</v>
      </c>
      <c r="AC48" s="26" t="b">
        <v>0</v>
      </c>
      <c r="AD48" s="26"/>
      <c r="AE48" s="26"/>
      <c r="AF48" s="26" t="str">
        <f>VLOOKUP($D48,records!$A:$V,13,FALSE)</f>
        <v>CAREA FACADE sasu</v>
      </c>
      <c r="AG48" s="26" t="s">
        <v>1226</v>
      </c>
      <c r="AH48" s="26" t="str">
        <f>VLOOKUP($D48,records!$A:$V,19,FALSE)</f>
        <v>bcouet@carea.fr</v>
      </c>
      <c r="AI48" s="26" t="s">
        <v>1233</v>
      </c>
      <c r="AJ48" s="26" t="str">
        <f>VLOOKUP($O48,'records (2)'!$A:$Z,14,FALSE)</f>
        <v>003IV000010taO5YAI</v>
      </c>
      <c r="AK48" s="26" t="str">
        <f>VLOOKUP($O48,'records (2)'!$A:$Z,15,FALSE)</f>
        <v>Bérangère COUET</v>
      </c>
      <c r="AL48" s="26" t="str">
        <f>VLOOKUP($O48,'records (2)'!$A:$Z,10,FALSE)</f>
        <v>003IV000010taO5YAI</v>
      </c>
      <c r="AM48" s="26" t="str">
        <f>VLOOKUP($O48,'records (2)'!$A:$Z,11,FALSE)</f>
        <v>Bérangère COUET</v>
      </c>
      <c r="AN48" s="18">
        <v>1</v>
      </c>
      <c r="AO48" s="4">
        <v>500</v>
      </c>
      <c r="AP48" s="4">
        <v>500</v>
      </c>
      <c r="AQ48" s="20">
        <v>0</v>
      </c>
      <c r="AR48" s="6">
        <v>0</v>
      </c>
    </row>
    <row r="49" spans="1:44">
      <c r="A49" s="18" t="s">
        <v>325</v>
      </c>
      <c r="B49" s="18" t="s">
        <v>326</v>
      </c>
      <c r="C49" s="18" t="s">
        <v>327</v>
      </c>
      <c r="D49" s="18" t="s">
        <v>328</v>
      </c>
      <c r="E49" s="18" t="s">
        <v>16</v>
      </c>
      <c r="F49" s="18" t="s">
        <v>17</v>
      </c>
      <c r="G49" s="18"/>
      <c r="H49" s="19" t="s">
        <v>1216</v>
      </c>
      <c r="I49" s="23" t="s">
        <v>1217</v>
      </c>
      <c r="J49" s="24">
        <v>46023</v>
      </c>
      <c r="K49" s="24">
        <v>46387</v>
      </c>
      <c r="L49" s="24" t="s">
        <v>1218</v>
      </c>
      <c r="M49" s="24" t="s">
        <v>1219</v>
      </c>
      <c r="N49" s="24">
        <v>46023</v>
      </c>
      <c r="O49" s="24" t="str">
        <f>VLOOKUP(D49,records!$A:$U,10,FALSE)</f>
        <v>001SZ000005HETVYA4</v>
      </c>
      <c r="P49" s="24" t="str">
        <f>VLOOKUP(D49,records!$A:$V,20,FALSE)</f>
        <v>FR50890708365</v>
      </c>
      <c r="Q49" s="24" t="str">
        <f>VLOOKUP(D49,records!$A:$V,12,FALSE)</f>
        <v>89 070 836 500 030</v>
      </c>
      <c r="R49" s="24" t="s">
        <v>1220</v>
      </c>
      <c r="S49" s="24" t="str">
        <f>VLOOKUP(D49,records!$A:$U,19,FALSE)</f>
        <v>beatrice.chretien@oterra.com</v>
      </c>
      <c r="T49" s="26" t="s">
        <v>1221</v>
      </c>
      <c r="U49" s="26" t="s">
        <v>1222</v>
      </c>
      <c r="V49" s="26" t="str">
        <f>VLOOKUP($D49,records!$A:$V,3,FALSE)</f>
        <v>OTERRA FRANCE SAS</v>
      </c>
      <c r="W49" s="26"/>
      <c r="X49" s="26" t="str">
        <f>VLOOKUP($D49,records!$A:$V,9,FALSE)</f>
        <v>Rue Ambroise Paré</v>
      </c>
      <c r="Y49" s="26" t="str">
        <f>VLOOKUP($D49,records!$A:$V,4,FALSE)</f>
        <v>COSSE-LE-VIVIEN</v>
      </c>
      <c r="Z49" s="26" t="str">
        <f>VLOOKUP($D49,records!$A:$V,7,FALSE)</f>
        <v>53230</v>
      </c>
      <c r="AA49" s="26" t="s">
        <v>1223</v>
      </c>
      <c r="AB49" s="26">
        <f>VLOOKUP(O49,'records (2)'!$A:$Z,8,FALSE)</f>
        <v>30</v>
      </c>
      <c r="AC49" s="26" t="b">
        <f>VLOOKUP(O49,'records (4)'!$A:$C,3,FALSE)</f>
        <v>1</v>
      </c>
      <c r="AD49" s="26" t="s">
        <v>1225</v>
      </c>
      <c r="AE49" s="24">
        <v>46023</v>
      </c>
      <c r="AF49" s="26" t="str">
        <f>VLOOKUP($D49,records!$A:$V,13,FALSE)</f>
        <v>OTERRA FRANCE SAS</v>
      </c>
      <c r="AG49" s="26" t="s">
        <v>1226</v>
      </c>
      <c r="AH49" s="26" t="str">
        <f>VLOOKUP($D49,records!$A:$V,19,FALSE)</f>
        <v>beatrice.chretien@oterra.com</v>
      </c>
      <c r="AI49" s="26" t="s">
        <v>1233</v>
      </c>
      <c r="AJ49" s="26" t="str">
        <f>VLOOKUP($O49,'records (2)'!$A:$Z,14,FALSE)</f>
        <v>003IV000010tSkkYAE</v>
      </c>
      <c r="AK49" s="26" t="str">
        <f>VLOOKUP($O49,'records (2)'!$A:$Z,15,FALSE)</f>
        <v>Béatrice CHRETIEN</v>
      </c>
      <c r="AL49" s="26" t="str">
        <f>VLOOKUP($O49,'records (2)'!$A:$Z,10,FALSE)</f>
        <v>003IV000010tSkkYAE</v>
      </c>
      <c r="AM49" s="26" t="str">
        <f>VLOOKUP($O49,'records (2)'!$A:$Z,11,FALSE)</f>
        <v>Béatrice CHRETIEN</v>
      </c>
      <c r="AN49" s="18">
        <v>1</v>
      </c>
      <c r="AO49" s="4">
        <v>1000</v>
      </c>
      <c r="AP49" s="4">
        <v>1000</v>
      </c>
      <c r="AQ49" s="20"/>
      <c r="AR49" s="6"/>
    </row>
    <row r="50" spans="1:44">
      <c r="A50" s="18" t="s">
        <v>188</v>
      </c>
      <c r="B50" s="18" t="s">
        <v>189</v>
      </c>
      <c r="C50" s="18" t="s">
        <v>190</v>
      </c>
      <c r="D50" s="18" t="s">
        <v>191</v>
      </c>
      <c r="E50" s="18" t="s">
        <v>16</v>
      </c>
      <c r="F50" s="18" t="s">
        <v>17</v>
      </c>
      <c r="G50" s="18"/>
      <c r="H50" s="19" t="s">
        <v>1216</v>
      </c>
      <c r="I50" s="23" t="s">
        <v>1217</v>
      </c>
      <c r="J50" s="24">
        <v>46023</v>
      </c>
      <c r="K50" s="24">
        <v>46387</v>
      </c>
      <c r="L50" s="24" t="s">
        <v>1218</v>
      </c>
      <c r="M50" s="24" t="s">
        <v>1219</v>
      </c>
      <c r="N50" s="24">
        <v>46023</v>
      </c>
      <c r="O50" s="24" t="str">
        <f>VLOOKUP(D50,records!$A:$U,10,FALSE)</f>
        <v>0012p00004OML8JAAX</v>
      </c>
      <c r="P50" s="24" t="str">
        <f>VLOOKUP(D50,records!$A:$V,20,FALSE)</f>
        <v>FR53337544720</v>
      </c>
      <c r="Q50" s="24" t="str">
        <f>VLOOKUP(D50,records!$A:$V,12,FALSE)</f>
        <v>3 375 447 200 051</v>
      </c>
      <c r="R50" s="24" t="s">
        <v>1220</v>
      </c>
      <c r="S50" s="24" t="str">
        <f>VLOOKUP(D50,records!$A:$U,19,FALSE)</f>
        <v>benoit.pinon@grouperioland.fr</v>
      </c>
      <c r="T50" s="26" t="s">
        <v>1221</v>
      </c>
      <c r="U50" s="26" t="s">
        <v>1222</v>
      </c>
      <c r="V50" s="26" t="str">
        <f>VLOOKUP($D50,records!$A:$V,3,FALSE)</f>
        <v>GROUPE RIOLAND sas</v>
      </c>
      <c r="W50" s="26"/>
      <c r="X50" s="26" t="str">
        <f>VLOOKUP($D50,records!$A:$V,9,FALSE)</f>
        <v>24 La Barre</v>
      </c>
      <c r="Y50" s="26" t="str">
        <f>VLOOKUP($D50,records!$A:$V,4,FALSE)</f>
        <v>BAUDRES</v>
      </c>
      <c r="Z50" s="26" t="str">
        <f>VLOOKUP($D50,records!$A:$V,7,FALSE)</f>
        <v>36110</v>
      </c>
      <c r="AA50" s="26" t="s">
        <v>1223</v>
      </c>
      <c r="AB50" s="26">
        <f>VLOOKUP(O50,'records (2)'!$A:$Z,8,FALSE)</f>
        <v>30</v>
      </c>
      <c r="AC50" s="26" t="b">
        <v>0</v>
      </c>
      <c r="AD50" s="26"/>
      <c r="AE50" s="26"/>
      <c r="AF50" s="26" t="str">
        <f>VLOOKUP($D50,records!$A:$V,13,FALSE)</f>
        <v>GROUPE RIOLAND sas</v>
      </c>
      <c r="AG50" s="26" t="s">
        <v>1226</v>
      </c>
      <c r="AH50" s="26" t="str">
        <f>VLOOKUP($D50,records!$A:$V,19,FALSE)</f>
        <v>benoit.pinon@grouperioland.fr</v>
      </c>
      <c r="AI50" s="26" t="s">
        <v>1233</v>
      </c>
      <c r="AJ50" s="26" t="str">
        <f>VLOOKUP($O50,'records (2)'!$A:$Z,14,FALSE)</f>
        <v>003IV000010sxFqYAI</v>
      </c>
      <c r="AK50" s="26" t="str">
        <f>VLOOKUP($O50,'records (2)'!$A:$Z,15,FALSE)</f>
        <v>Benoît PINON</v>
      </c>
      <c r="AL50" s="26" t="str">
        <f>VLOOKUP($O50,'records (2)'!$A:$Z,10,FALSE)</f>
        <v>003IV000010sxFqYAI</v>
      </c>
      <c r="AM50" s="26" t="str">
        <f>VLOOKUP($O50,'records (2)'!$A:$Z,11,FALSE)</f>
        <v>Benoît PINON</v>
      </c>
      <c r="AN50" s="18">
        <v>1</v>
      </c>
      <c r="AO50" s="4">
        <v>2000</v>
      </c>
      <c r="AP50" s="4">
        <v>2000</v>
      </c>
      <c r="AQ50" s="20">
        <v>0</v>
      </c>
      <c r="AR50" s="6">
        <v>0</v>
      </c>
    </row>
    <row r="51" spans="1:44">
      <c r="A51" s="18" t="s">
        <v>535</v>
      </c>
      <c r="B51" s="18" t="s">
        <v>536</v>
      </c>
      <c r="C51" s="18" t="s">
        <v>537</v>
      </c>
      <c r="D51" s="18" t="s">
        <v>538</v>
      </c>
      <c r="E51" s="18" t="s">
        <v>52</v>
      </c>
      <c r="F51" s="18" t="s">
        <v>53</v>
      </c>
      <c r="G51" s="18"/>
      <c r="H51" s="19" t="s">
        <v>1216</v>
      </c>
      <c r="I51" s="23" t="s">
        <v>1217</v>
      </c>
      <c r="J51" s="24">
        <v>46023</v>
      </c>
      <c r="K51" s="24">
        <v>46387</v>
      </c>
      <c r="L51" s="24" t="s">
        <v>1218</v>
      </c>
      <c r="M51" s="24" t="s">
        <v>1219</v>
      </c>
      <c r="N51" s="24">
        <v>46023</v>
      </c>
      <c r="O51" s="24" t="str">
        <f>VLOOKUP(D51,records!$A:$U,10,FALSE)</f>
        <v>001SZ00000CP6rMYAT</v>
      </c>
      <c r="P51" s="24" t="str">
        <f>VLOOKUP(D51,records!$A:$V,20,FALSE)</f>
        <v>FR96839694593</v>
      </c>
      <c r="Q51" s="24" t="str">
        <f>VLOOKUP(D51,records!$A:$V,12,FALSE)</f>
        <v>83 969 459 300 014</v>
      </c>
      <c r="R51" s="24" t="s">
        <v>1220</v>
      </c>
      <c r="S51" s="24" t="str">
        <f>VLOOKUP(D51,records!$A:$U,19,FALSE)</f>
        <v>besma.ammari@dps-beaune.com</v>
      </c>
      <c r="T51" s="26" t="s">
        <v>1221</v>
      </c>
      <c r="U51" s="26" t="s">
        <v>1222</v>
      </c>
      <c r="V51" s="26" t="str">
        <f>VLOOKUP($D51,records!$A:$V,3,FALSE)</f>
        <v>DPS BEAUNE sas</v>
      </c>
      <c r="W51" s="26"/>
      <c r="X51" s="26" t="str">
        <f>VLOOKUP($D51,records!$A:$V,9,FALSE)</f>
        <v>156 Route de Dijon</v>
      </c>
      <c r="Y51" s="26" t="str">
        <f>VLOOKUP($D51,records!$A:$V,4,FALSE)</f>
        <v>BEAUNE</v>
      </c>
      <c r="Z51" s="26" t="str">
        <f>VLOOKUP($D51,records!$A:$V,7,FALSE)</f>
        <v>21200</v>
      </c>
      <c r="AA51" s="26" t="s">
        <v>1223</v>
      </c>
      <c r="AB51" s="26">
        <f>VLOOKUP(O51,'records (2)'!$A:$Z,8,FALSE)</f>
        <v>30</v>
      </c>
      <c r="AC51" s="26" t="b">
        <v>0</v>
      </c>
      <c r="AD51" s="26"/>
      <c r="AE51" s="26"/>
      <c r="AF51" s="26" t="str">
        <f>VLOOKUP($D51,records!$A:$V,13,FALSE)</f>
        <v>DPS BEAUNE sas</v>
      </c>
      <c r="AG51" s="26" t="s">
        <v>1226</v>
      </c>
      <c r="AH51" s="26" t="str">
        <f>VLOOKUP($D51,records!$A:$V,19,FALSE)</f>
        <v>besma.ammari@dps-beaune.com</v>
      </c>
      <c r="AI51" s="26" t="s">
        <v>1233</v>
      </c>
      <c r="AJ51" s="26" t="str">
        <f>VLOOKUP($O51,'records (2)'!$A:$Z,14,FALSE)</f>
        <v>003IV000010tJWHYA2</v>
      </c>
      <c r="AK51" s="26" t="str">
        <f>VLOOKUP($O51,'records (2)'!$A:$Z,15,FALSE)</f>
        <v>Léa MONACI</v>
      </c>
      <c r="AL51" s="26" t="str">
        <f>VLOOKUP($O51,'records (2)'!$A:$Z,10,FALSE)</f>
        <v>003IV000010tJWHYA2</v>
      </c>
      <c r="AM51" s="26" t="str">
        <f>VLOOKUP($O51,'records (2)'!$A:$Z,11,FALSE)</f>
        <v>Léa MONACI</v>
      </c>
      <c r="AN51" s="18">
        <v>1</v>
      </c>
      <c r="AO51" s="4">
        <v>500</v>
      </c>
      <c r="AP51" s="4">
        <v>500</v>
      </c>
      <c r="AQ51" s="20">
        <v>0</v>
      </c>
      <c r="AR51" s="6">
        <v>0</v>
      </c>
    </row>
    <row r="52" spans="1:44">
      <c r="A52" s="18" t="s">
        <v>480</v>
      </c>
      <c r="B52" s="18" t="s">
        <v>481</v>
      </c>
      <c r="C52" s="18" t="s">
        <v>482</v>
      </c>
      <c r="D52" s="18" t="s">
        <v>483</v>
      </c>
      <c r="E52" s="18" t="s">
        <v>52</v>
      </c>
      <c r="F52" s="18" t="s">
        <v>53</v>
      </c>
      <c r="G52" s="18"/>
      <c r="H52" s="19" t="s">
        <v>1216</v>
      </c>
      <c r="I52" s="23" t="s">
        <v>1217</v>
      </c>
      <c r="J52" s="24">
        <v>46023</v>
      </c>
      <c r="K52" s="24">
        <v>46387</v>
      </c>
      <c r="L52" s="24" t="s">
        <v>1218</v>
      </c>
      <c r="M52" s="24" t="s">
        <v>1219</v>
      </c>
      <c r="N52" s="24">
        <v>46023</v>
      </c>
      <c r="O52" s="24" t="str">
        <f>VLOOKUP(D52,records!$A:$U,10,FALSE)</f>
        <v>0012p00004QckxBAAR</v>
      </c>
      <c r="P52" s="24" t="str">
        <f>VLOOKUP(D52,records!$A:$V,20,FALSE)</f>
        <v>FR53439531005</v>
      </c>
      <c r="Q52" s="24" t="str">
        <f>VLOOKUP(D52,records!$A:$V,12,FALSE)</f>
        <v>43 953 100 500 015</v>
      </c>
      <c r="R52" s="24" t="s">
        <v>1220</v>
      </c>
      <c r="S52" s="24" t="str">
        <f>VLOOKUP(D52,records!$A:$U,19,FALSE)</f>
        <v>bjumelart@sherpa-logistique.fr</v>
      </c>
      <c r="T52" s="26" t="s">
        <v>1237</v>
      </c>
      <c r="U52" s="26" t="s">
        <v>1222</v>
      </c>
      <c r="V52" s="26" t="str">
        <f>VLOOKUP($D52,records!$A:$V,3,FALSE)</f>
        <v>SHERPA LOGISTIQUE sas</v>
      </c>
      <c r="W52" s="26"/>
      <c r="X52" s="26" t="str">
        <f>VLOOKUP($D52,records!$A:$V,9,FALSE)</f>
        <v>ZI du Cappa</v>
      </c>
      <c r="Y52" s="26" t="str">
        <f>VLOOKUP($D52,records!$A:$V,4,FALSE)</f>
        <v>ST RAMBERT D'ALBON</v>
      </c>
      <c r="Z52" s="26" t="str">
        <f>VLOOKUP($D52,records!$A:$V,7,FALSE)</f>
        <v>26140</v>
      </c>
      <c r="AA52" s="26" t="s">
        <v>1223</v>
      </c>
      <c r="AB52" s="26">
        <f>VLOOKUP(O52,'records (2)'!$A:$Z,8,FALSE)</f>
        <v>30</v>
      </c>
      <c r="AC52" s="26" t="b">
        <v>0</v>
      </c>
      <c r="AD52" s="26"/>
      <c r="AE52" s="26"/>
      <c r="AF52" s="26" t="str">
        <f>VLOOKUP($D52,records!$A:$V,13,FALSE)</f>
        <v>SHERPA LOGISTIQUE sas</v>
      </c>
      <c r="AG52" s="26" t="s">
        <v>1226</v>
      </c>
      <c r="AH52" s="26" t="str">
        <f>VLOOKUP($D52,records!$A:$V,19,FALSE)</f>
        <v>bjumelart@sherpa-logistique.fr</v>
      </c>
      <c r="AI52" s="26" t="s">
        <v>1233</v>
      </c>
      <c r="AJ52" s="26" t="str">
        <f>VLOOKUP($O52,'records (2)'!$A:$Z,14,FALSE)</f>
        <v>003IV000010tSkOYAU</v>
      </c>
      <c r="AK52" s="26" t="str">
        <f>VLOOKUP($O52,'records (2)'!$A:$Z,15,FALSE)</f>
        <v>Béatrice JUMELART</v>
      </c>
      <c r="AL52" s="26" t="str">
        <f>VLOOKUP($O52,'records (2)'!$A:$Z,10,FALSE)</f>
        <v>003IV000010tSkOYAU</v>
      </c>
      <c r="AM52" s="26" t="str">
        <f>VLOOKUP($O52,'records (2)'!$A:$Z,11,FALSE)</f>
        <v>Béatrice JUMELART</v>
      </c>
      <c r="AN52" s="18">
        <v>1</v>
      </c>
      <c r="AO52" s="4">
        <v>500</v>
      </c>
      <c r="AP52" s="4">
        <v>500</v>
      </c>
      <c r="AQ52" s="20"/>
      <c r="AR52" s="6"/>
    </row>
    <row r="53" spans="1:44">
      <c r="A53" s="18" t="s">
        <v>890</v>
      </c>
      <c r="B53" s="18" t="s">
        <v>891</v>
      </c>
      <c r="C53" s="18" t="s">
        <v>892</v>
      </c>
      <c r="D53" s="18" t="s">
        <v>893</v>
      </c>
      <c r="E53" s="18" t="s">
        <v>52</v>
      </c>
      <c r="F53" s="18" t="s">
        <v>53</v>
      </c>
      <c r="G53" s="18"/>
      <c r="H53" s="19" t="s">
        <v>1216</v>
      </c>
      <c r="I53" s="23" t="s">
        <v>1217</v>
      </c>
      <c r="J53" s="24">
        <v>46023</v>
      </c>
      <c r="K53" s="24">
        <v>46387</v>
      </c>
      <c r="L53" s="24" t="s">
        <v>1218</v>
      </c>
      <c r="M53" s="24" t="s">
        <v>1219</v>
      </c>
      <c r="N53" s="24">
        <v>46023</v>
      </c>
      <c r="O53" s="24" t="str">
        <f>VLOOKUP(D53,records!$A:$U,10,FALSE)</f>
        <v>0012p00004TnExuAAF</v>
      </c>
      <c r="P53" s="24" t="str">
        <f>VLOOKUP(D53,records!$A:$V,20,FALSE)</f>
        <v>FR20712047547</v>
      </c>
      <c r="Q53" s="24" t="str">
        <f>VLOOKUP(D53,records!$A:$V,12,FALSE)</f>
        <v>71 204 754 700 021</v>
      </c>
      <c r="R53" s="24" t="s">
        <v>1220</v>
      </c>
      <c r="S53" s="24" t="str">
        <f>VLOOKUP(D53,records!$A:$U,19,FALSE)</f>
        <v>bon.nathalie@rotarex.com</v>
      </c>
      <c r="T53" s="26" t="s">
        <v>1221</v>
      </c>
      <c r="U53" s="26" t="s">
        <v>1222</v>
      </c>
      <c r="V53" s="26" t="str">
        <f>VLOOKUP($D53,records!$A:$V,3,FALSE)</f>
        <v>SOCIETE DE MECANIQUE DES TILLES sas</v>
      </c>
      <c r="W53" s="26"/>
      <c r="X53" s="26" t="str">
        <f>VLOOKUP($D53,records!$A:$V,9,FALSE)</f>
        <v>5 Rue de Labergement</v>
      </c>
      <c r="Y53" s="26" t="str">
        <f>VLOOKUP($D53,records!$A:$V,4,FALSE)</f>
        <v>GENLIS</v>
      </c>
      <c r="Z53" s="26" t="str">
        <f>VLOOKUP($D53,records!$A:$V,7,FALSE)</f>
        <v>21110</v>
      </c>
      <c r="AA53" s="26" t="s">
        <v>1223</v>
      </c>
      <c r="AB53" s="26">
        <f>VLOOKUP(O53,'records (2)'!$A:$Z,8,FALSE)</f>
        <v>30</v>
      </c>
      <c r="AC53" s="26" t="b">
        <v>0</v>
      </c>
      <c r="AD53" s="26"/>
      <c r="AE53" s="26"/>
      <c r="AF53" s="26" t="str">
        <f>VLOOKUP($D53,records!$A:$V,13,FALSE)</f>
        <v>SOCIETE DE MECANIQUE DES TILLES sas</v>
      </c>
      <c r="AG53" s="26" t="s">
        <v>1226</v>
      </c>
      <c r="AH53" s="26" t="str">
        <f>VLOOKUP($D53,records!$A:$V,19,FALSE)</f>
        <v>bon.nathalie@rotarex.com</v>
      </c>
      <c r="AI53" s="26" t="s">
        <v>1233</v>
      </c>
      <c r="AJ53" s="26" t="str">
        <f>VLOOKUP($O53,'records (2)'!$A:$Z,14,FALSE)</f>
        <v>003IV000010tIecYAE</v>
      </c>
      <c r="AK53" s="26" t="str">
        <f>VLOOKUP($O53,'records (2)'!$A:$Z,15,FALSE)</f>
        <v>Nathalie BON</v>
      </c>
      <c r="AL53" s="26" t="str">
        <f>VLOOKUP($O53,'records (2)'!$A:$Z,10,FALSE)</f>
        <v>003IV000010tIedYAE</v>
      </c>
      <c r="AM53" s="26" t="str">
        <f>VLOOKUP($O53,'records (2)'!$A:$Z,11,FALSE)</f>
        <v>Anne DEBIERRE</v>
      </c>
      <c r="AN53" s="18">
        <v>1</v>
      </c>
      <c r="AO53" s="4">
        <v>500</v>
      </c>
      <c r="AP53" s="4">
        <v>500</v>
      </c>
      <c r="AQ53" s="20"/>
      <c r="AR53" s="6"/>
    </row>
    <row r="54" spans="1:44">
      <c r="A54" s="18" t="s">
        <v>106</v>
      </c>
      <c r="B54" s="18" t="s">
        <v>107</v>
      </c>
      <c r="C54" s="18" t="s">
        <v>107</v>
      </c>
      <c r="D54" s="18" t="s">
        <v>108</v>
      </c>
      <c r="E54" s="18" t="s">
        <v>16</v>
      </c>
      <c r="F54" s="18" t="s">
        <v>17</v>
      </c>
      <c r="G54" s="18"/>
      <c r="H54" s="19" t="s">
        <v>1216</v>
      </c>
      <c r="I54" s="23" t="s">
        <v>1217</v>
      </c>
      <c r="J54" s="24">
        <v>46023</v>
      </c>
      <c r="K54" s="24">
        <v>46387</v>
      </c>
      <c r="L54" s="24" t="s">
        <v>1218</v>
      </c>
      <c r="M54" s="24" t="s">
        <v>1219</v>
      </c>
      <c r="N54" s="24">
        <v>46023</v>
      </c>
      <c r="O54" s="24" t="str">
        <f>VLOOKUP(D54,records!$A:$U,10,FALSE)</f>
        <v>0012p00004QdCmrAAF</v>
      </c>
      <c r="P54" s="24" t="str">
        <f>VLOOKUP(D54,records!$A:$V,20,FALSE)</f>
        <v>FR25301422622</v>
      </c>
      <c r="Q54" s="24" t="str">
        <f>VLOOKUP(D54,records!$A:$V,12,FALSE)</f>
        <v>30 142 262 200 029</v>
      </c>
      <c r="R54" s="24" t="s">
        <v>1220</v>
      </c>
      <c r="S54" s="24" t="str">
        <f>VLOOKUP(D54,records!$A:$U,19,FALSE)</f>
        <v>bonnefoy.achats@groupe-bonnefoy.fr</v>
      </c>
      <c r="T54" s="26" t="s">
        <v>1221</v>
      </c>
      <c r="U54" s="26" t="s">
        <v>1222</v>
      </c>
      <c r="V54" s="26" t="str">
        <f>VLOOKUP($D54,records!$A:$V,3,FALSE)</f>
        <v>J.C. BONNEFOY sas</v>
      </c>
      <c r="W54" s="26"/>
      <c r="X54" s="26" t="str">
        <f>VLOOKUP($D54,records!$A:$V,9,FALSE)</f>
        <v>ZI- 14 Rue de l'Industrie - BP28</v>
      </c>
      <c r="Y54" s="26" t="str">
        <f>VLOOKUP($D54,records!$A:$V,4,FALSE)</f>
        <v>SAONE</v>
      </c>
      <c r="Z54" s="26" t="str">
        <f>VLOOKUP($D54,records!$A:$V,7,FALSE)</f>
        <v>25660</v>
      </c>
      <c r="AA54" s="26" t="s">
        <v>1223</v>
      </c>
      <c r="AB54" s="26">
        <f>VLOOKUP(O54,'records (2)'!$A:$Z,8,FALSE)</f>
        <v>30</v>
      </c>
      <c r="AC54" s="26" t="b">
        <v>0</v>
      </c>
      <c r="AD54" s="26"/>
      <c r="AE54" s="26"/>
      <c r="AF54" s="26" t="str">
        <f>VLOOKUP($D54,records!$A:$V,13,FALSE)</f>
        <v>J.C. BONNEFOY sas</v>
      </c>
      <c r="AG54" s="26" t="s">
        <v>1226</v>
      </c>
      <c r="AH54" s="26" t="str">
        <f>VLOOKUP($D54,records!$A:$V,19,FALSE)</f>
        <v>bonnefoy.achats@groupe-bonnefoy.fr</v>
      </c>
      <c r="AI54" s="26" t="s">
        <v>1233</v>
      </c>
      <c r="AJ54" s="26" t="str">
        <f>VLOOKUP($O54,'records (2)'!$A:$Z,14,FALSE)</f>
        <v>003IV000010t2kBYAQ</v>
      </c>
      <c r="AK54" s="26" t="str">
        <f>VLOOKUP($O54,'records (2)'!$A:$Z,15,FALSE)</f>
        <v>Chantal GOSSE</v>
      </c>
      <c r="AL54" s="26" t="str">
        <f>VLOOKUP($O54,'records (2)'!$A:$Z,10,FALSE)</f>
        <v>003IV000010t2kBYAQ</v>
      </c>
      <c r="AM54" s="26" t="str">
        <f>VLOOKUP($O54,'records (2)'!$A:$Z,11,FALSE)</f>
        <v>Chantal GOSSE</v>
      </c>
      <c r="AN54" s="18">
        <v>1</v>
      </c>
      <c r="AO54" s="4">
        <v>2000</v>
      </c>
      <c r="AP54" s="4">
        <v>2000</v>
      </c>
      <c r="AQ54" s="20">
        <v>0</v>
      </c>
      <c r="AR54" s="6">
        <v>0</v>
      </c>
    </row>
    <row r="55" spans="1:44">
      <c r="A55" s="18" t="s">
        <v>402</v>
      </c>
      <c r="B55" s="18" t="s">
        <v>403</v>
      </c>
      <c r="C55" s="18" t="s">
        <v>404</v>
      </c>
      <c r="D55" s="18" t="s">
        <v>405</v>
      </c>
      <c r="E55" s="18" t="s">
        <v>16</v>
      </c>
      <c r="F55" s="18" t="s">
        <v>17</v>
      </c>
      <c r="G55" s="18"/>
      <c r="H55" s="19" t="s">
        <v>1216</v>
      </c>
      <c r="I55" s="23" t="s">
        <v>1217</v>
      </c>
      <c r="J55" s="24">
        <v>46023</v>
      </c>
      <c r="K55" s="24">
        <v>46387</v>
      </c>
      <c r="L55" s="24" t="s">
        <v>1218</v>
      </c>
      <c r="M55" s="24" t="s">
        <v>1219</v>
      </c>
      <c r="N55" s="24">
        <v>46023</v>
      </c>
      <c r="O55" s="24" t="str">
        <f>VLOOKUP(D55,records!$A:$U,10,FALSE)</f>
        <v>0012p00004NgQ3uAAF</v>
      </c>
      <c r="P55" s="24" t="str">
        <f>VLOOKUP(D55,records!$A:$V,20,FALSE)</f>
        <v>FR40499235018</v>
      </c>
      <c r="Q55" s="24" t="str">
        <f>VLOOKUP(D55,records!$A:$V,12,FALSE)</f>
        <v>49 923 501 800 011</v>
      </c>
      <c r="R55" s="24" t="s">
        <v>1220</v>
      </c>
      <c r="S55" s="24" t="str">
        <f>VLOOKUP(D55,records!$A:$U,19,FALSE)</f>
        <v>bruno.gratas@viantmedical.com</v>
      </c>
      <c r="T55" s="26" t="s">
        <v>1221</v>
      </c>
      <c r="U55" s="26" t="s">
        <v>1222</v>
      </c>
      <c r="V55" s="26" t="str">
        <f>VLOOKUP($D55,records!$A:$V,3,FALSE)</f>
        <v>VIANT CHAUMONT SAS</v>
      </c>
      <c r="W55" s="26" t="str">
        <f>IFERROR(VLOOKUP($D55,records!$A:$V,6,FALSE),)</f>
        <v>Finance</v>
      </c>
      <c r="X55" s="26" t="str">
        <f>VLOOKUP($D55,records!$A:$V,9,FALSE)</f>
        <v>4 rue Renée et Louis Landanger</v>
      </c>
      <c r="Y55" s="26" t="str">
        <f>VLOOKUP($D55,records!$A:$V,4,FALSE)</f>
        <v>CHAUMONT</v>
      </c>
      <c r="Z55" s="26" t="str">
        <f>VLOOKUP($D55,records!$A:$V,7,FALSE)</f>
        <v>52000</v>
      </c>
      <c r="AA55" s="26" t="s">
        <v>1223</v>
      </c>
      <c r="AB55" s="26">
        <f>VLOOKUP(O55,'records (2)'!$A:$Z,8,FALSE)</f>
        <v>30</v>
      </c>
      <c r="AC55" s="26" t="b">
        <v>0</v>
      </c>
      <c r="AD55" s="26"/>
      <c r="AE55" s="26"/>
      <c r="AF55" s="26" t="str">
        <f>VLOOKUP($D55,records!$A:$V,13,FALSE)</f>
        <v>VIANT CHAUMONT SAS</v>
      </c>
      <c r="AG55" s="26" t="s">
        <v>1226</v>
      </c>
      <c r="AH55" s="26" t="str">
        <f>VLOOKUP($D55,records!$A:$V,19,FALSE)</f>
        <v>bruno.gratas@viantmedical.com</v>
      </c>
      <c r="AI55" s="26" t="s">
        <v>1233</v>
      </c>
      <c r="AJ55" s="26" t="str">
        <f>VLOOKUP($O55,'records (2)'!$A:$Z,14,FALSE)</f>
        <v>003IV000010tQHtYAM</v>
      </c>
      <c r="AK55" s="26" t="str">
        <f>VLOOKUP($O55,'records (2)'!$A:$Z,15,FALSE)</f>
        <v>Bruno GRATAS</v>
      </c>
      <c r="AL55" s="26" t="str">
        <f>VLOOKUP($O55,'records (2)'!$A:$Z,10,FALSE)</f>
        <v>003IV000010tQHtYAM</v>
      </c>
      <c r="AM55" s="26" t="str">
        <f>VLOOKUP($O55,'records (2)'!$A:$Z,11,FALSE)</f>
        <v>Bruno GRATAS</v>
      </c>
      <c r="AN55" s="18">
        <v>1</v>
      </c>
      <c r="AO55" s="4">
        <v>2000</v>
      </c>
      <c r="AP55" s="4">
        <v>2000</v>
      </c>
      <c r="AQ55" s="20">
        <v>0</v>
      </c>
      <c r="AR55" s="6">
        <v>0</v>
      </c>
    </row>
    <row r="56" spans="1:44">
      <c r="A56" s="18" t="s">
        <v>67</v>
      </c>
      <c r="B56" s="18" t="s">
        <v>68</v>
      </c>
      <c r="C56" s="18" t="s">
        <v>68</v>
      </c>
      <c r="D56" s="18" t="s">
        <v>69</v>
      </c>
      <c r="E56" s="18" t="s">
        <v>16</v>
      </c>
      <c r="F56" s="18" t="s">
        <v>17</v>
      </c>
      <c r="G56" s="18"/>
      <c r="H56" s="19" t="s">
        <v>1216</v>
      </c>
      <c r="I56" s="23" t="s">
        <v>1217</v>
      </c>
      <c r="J56" s="24">
        <v>46023</v>
      </c>
      <c r="K56" s="24">
        <v>46387</v>
      </c>
      <c r="L56" s="24" t="s">
        <v>1218</v>
      </c>
      <c r="M56" s="24" t="s">
        <v>1219</v>
      </c>
      <c r="N56" s="24">
        <v>46023</v>
      </c>
      <c r="O56" s="24" t="str">
        <f>VLOOKUP(D56,records!$A:$U,10,FALSE)</f>
        <v>0012p00004TzX0NAAV</v>
      </c>
      <c r="P56" s="24" t="str">
        <f>VLOOKUP(D56,records!$A:$V,20,FALSE)</f>
        <v>FR42180092538</v>
      </c>
      <c r="Q56" s="24" t="str">
        <f>VLOOKUP(D56,records!$A:$V,12,FALSE)</f>
        <v>18 009 253 800 024</v>
      </c>
      <c r="R56" s="24" t="s">
        <v>1220</v>
      </c>
      <c r="S56" s="24" t="str">
        <f>VLOOKUP(D56,records!$A:$U,19,FALSE)</f>
        <v>bureau.formation@angdm.fr</v>
      </c>
      <c r="T56" s="26" t="s">
        <v>1221</v>
      </c>
      <c r="U56" s="26" t="s">
        <v>1222</v>
      </c>
      <c r="V56" s="26" t="str">
        <f>VLOOKUP($D56,records!$A:$V,3,FALSE)</f>
        <v>AGENCE NATIONALE POUR LA GARANTIE DES DROITS DES MINEURS - ANGDM</v>
      </c>
      <c r="W56" s="26" t="str">
        <f>IFERROR(VLOOKUP($D56,records!$A:$V,6,FALSE),)</f>
        <v>CENTRE DE GESTION</v>
      </c>
      <c r="X56" s="26" t="str">
        <f>VLOOKUP($D56,records!$A:$V,9,FALSE)</f>
        <v>110 Avenue de la fosse 23</v>
      </c>
      <c r="Y56" s="26" t="str">
        <f>VLOOKUP($D56,records!$A:$V,4,FALSE)</f>
        <v>NOYELLES SOUS LENS</v>
      </c>
      <c r="Z56" s="26" t="str">
        <f>VLOOKUP($D56,records!$A:$V,7,FALSE)</f>
        <v>62221</v>
      </c>
      <c r="AA56" s="26" t="s">
        <v>1223</v>
      </c>
      <c r="AB56" s="26">
        <f>VLOOKUP(O56,'records (2)'!$A:$Z,8,FALSE)</f>
        <v>30</v>
      </c>
      <c r="AC56" s="26" t="b">
        <v>0</v>
      </c>
      <c r="AD56" s="26"/>
      <c r="AE56" s="26"/>
      <c r="AF56" s="26" t="str">
        <f>VLOOKUP($D56,records!$A:$V,13,FALSE)</f>
        <v>AGENCE NATIONALE POUR LA GARANTIE DES DROITS DES MINEURS - ANGDM</v>
      </c>
      <c r="AG56" s="26" t="s">
        <v>1226</v>
      </c>
      <c r="AH56" s="26" t="str">
        <f>VLOOKUP($D56,records!$A:$V,19,FALSE)</f>
        <v>bureau.formation@angdm.fr</v>
      </c>
      <c r="AI56" s="26" t="s">
        <v>1233</v>
      </c>
      <c r="AJ56" s="26" t="str">
        <f>VLOOKUP($O56,'records (2)'!$A:$Z,14,FALSE)</f>
        <v>003IV000010tQITYA2</v>
      </c>
      <c r="AK56" s="26" t="str">
        <f>VLOOKUP($O56,'records (2)'!$A:$Z,15,FALSE)</f>
        <v>Stéphanie LEMARCHAND</v>
      </c>
      <c r="AL56" s="26" t="str">
        <f>VLOOKUP($O56,'records (2)'!$A:$Z,10,FALSE)</f>
        <v>003IV000010tQITYA2</v>
      </c>
      <c r="AM56" s="26" t="str">
        <f>VLOOKUP($O56,'records (2)'!$A:$Z,11,FALSE)</f>
        <v>Stéphanie LEMARCHAND</v>
      </c>
      <c r="AN56" s="18">
        <v>1</v>
      </c>
      <c r="AO56" s="4">
        <v>1000</v>
      </c>
      <c r="AP56" s="4">
        <v>1000</v>
      </c>
      <c r="AQ56" s="20"/>
      <c r="AR56" s="6"/>
    </row>
    <row r="57" spans="1:44">
      <c r="A57" s="18" t="s">
        <v>899</v>
      </c>
      <c r="B57" s="18" t="s">
        <v>900</v>
      </c>
      <c r="C57" s="18" t="s">
        <v>900</v>
      </c>
      <c r="D57" s="18" t="s">
        <v>901</v>
      </c>
      <c r="E57" s="18" t="s">
        <v>52</v>
      </c>
      <c r="F57" s="18" t="s">
        <v>53</v>
      </c>
      <c r="G57" s="18"/>
      <c r="H57" s="19" t="s">
        <v>1216</v>
      </c>
      <c r="I57" s="23" t="s">
        <v>1217</v>
      </c>
      <c r="J57" s="24">
        <v>46023</v>
      </c>
      <c r="K57" s="24">
        <v>46387</v>
      </c>
      <c r="L57" s="24" t="s">
        <v>1218</v>
      </c>
      <c r="M57" s="24" t="s">
        <v>1219</v>
      </c>
      <c r="N57" s="24">
        <v>46023</v>
      </c>
      <c r="O57" s="24" t="str">
        <f>VLOOKUP(D57,records!$A:$U,10,FALSE)</f>
        <v>001SZ0000021G4qYAE</v>
      </c>
      <c r="P57" s="24" t="str">
        <f>VLOOKUP(D57,records!$A:$V,20,FALSE)</f>
        <v>FR75070503016</v>
      </c>
      <c r="Q57" s="24" t="str">
        <f>VLOOKUP(D57,records!$A:$V,12,FALSE)</f>
        <v>7 050 301 600 035</v>
      </c>
      <c r="R57" s="24" t="s">
        <v>1220</v>
      </c>
      <c r="S57" s="24" t="str">
        <f>VLOOKUP(D57,records!$A:$U,19,FALSE)</f>
        <v>c.latil@socamel.com</v>
      </c>
      <c r="T57" s="26" t="s">
        <v>1221</v>
      </c>
      <c r="U57" s="26" t="s">
        <v>1222</v>
      </c>
      <c r="V57" s="26" t="str">
        <f>VLOOKUP($D57,records!$A:$V,3,FALSE)</f>
        <v>SOCAMEL TECHNOLOGIES sas</v>
      </c>
      <c r="W57" s="26"/>
      <c r="X57" s="26" t="str">
        <f>VLOOKUP($D57,records!$A:$V,9,FALSE)</f>
        <v>Descente Allivet</v>
      </c>
      <c r="Y57" s="26" t="str">
        <f>VLOOKUP($D57,records!$A:$V,4,FALSE)</f>
        <v>RENAGE</v>
      </c>
      <c r="Z57" s="26" t="str">
        <f>VLOOKUP($D57,records!$A:$V,7,FALSE)</f>
        <v>38140</v>
      </c>
      <c r="AA57" s="26" t="s">
        <v>1223</v>
      </c>
      <c r="AB57" s="26">
        <f>VLOOKUP(O57,'records (2)'!$A:$Z,8,FALSE)</f>
        <v>30</v>
      </c>
      <c r="AC57" s="26" t="b">
        <v>0</v>
      </c>
      <c r="AD57" s="26"/>
      <c r="AE57" s="26"/>
      <c r="AF57" s="26" t="str">
        <f>VLOOKUP($D57,records!$A:$V,13,FALSE)</f>
        <v>SOCAMEL TECHNOLOGIES sas</v>
      </c>
      <c r="AG57" s="26" t="s">
        <v>1226</v>
      </c>
      <c r="AH57" s="26" t="str">
        <f>VLOOKUP($D57,records!$A:$V,19,FALSE)</f>
        <v>c.latil@socamel.com</v>
      </c>
      <c r="AI57" s="26" t="s">
        <v>1233</v>
      </c>
      <c r="AJ57" s="26" t="str">
        <f>VLOOKUP($O57,'records (2)'!$A:$Z,14,FALSE)</f>
        <v>003IV000010tSkaYAE</v>
      </c>
      <c r="AK57" s="26" t="str">
        <f>VLOOKUP($O57,'records (2)'!$A:$Z,15,FALSE)</f>
        <v>Carine LATIL</v>
      </c>
      <c r="AL57" s="26" t="str">
        <f>VLOOKUP($O57,'records (2)'!$A:$Z,10,FALSE)</f>
        <v>003IV000010tSkaYAE</v>
      </c>
      <c r="AM57" s="26" t="str">
        <f>VLOOKUP($O57,'records (2)'!$A:$Z,11,FALSE)</f>
        <v>Carine LATIL</v>
      </c>
      <c r="AN57" s="18">
        <v>1</v>
      </c>
      <c r="AO57" s="4">
        <v>500</v>
      </c>
      <c r="AP57" s="4">
        <v>500</v>
      </c>
      <c r="AQ57" s="20">
        <v>0</v>
      </c>
      <c r="AR57" s="6">
        <v>0</v>
      </c>
    </row>
    <row r="58" spans="1:44">
      <c r="A58" s="18" t="s">
        <v>203</v>
      </c>
      <c r="B58" s="18" t="s">
        <v>204</v>
      </c>
      <c r="C58" s="18" t="s">
        <v>205</v>
      </c>
      <c r="D58" s="18" t="s">
        <v>206</v>
      </c>
      <c r="E58" s="18" t="s">
        <v>16</v>
      </c>
      <c r="F58" s="18" t="s">
        <v>17</v>
      </c>
      <c r="G58" s="18"/>
      <c r="H58" s="19" t="s">
        <v>1216</v>
      </c>
      <c r="I58" s="23" t="s">
        <v>1217</v>
      </c>
      <c r="J58" s="24">
        <v>46023</v>
      </c>
      <c r="K58" s="24">
        <v>46387</v>
      </c>
      <c r="L58" s="24" t="s">
        <v>1218</v>
      </c>
      <c r="M58" s="24" t="s">
        <v>1219</v>
      </c>
      <c r="N58" s="24">
        <v>46023</v>
      </c>
      <c r="O58" s="24" t="str">
        <f>VLOOKUP(D58,records!$A:$U,10,FALSE)</f>
        <v>001SZ000003WtXqYAK</v>
      </c>
      <c r="P58" s="24" t="str">
        <f>VLOOKUP(D58,records!$A:$V,20,FALSE)</f>
        <v>FR23483005328</v>
      </c>
      <c r="Q58" s="24" t="str">
        <f>VLOOKUP(D58,records!$A:$V,12,FALSE)</f>
        <v>48 300 532 800 040</v>
      </c>
      <c r="R58" s="24" t="s">
        <v>1220</v>
      </c>
      <c r="S58" s="24" t="str">
        <f>VLOOKUP(D58,records!$A:$U,19,FALSE)</f>
        <v>camille.meurin@kraftheinz.com</v>
      </c>
      <c r="T58" s="26" t="s">
        <v>1221</v>
      </c>
      <c r="U58" s="26" t="s">
        <v>1222</v>
      </c>
      <c r="V58" s="26" t="str">
        <f>VLOOKUP($D58,records!$A:$V,3,FALSE)</f>
        <v>H.J. HEINZ FRANCE sasu</v>
      </c>
      <c r="W58" s="26"/>
      <c r="X58" s="26" t="str">
        <f>VLOOKUP($D58,records!$A:$V,9,FALSE)</f>
        <v>18 Rue Marx Dormoy</v>
      </c>
      <c r="Y58" s="26" t="str">
        <f>VLOOKUP($D58,records!$A:$V,4,FALSE)</f>
        <v>SECLIN</v>
      </c>
      <c r="Z58" s="26" t="str">
        <f>VLOOKUP($D58,records!$A:$V,7,FALSE)</f>
        <v>59113</v>
      </c>
      <c r="AA58" s="26" t="s">
        <v>1223</v>
      </c>
      <c r="AB58" s="26">
        <f>VLOOKUP(O58,'records (2)'!$A:$Z,8,FALSE)</f>
        <v>30</v>
      </c>
      <c r="AC58" s="26" t="b">
        <f>VLOOKUP(O58,'records (4)'!$A:$C,3,FALSE)</f>
        <v>1</v>
      </c>
      <c r="AD58" s="26" t="s">
        <v>1225</v>
      </c>
      <c r="AE58" s="24">
        <v>46023</v>
      </c>
      <c r="AF58" s="26" t="str">
        <f>VLOOKUP($D58,records!$A:$V,13,FALSE)</f>
        <v>H.J. HEINZ FRANCE sasu</v>
      </c>
      <c r="AG58" s="26" t="s">
        <v>1226</v>
      </c>
      <c r="AH58" s="26" t="str">
        <f>VLOOKUP($D58,records!$A:$V,19,FALSE)</f>
        <v>camille.meurin@kraftheinz.com</v>
      </c>
      <c r="AI58" s="26" t="s">
        <v>1233</v>
      </c>
      <c r="AJ58" s="26" t="str">
        <f>VLOOKUP($O58,'records (2)'!$A:$Z,14,FALSE)</f>
        <v>003IV000010t7tcYAA</v>
      </c>
      <c r="AK58" s="26" t="str">
        <f>VLOOKUP($O58,'records (2)'!$A:$Z,15,FALSE)</f>
        <v>Camille MEURIN</v>
      </c>
      <c r="AL58" s="26" t="str">
        <f>VLOOKUP($O58,'records (2)'!$A:$Z,10,FALSE)</f>
        <v>003IV000010t7tcYAA</v>
      </c>
      <c r="AM58" s="26" t="str">
        <f>VLOOKUP($O58,'records (2)'!$A:$Z,11,FALSE)</f>
        <v>Camille MEURIN</v>
      </c>
      <c r="AN58" s="18">
        <v>1</v>
      </c>
      <c r="AO58" s="4">
        <v>1000</v>
      </c>
      <c r="AP58" s="4">
        <v>1000</v>
      </c>
      <c r="AQ58" s="20">
        <v>0</v>
      </c>
      <c r="AR58" s="6">
        <v>0</v>
      </c>
    </row>
    <row r="59" spans="1:44">
      <c r="A59" s="18" t="s">
        <v>645</v>
      </c>
      <c r="B59" s="18" t="s">
        <v>646</v>
      </c>
      <c r="C59" s="18" t="s">
        <v>647</v>
      </c>
      <c r="D59" s="18" t="s">
        <v>648</v>
      </c>
      <c r="E59" s="18" t="s">
        <v>52</v>
      </c>
      <c r="F59" s="18" t="s">
        <v>53</v>
      </c>
      <c r="G59" s="18"/>
      <c r="H59" s="19" t="s">
        <v>1216</v>
      </c>
      <c r="I59" s="23" t="s">
        <v>1217</v>
      </c>
      <c r="J59" s="24">
        <v>46023</v>
      </c>
      <c r="K59" s="24">
        <v>46387</v>
      </c>
      <c r="L59" s="24" t="s">
        <v>1218</v>
      </c>
      <c r="M59" s="24" t="s">
        <v>1219</v>
      </c>
      <c r="N59" s="24">
        <v>46023</v>
      </c>
      <c r="O59" s="24" t="str">
        <f>VLOOKUP(D59,records!$A:$U,10,FALSE)</f>
        <v>001SZ000007aM4TYAU</v>
      </c>
      <c r="P59" s="24" t="str">
        <f>VLOOKUP(D59,records!$A:$V,20,FALSE)</f>
        <v>FR75492787957</v>
      </c>
      <c r="Q59" s="24" t="str">
        <f>VLOOKUP(D59,records!$A:$V,12,FALSE)</f>
        <v>49 278 795 700 041</v>
      </c>
      <c r="R59" s="24" t="s">
        <v>1220</v>
      </c>
      <c r="S59" s="24" t="str">
        <f>VLOOKUP(D59,records!$A:$U,19,FALSE)</f>
        <v>camille.niquet@grandvision.fr</v>
      </c>
      <c r="T59" s="26" t="s">
        <v>1221</v>
      </c>
      <c r="U59" s="26" t="s">
        <v>1222</v>
      </c>
      <c r="V59" s="26" t="str">
        <f>VLOOKUP($D59,records!$A:$V,3,FALSE)</f>
        <v>GRANDVISION FRANCE sasu</v>
      </c>
      <c r="W59" s="26"/>
      <c r="X59" s="26" t="str">
        <f>VLOOKUP($D59,records!$A:$V,9,FALSE)</f>
        <v>Rue du Four à Chaux - ZA DES LOUAITIERES</v>
      </c>
      <c r="Y59" s="26" t="str">
        <f>VLOOKUP($D59,records!$A:$V,4,FALSE)</f>
        <v>NOUAN-LE-FUZELIER</v>
      </c>
      <c r="Z59" s="26" t="str">
        <f>VLOOKUP($D59,records!$A:$V,7,FALSE)</f>
        <v>41600</v>
      </c>
      <c r="AA59" s="26" t="s">
        <v>1223</v>
      </c>
      <c r="AB59" s="26">
        <f>VLOOKUP(O59,'records (2)'!$A:$Z,8,FALSE)</f>
        <v>30</v>
      </c>
      <c r="AC59" s="26" t="b">
        <v>0</v>
      </c>
      <c r="AD59" s="26"/>
      <c r="AE59" s="26"/>
      <c r="AF59" s="26" t="str">
        <f>VLOOKUP($D59,records!$A:$V,13,FALSE)</f>
        <v>GRANDVISION FRANCE sasu</v>
      </c>
      <c r="AG59" s="26" t="s">
        <v>1226</v>
      </c>
      <c r="AH59" s="26" t="str">
        <f>VLOOKUP($D59,records!$A:$V,19,FALSE)</f>
        <v>camille.niquet@grandvision.fr</v>
      </c>
      <c r="AI59" s="26" t="s">
        <v>1233</v>
      </c>
      <c r="AJ59" s="26" t="str">
        <f>VLOOKUP($O59,'records (2)'!$A:$Z,14,FALSE)</f>
        <v>003IV000010t1X4YAI</v>
      </c>
      <c r="AK59" s="26" t="str">
        <f>VLOOKUP($O59,'records (2)'!$A:$Z,15,FALSE)</f>
        <v>Camille NIQUET</v>
      </c>
      <c r="AL59" s="26" t="str">
        <f>VLOOKUP($O59,'records (2)'!$A:$Z,10,FALSE)</f>
        <v>003IV000010t1X4YAI</v>
      </c>
      <c r="AM59" s="26" t="str">
        <f>VLOOKUP($O59,'records (2)'!$A:$Z,11,FALSE)</f>
        <v>Camille NIQUET</v>
      </c>
      <c r="AN59" s="18">
        <v>1</v>
      </c>
      <c r="AO59" s="4">
        <v>1500</v>
      </c>
      <c r="AP59" s="4">
        <v>1500</v>
      </c>
      <c r="AQ59" s="20">
        <v>0</v>
      </c>
      <c r="AR59" s="6">
        <v>0</v>
      </c>
    </row>
    <row r="60" spans="1:44">
      <c r="A60" s="18" t="s">
        <v>291</v>
      </c>
      <c r="B60" s="18" t="s">
        <v>292</v>
      </c>
      <c r="C60" s="18" t="s">
        <v>293</v>
      </c>
      <c r="D60" s="18" t="s">
        <v>294</v>
      </c>
      <c r="E60" s="18" t="s">
        <v>16</v>
      </c>
      <c r="F60" s="18" t="s">
        <v>17</v>
      </c>
      <c r="G60" s="18"/>
      <c r="H60" s="19" t="s">
        <v>1216</v>
      </c>
      <c r="I60" s="23" t="s">
        <v>1217</v>
      </c>
      <c r="J60" s="24">
        <v>46023</v>
      </c>
      <c r="K60" s="24">
        <v>46387</v>
      </c>
      <c r="L60" s="24" t="s">
        <v>1218</v>
      </c>
      <c r="M60" s="24" t="s">
        <v>1219</v>
      </c>
      <c r="N60" s="24">
        <v>46023</v>
      </c>
      <c r="O60" s="24" t="str">
        <f>VLOOKUP(D60,records!$A:$U,10,FALSE)</f>
        <v>0012p00004QwpRfAAJ</v>
      </c>
      <c r="P60" s="24" t="str">
        <f>VLOOKUP(D60,records!$A:$V,20,FALSE)</f>
        <v>FR45403221930</v>
      </c>
      <c r="Q60" s="24" t="str">
        <f>VLOOKUP(D60,records!$A:$V,12,FALSE)</f>
        <v>40 322 193 000 023</v>
      </c>
      <c r="R60" s="24" t="s">
        <v>1220</v>
      </c>
      <c r="S60" s="24" t="str">
        <f>VLOOKUP(D60,records!$A:$U,19,FALSE)</f>
        <v>carole.tardieu@mm.group</v>
      </c>
      <c r="T60" s="26" t="s">
        <v>1221</v>
      </c>
      <c r="U60" s="26" t="s">
        <v>1222</v>
      </c>
      <c r="V60" s="26" t="str">
        <f>VLOOKUP($D60,records!$A:$V,3,FALSE)</f>
        <v>MMP PACKETIS SAS</v>
      </c>
      <c r="W60" s="26"/>
      <c r="X60" s="26" t="str">
        <f>VLOOKUP($D60,records!$A:$V,9,FALSE)</f>
        <v>Treille</v>
      </c>
      <c r="Y60" s="26" t="str">
        <f>VLOOKUP($D60,records!$A:$V,4,FALSE)</f>
        <v>CHAZELLES</v>
      </c>
      <c r="Z60" s="26" t="str">
        <f>VLOOKUP($D60,records!$A:$V,7,FALSE)</f>
        <v>16380</v>
      </c>
      <c r="AA60" s="26" t="s">
        <v>1223</v>
      </c>
      <c r="AB60" s="26">
        <f>VLOOKUP(O60,'records (2)'!$A:$Z,8,FALSE)</f>
        <v>30</v>
      </c>
      <c r="AC60" s="26" t="b">
        <v>0</v>
      </c>
      <c r="AD60" s="26"/>
      <c r="AE60" s="26"/>
      <c r="AF60" s="26" t="str">
        <f>VLOOKUP($D60,records!$A:$V,13,FALSE)</f>
        <v>MMP PACKETIS SAS</v>
      </c>
      <c r="AG60" s="26" t="s">
        <v>1226</v>
      </c>
      <c r="AH60" s="26" t="str">
        <f>VLOOKUP($D60,records!$A:$V,19,FALSE)</f>
        <v>carole.tardieu@mm.group</v>
      </c>
      <c r="AI60" s="26" t="s">
        <v>1233</v>
      </c>
      <c r="AJ60" s="26" t="str">
        <f>VLOOKUP($O60,'records (2)'!$A:$Z,14,FALSE)</f>
        <v>003IV000010s6QzYAI</v>
      </c>
      <c r="AK60" s="26" t="str">
        <f>VLOOKUP($O60,'records (2)'!$A:$Z,15,FALSE)</f>
        <v>David JUBIEN</v>
      </c>
      <c r="AL60" s="26" t="str">
        <f>VLOOKUP($O60,'records (2)'!$A:$Z,10,FALSE)</f>
        <v>003IV000010s6QzYAI</v>
      </c>
      <c r="AM60" s="26" t="str">
        <f>VLOOKUP($O60,'records (2)'!$A:$Z,11,FALSE)</f>
        <v>David JUBIEN</v>
      </c>
      <c r="AN60" s="18">
        <v>1</v>
      </c>
      <c r="AO60" s="4">
        <v>4000</v>
      </c>
      <c r="AP60" s="4">
        <v>4000</v>
      </c>
      <c r="AQ60" s="20">
        <v>0</v>
      </c>
      <c r="AR60" s="6">
        <v>0</v>
      </c>
    </row>
    <row r="61" spans="1:44">
      <c r="A61" s="18" t="s">
        <v>387</v>
      </c>
      <c r="B61" s="18" t="s">
        <v>388</v>
      </c>
      <c r="C61" s="18" t="s">
        <v>389</v>
      </c>
      <c r="D61" s="18" t="s">
        <v>390</v>
      </c>
      <c r="E61" s="18" t="s">
        <v>16</v>
      </c>
      <c r="F61" s="18" t="s">
        <v>17</v>
      </c>
      <c r="G61" s="18"/>
      <c r="H61" s="19" t="s">
        <v>1216</v>
      </c>
      <c r="I61" s="23" t="s">
        <v>1217</v>
      </c>
      <c r="J61" s="24">
        <v>46023</v>
      </c>
      <c r="K61" s="24">
        <v>46387</v>
      </c>
      <c r="L61" s="24" t="s">
        <v>1218</v>
      </c>
      <c r="M61" s="24" t="s">
        <v>1219</v>
      </c>
      <c r="N61" s="24">
        <v>46023</v>
      </c>
      <c r="O61" s="24" t="str">
        <f>VLOOKUP(D61,records!$A:$U,10,FALSE)</f>
        <v>0012p00004MXgKGAA1</v>
      </c>
      <c r="P61" s="24" t="str">
        <f>VLOOKUP(D61,records!$A:$V,20,FALSE)</f>
        <v>FR06389316191</v>
      </c>
      <c r="Q61" s="24" t="str">
        <f>VLOOKUP(D61,records!$A:$V,12,FALSE)</f>
        <v>38 931 619 100 037</v>
      </c>
      <c r="R61" s="24" t="s">
        <v>1220</v>
      </c>
      <c r="S61" s="24" t="str">
        <f>VLOOKUP(D61,records!$A:$U,19,FALSE)</f>
        <v>cbelmere@toyoink-europe.com</v>
      </c>
      <c r="T61" s="26" t="s">
        <v>1221</v>
      </c>
      <c r="U61" s="26" t="s">
        <v>1222</v>
      </c>
      <c r="V61" s="26" t="str">
        <f>VLOOKUP($D61,records!$A:$V,3,FALSE)</f>
        <v>TOYO INK EUROPE SPECIALTY CHEMICALS sasu</v>
      </c>
      <c r="W61" s="26"/>
      <c r="X61" s="26" t="str">
        <f>VLOOKUP($D61,records!$A:$V,9,FALSE)</f>
        <v>Boulevard Dambourney</v>
      </c>
      <c r="Y61" s="26" t="str">
        <f>VLOOKUP($D61,records!$A:$V,4,FALSE)</f>
        <v>OISSEL</v>
      </c>
      <c r="Z61" s="26" t="str">
        <f>VLOOKUP($D61,records!$A:$V,7,FALSE)</f>
        <v>76350</v>
      </c>
      <c r="AA61" s="26" t="s">
        <v>1223</v>
      </c>
      <c r="AB61" s="26">
        <f>VLOOKUP(O61,'records (2)'!$A:$Z,8,FALSE)</f>
        <v>30</v>
      </c>
      <c r="AC61" s="26" t="b">
        <v>0</v>
      </c>
      <c r="AD61" s="26"/>
      <c r="AE61" s="26"/>
      <c r="AF61" s="26" t="str">
        <f>VLOOKUP($D61,records!$A:$V,13,FALSE)</f>
        <v>TOYO INK EUROPE SPECIALTY CHEMICALS sasu</v>
      </c>
      <c r="AG61" s="26" t="s">
        <v>1226</v>
      </c>
      <c r="AH61" s="26" t="str">
        <f>VLOOKUP($D61,records!$A:$V,19,FALSE)</f>
        <v>cbelmere@toyoink-europe.com</v>
      </c>
      <c r="AI61" s="26" t="s">
        <v>1233</v>
      </c>
      <c r="AJ61" s="26" t="str">
        <f>VLOOKUP($O61,'records (2)'!$A:$Z,14,FALSE)</f>
        <v>003IV000010sxFfYAI</v>
      </c>
      <c r="AK61" s="26" t="str">
        <f>VLOOKUP($O61,'records (2)'!$A:$Z,15,FALSE)</f>
        <v>Nadia HAMMOUANI</v>
      </c>
      <c r="AL61" s="26" t="str">
        <f>VLOOKUP($O61,'records (2)'!$A:$Z,10,FALSE)</f>
        <v>003IV000010sxFfYAI</v>
      </c>
      <c r="AM61" s="26" t="str">
        <f>VLOOKUP($O61,'records (2)'!$A:$Z,11,FALSE)</f>
        <v>Nadia HAMMOUANI</v>
      </c>
      <c r="AN61" s="18">
        <v>1</v>
      </c>
      <c r="AO61" s="4">
        <v>1000</v>
      </c>
      <c r="AP61" s="4">
        <v>1000</v>
      </c>
      <c r="AQ61" s="20">
        <v>0</v>
      </c>
      <c r="AR61" s="6">
        <v>0</v>
      </c>
    </row>
    <row r="62" spans="1:44">
      <c r="A62" s="18" t="s">
        <v>775</v>
      </c>
      <c r="B62" s="18" t="s">
        <v>776</v>
      </c>
      <c r="C62" s="18" t="s">
        <v>777</v>
      </c>
      <c r="D62" s="18" t="s">
        <v>778</v>
      </c>
      <c r="E62" s="18" t="s">
        <v>52</v>
      </c>
      <c r="F62" s="18" t="s">
        <v>53</v>
      </c>
      <c r="G62" s="18"/>
      <c r="H62" s="19" t="s">
        <v>1216</v>
      </c>
      <c r="I62" s="23" t="s">
        <v>1217</v>
      </c>
      <c r="J62" s="24">
        <v>46023</v>
      </c>
      <c r="K62" s="24">
        <v>46387</v>
      </c>
      <c r="L62" s="24" t="s">
        <v>1218</v>
      </c>
      <c r="M62" s="24" t="s">
        <v>1219</v>
      </c>
      <c r="N62" s="24">
        <v>46023</v>
      </c>
      <c r="O62" s="24" t="str">
        <f>VLOOKUP(D62,records!$A:$U,10,FALSE)</f>
        <v>001SZ000008DnhTYAS</v>
      </c>
      <c r="P62" s="24" t="str">
        <f>VLOOKUP(D62,records!$A:$V,20,FALSE)</f>
        <v>FR10444575120</v>
      </c>
      <c r="Q62" s="24" t="str">
        <f>VLOOKUP(D62,records!$A:$V,12,FALSE)</f>
        <v>44 457 512 000 019</v>
      </c>
      <c r="R62" s="24" t="s">
        <v>1220</v>
      </c>
      <c r="S62" s="24" t="s">
        <v>1238</v>
      </c>
      <c r="T62" s="26" t="s">
        <v>1237</v>
      </c>
      <c r="U62" s="26" t="s">
        <v>1222</v>
      </c>
      <c r="V62" s="26" t="str">
        <f>VLOOKUP($D62,records!$A:$V,3,FALSE)</f>
        <v>MOY PARK FRANCE sas</v>
      </c>
      <c r="W62" s="26"/>
      <c r="X62" s="26" t="str">
        <f>VLOOKUP($D62,records!$A:$V,9,FALSE)</f>
        <v>712 Chemin de Noyelles</v>
      </c>
      <c r="Y62" s="26" t="str">
        <f>VLOOKUP($D62,records!$A:$V,4,FALSE)</f>
        <v>HENIN-BEAUMONT</v>
      </c>
      <c r="Z62" s="26" t="str">
        <f>VLOOKUP($D62,records!$A:$V,7,FALSE)</f>
        <v>72110</v>
      </c>
      <c r="AA62" s="26" t="s">
        <v>1223</v>
      </c>
      <c r="AB62" s="26">
        <f>VLOOKUP(O62,'records (2)'!$A:$Z,8,FALSE)</f>
        <v>30</v>
      </c>
      <c r="AC62" s="26" t="b">
        <v>0</v>
      </c>
      <c r="AD62" s="26"/>
      <c r="AE62" s="26"/>
      <c r="AF62" s="26" t="str">
        <f>VLOOKUP($D62,records!$A:$V,13,FALSE)</f>
        <v>MOY PARK FRANCE sas</v>
      </c>
      <c r="AG62" s="26" t="s">
        <v>1226</v>
      </c>
      <c r="AH62" s="26" t="s">
        <v>1238</v>
      </c>
      <c r="AI62" s="26" t="s">
        <v>1233</v>
      </c>
      <c r="AJ62" s="26" t="str">
        <f>VLOOKUP($O62,'records (2)'!$A:$Z,14,FALSE)</f>
        <v>003IV000010su9HYAQ</v>
      </c>
      <c r="AK62" s="26" t="str">
        <f>VLOOKUP($O62,'records (2)'!$A:$Z,15,FALSE)</f>
        <v>Carine CAPELLE</v>
      </c>
      <c r="AL62" s="26" t="str">
        <f>VLOOKUP($O62,'records (2)'!$A:$Z,10,FALSE)</f>
        <v>003IV000010su9HYAQ</v>
      </c>
      <c r="AM62" s="26" t="str">
        <f>VLOOKUP($O62,'records (2)'!$A:$Z,11,FALSE)</f>
        <v>Carine CAPELLE</v>
      </c>
      <c r="AN62" s="18">
        <v>1</v>
      </c>
      <c r="AO62" s="4">
        <v>500</v>
      </c>
      <c r="AP62" s="4">
        <v>500</v>
      </c>
      <c r="AQ62" s="20">
        <v>0</v>
      </c>
      <c r="AR62" s="6">
        <v>0</v>
      </c>
    </row>
    <row r="63" spans="1:44">
      <c r="A63" s="18" t="s">
        <v>457</v>
      </c>
      <c r="B63" s="18" t="s">
        <v>458</v>
      </c>
      <c r="C63" s="18" t="s">
        <v>458</v>
      </c>
      <c r="D63" s="18" t="s">
        <v>459</v>
      </c>
      <c r="E63" s="18" t="s">
        <v>52</v>
      </c>
      <c r="F63" s="18" t="s">
        <v>53</v>
      </c>
      <c r="G63" s="18"/>
      <c r="H63" s="19" t="s">
        <v>1216</v>
      </c>
      <c r="I63" s="23" t="s">
        <v>1217</v>
      </c>
      <c r="J63" s="24">
        <v>46023</v>
      </c>
      <c r="K63" s="24">
        <v>46387</v>
      </c>
      <c r="L63" s="24" t="s">
        <v>1218</v>
      </c>
      <c r="M63" s="24" t="s">
        <v>1219</v>
      </c>
      <c r="N63" s="24">
        <v>46023</v>
      </c>
      <c r="O63" s="24" t="str">
        <f>VLOOKUP(D63,records!$A:$U,10,FALSE)</f>
        <v>0012p00004Ovfx1AAB</v>
      </c>
      <c r="P63" s="24" t="str">
        <f>VLOOKUP(D63,records!$A:$V,20,FALSE)</f>
        <v>FR61058801481</v>
      </c>
      <c r="Q63" s="24" t="str">
        <f>VLOOKUP(D63,records!$A:$V,12,FALSE)</f>
        <v>5 880 148 101 264</v>
      </c>
      <c r="R63" s="24" t="s">
        <v>1220</v>
      </c>
      <c r="S63" s="24" t="str">
        <f>VLOOKUP(D63,records!$A:$U,19,FALSE)</f>
        <v>cecile.geoffroy@bpmed.fr</v>
      </c>
      <c r="T63" s="26" t="s">
        <v>1221</v>
      </c>
      <c r="U63" s="26" t="s">
        <v>1222</v>
      </c>
      <c r="V63" s="26" t="str">
        <f>VLOOKUP($D63,records!$A:$V,3,FALSE)</f>
        <v>BANQUE POPULAIRE MEDITERRANEE sa</v>
      </c>
      <c r="W63" s="26"/>
      <c r="X63" s="26" t="str">
        <f>VLOOKUP($D63,records!$A:$V,9,FALSE)</f>
        <v>457 Promenade des Anglais - BP 241</v>
      </c>
      <c r="Y63" s="26" t="str">
        <f>VLOOKUP($D63,records!$A:$V,4,FALSE)</f>
        <v>NICE</v>
      </c>
      <c r="Z63" s="26" t="str">
        <f>VLOOKUP($D63,records!$A:$V,7,FALSE)</f>
        <v>6200</v>
      </c>
      <c r="AA63" s="26" t="s">
        <v>1223</v>
      </c>
      <c r="AB63" s="26">
        <f>VLOOKUP(O63,'records (2)'!$A:$Z,8,FALSE)</f>
        <v>30</v>
      </c>
      <c r="AC63" s="26" t="b">
        <v>0</v>
      </c>
      <c r="AD63" s="26"/>
      <c r="AE63" s="26"/>
      <c r="AF63" s="26" t="str">
        <f>VLOOKUP($D63,records!$A:$V,13,FALSE)</f>
        <v>BANQUE POPULAIRE MEDITERRANEE sa</v>
      </c>
      <c r="AG63" s="26" t="s">
        <v>1226</v>
      </c>
      <c r="AH63" s="26" t="str">
        <f>VLOOKUP($D63,records!$A:$V,19,FALSE)</f>
        <v>cecile.geoffroy@bpmed.fr</v>
      </c>
      <c r="AI63" s="26" t="s">
        <v>1233</v>
      </c>
      <c r="AJ63" s="26" t="str">
        <f>VLOOKUP($O63,'records (2)'!$A:$Z,14,FALSE)</f>
        <v>003IV000010rvHQYAY</v>
      </c>
      <c r="AK63" s="26" t="str">
        <f>VLOOKUP($O63,'records (2)'!$A:$Z,15,FALSE)</f>
        <v>Cécile GEOFFROY</v>
      </c>
      <c r="AL63" s="26" t="str">
        <f>VLOOKUP($O63,'records (2)'!$A:$Z,10,FALSE)</f>
        <v>003IV000010t2gOYAQ</v>
      </c>
      <c r="AM63" s="26" t="str">
        <f>VLOOKUP($O63,'records (2)'!$A:$Z,11,FALSE)</f>
        <v>Isabelle AUBRY</v>
      </c>
      <c r="AN63" s="18">
        <v>1</v>
      </c>
      <c r="AO63" s="4">
        <v>500</v>
      </c>
      <c r="AP63" s="4">
        <v>500</v>
      </c>
      <c r="AQ63" s="20"/>
      <c r="AR63" s="6"/>
    </row>
    <row r="64" spans="1:44">
      <c r="A64" s="18" t="s">
        <v>476</v>
      </c>
      <c r="B64" s="18" t="s">
        <v>477</v>
      </c>
      <c r="C64" s="18" t="s">
        <v>478</v>
      </c>
      <c r="D64" s="18" t="s">
        <v>479</v>
      </c>
      <c r="E64" s="18" t="s">
        <v>52</v>
      </c>
      <c r="F64" s="18" t="s">
        <v>53</v>
      </c>
      <c r="G64" s="18"/>
      <c r="H64" s="19" t="s">
        <v>1216</v>
      </c>
      <c r="I64" s="23" t="s">
        <v>1217</v>
      </c>
      <c r="J64" s="24">
        <v>46023</v>
      </c>
      <c r="K64" s="24">
        <v>46387</v>
      </c>
      <c r="L64" s="24" t="s">
        <v>1218</v>
      </c>
      <c r="M64" s="24" t="s">
        <v>1219</v>
      </c>
      <c r="N64" s="24">
        <v>46023</v>
      </c>
      <c r="O64" s="24" t="str">
        <f>VLOOKUP(D64,records!$A:$U,10,FALSE)</f>
        <v>0012p00004RLlIQAA1</v>
      </c>
      <c r="P64" s="24" t="str">
        <f>VLOOKUP(D64,records!$A:$V,20,FALSE)</f>
        <v>FR73352483341</v>
      </c>
      <c r="Q64" s="24" t="str">
        <f>VLOOKUP(D64,records!$A:$V,12,FALSE)</f>
        <v>35 248 334 100 017</v>
      </c>
      <c r="R64" s="24" t="s">
        <v>1220</v>
      </c>
      <c r="S64" s="24" t="str">
        <f>VLOOKUP(D64,records!$A:$U,19,FALSE)</f>
        <v>cecile.pencole-lehaut@cebfc.caisse-epargne.fr</v>
      </c>
      <c r="T64" s="26" t="s">
        <v>1221</v>
      </c>
      <c r="U64" s="26" t="s">
        <v>1222</v>
      </c>
      <c r="V64" s="26" t="str">
        <f>VLOOKUP($D64,records!$A:$V,3,FALSE)</f>
        <v>CAISSE D'EPARGNE ET DE PREVOYANCE DE BOURGOGNE FRANCHE-COMTE sa - CEBFC</v>
      </c>
      <c r="W64" s="26"/>
      <c r="X64" s="26" t="str">
        <f>VLOOKUP($D64,records!$A:$V,9,FALSE)</f>
        <v>1 Rond Point de la Nation</v>
      </c>
      <c r="Y64" s="26" t="str">
        <f>VLOOKUP($D64,records!$A:$V,4,FALSE)</f>
        <v>DIJON</v>
      </c>
      <c r="Z64" s="26" t="str">
        <f>VLOOKUP($D64,records!$A:$V,7,FALSE)</f>
        <v>21000</v>
      </c>
      <c r="AA64" s="26" t="s">
        <v>1223</v>
      </c>
      <c r="AB64" s="26">
        <f>VLOOKUP(O64,'records (2)'!$A:$Z,8,FALSE)</f>
        <v>30</v>
      </c>
      <c r="AC64" s="26" t="b">
        <v>0</v>
      </c>
      <c r="AD64" s="26"/>
      <c r="AE64" s="26"/>
      <c r="AF64" s="26" t="str">
        <f>VLOOKUP($D64,records!$A:$V,13,FALSE)</f>
        <v>CAISSE D'EPARGNE ET DE PREVOYANCE DE BOURGOGNE FRANCHE-COMTE sa - CEBFC</v>
      </c>
      <c r="AG64" s="26" t="s">
        <v>1226</v>
      </c>
      <c r="AH64" s="26" t="str">
        <f>VLOOKUP($D64,records!$A:$V,19,FALSE)</f>
        <v>cecile.pencole-lehaut@cebfc.caisse-epargne.fr</v>
      </c>
      <c r="AI64" s="26" t="s">
        <v>1233</v>
      </c>
      <c r="AJ64" s="26" t="str">
        <f>VLOOKUP($O64,'records (2)'!$A:$Z,14,FALSE)</f>
        <v>003IV000010s6QxYAI</v>
      </c>
      <c r="AK64" s="26" t="str">
        <f>VLOOKUP($O64,'records (2)'!$A:$Z,15,FALSE)</f>
        <v>Céline BALLOT</v>
      </c>
      <c r="AL64" s="26" t="str">
        <f>VLOOKUP($O64,'records (2)'!$A:$Z,10,FALSE)</f>
        <v>003IV000010s6QxYAI</v>
      </c>
      <c r="AM64" s="26" t="str">
        <f>VLOOKUP($O64,'records (2)'!$A:$Z,11,FALSE)</f>
        <v>Céline BALLOT</v>
      </c>
      <c r="AN64" s="18">
        <v>1</v>
      </c>
      <c r="AO64" s="4">
        <v>1000</v>
      </c>
      <c r="AP64" s="4">
        <v>1000</v>
      </c>
      <c r="AQ64" s="20">
        <v>0</v>
      </c>
      <c r="AR64" s="6">
        <v>0</v>
      </c>
    </row>
    <row r="65" spans="1:44">
      <c r="A65" s="18" t="s">
        <v>1071</v>
      </c>
      <c r="B65" s="18" t="s">
        <v>931</v>
      </c>
      <c r="C65" s="18" t="s">
        <v>931</v>
      </c>
      <c r="D65" s="18" t="s">
        <v>1072</v>
      </c>
      <c r="E65" s="18" t="s">
        <v>52</v>
      </c>
      <c r="F65" s="18" t="s">
        <v>53</v>
      </c>
      <c r="G65" s="18"/>
      <c r="H65" s="19" t="s">
        <v>1216</v>
      </c>
      <c r="I65" s="23" t="s">
        <v>1217</v>
      </c>
      <c r="J65" s="24">
        <v>46023</v>
      </c>
      <c r="K65" s="24">
        <v>46387</v>
      </c>
      <c r="L65" s="24" t="s">
        <v>1218</v>
      </c>
      <c r="M65" s="24" t="s">
        <v>1219</v>
      </c>
      <c r="N65" s="24">
        <v>46023</v>
      </c>
      <c r="O65" s="24" t="str">
        <f>VLOOKUP(D65,records!$A:$U,10,FALSE)</f>
        <v>001SZ000003NGlbYAG</v>
      </c>
      <c r="P65" s="24" t="str">
        <f>VLOOKUP(D65,records!$A:$V,20,FALSE)</f>
        <v>FR88542091186</v>
      </c>
      <c r="Q65" s="24" t="str">
        <f>VLOOKUP(D65,records!$A:$V,12,FALSE)</f>
        <v>54 209 118 600 040</v>
      </c>
      <c r="R65" s="24" t="s">
        <v>1220</v>
      </c>
      <c r="S65" s="24" t="str">
        <f>VLOOKUP(D65,records!$A:$U,19,FALSE)</f>
        <v>celine.champion@thuasne.fr</v>
      </c>
      <c r="T65" s="26" t="s">
        <v>1221</v>
      </c>
      <c r="U65" s="26" t="s">
        <v>1222</v>
      </c>
      <c r="V65" s="26" t="str">
        <f>VLOOKUP($D65,records!$A:$V,3,FALSE)</f>
        <v>THUASNE sas</v>
      </c>
      <c r="W65" s="26"/>
      <c r="X65" s="26" t="str">
        <f>VLOOKUP($D65,records!$A:$V,9,FALSE)</f>
        <v>27 Rue de la Jomayere</v>
      </c>
      <c r="Y65" s="26" t="str">
        <f>VLOOKUP($D65,records!$A:$V,4,FALSE)</f>
        <v>SAINT-ETIENNE Cedex 2</v>
      </c>
      <c r="Z65" s="26" t="str">
        <f>VLOOKUP($D65,records!$A:$V,7,FALSE)</f>
        <v>42100</v>
      </c>
      <c r="AA65" s="26" t="s">
        <v>1223</v>
      </c>
      <c r="AB65" s="26">
        <f>VLOOKUP(O65,'records (2)'!$A:$Z,8,FALSE)</f>
        <v>60</v>
      </c>
      <c r="AC65" s="26" t="b">
        <v>0</v>
      </c>
      <c r="AD65" s="26"/>
      <c r="AE65" s="26"/>
      <c r="AF65" s="26" t="str">
        <f>VLOOKUP($D65,records!$A:$V,13,FALSE)</f>
        <v>THUASNE sas</v>
      </c>
      <c r="AG65" s="26" t="s">
        <v>1226</v>
      </c>
      <c r="AH65" s="26" t="str">
        <f>VLOOKUP($D65,records!$A:$V,19,FALSE)</f>
        <v>celine.champion@thuasne.fr</v>
      </c>
      <c r="AI65" s="26" t="s">
        <v>1233</v>
      </c>
      <c r="AJ65" s="26" t="str">
        <f>VLOOKUP($O65,'records (2)'!$A:$Z,14,FALSE)</f>
        <v>003IV000010t4BKYAY</v>
      </c>
      <c r="AK65" s="26" t="str">
        <f>VLOOKUP($O65,'records (2)'!$A:$Z,15,FALSE)</f>
        <v>Céline CHAMPION</v>
      </c>
      <c r="AL65" s="26" t="str">
        <f>VLOOKUP($O65,'records (2)'!$A:$Z,10,FALSE)</f>
        <v>003IV000010t4BKYAY</v>
      </c>
      <c r="AM65" s="26" t="str">
        <f>VLOOKUP($O65,'records (2)'!$A:$Z,11,FALSE)</f>
        <v>Céline CHAMPION</v>
      </c>
      <c r="AN65" s="18">
        <v>1</v>
      </c>
      <c r="AO65" s="4">
        <v>1000</v>
      </c>
      <c r="AP65" s="4">
        <v>1000</v>
      </c>
      <c r="AQ65" s="20">
        <v>0</v>
      </c>
      <c r="AR65" s="6">
        <v>0</v>
      </c>
    </row>
    <row r="66" spans="1:44">
      <c r="A66" s="18" t="s">
        <v>930</v>
      </c>
      <c r="B66" s="18" t="s">
        <v>931</v>
      </c>
      <c r="C66" s="18" t="s">
        <v>931</v>
      </c>
      <c r="D66" s="22" t="s">
        <v>1072</v>
      </c>
      <c r="E66" s="18" t="s">
        <v>52</v>
      </c>
      <c r="F66" s="18" t="s">
        <v>53</v>
      </c>
      <c r="G66" s="18"/>
      <c r="H66" s="19" t="s">
        <v>1216</v>
      </c>
      <c r="I66" s="23" t="s">
        <v>1217</v>
      </c>
      <c r="J66" s="24">
        <v>46023</v>
      </c>
      <c r="K66" s="24">
        <v>46387</v>
      </c>
      <c r="L66" s="24" t="s">
        <v>1218</v>
      </c>
      <c r="M66" s="24" t="s">
        <v>1219</v>
      </c>
      <c r="N66" s="24">
        <v>46023</v>
      </c>
      <c r="O66" s="24" t="str">
        <f>VLOOKUP(D66,records!$A:$U,10,FALSE)</f>
        <v>001SZ000003NGlbYAG</v>
      </c>
      <c r="P66" s="24" t="str">
        <f>VLOOKUP(D66,records!$A:$V,20,FALSE)</f>
        <v>FR88542091186</v>
      </c>
      <c r="Q66" s="24" t="str">
        <f>VLOOKUP(D66,records!$A:$V,12,FALSE)</f>
        <v>54 209 118 600 040</v>
      </c>
      <c r="R66" s="24" t="s">
        <v>1220</v>
      </c>
      <c r="S66" s="24" t="str">
        <f>VLOOKUP(D66,records!$A:$U,19,FALSE)</f>
        <v>celine.champion@thuasne.fr</v>
      </c>
      <c r="T66" s="26" t="s">
        <v>1221</v>
      </c>
      <c r="U66" s="26" t="s">
        <v>1222</v>
      </c>
      <c r="V66" s="26" t="str">
        <f>VLOOKUP($D66,records!$A:$V,3,FALSE)</f>
        <v>THUASNE sas</v>
      </c>
      <c r="W66" s="26"/>
      <c r="X66" s="26" t="str">
        <f>VLOOKUP($D66,records!$A:$V,9,FALSE)</f>
        <v>27 Rue de la Jomayere</v>
      </c>
      <c r="Y66" s="26" t="str">
        <f>VLOOKUP($D66,records!$A:$V,4,FALSE)</f>
        <v>SAINT-ETIENNE Cedex 2</v>
      </c>
      <c r="Z66" s="26" t="str">
        <f>VLOOKUP($D66,records!$A:$V,7,FALSE)</f>
        <v>42100</v>
      </c>
      <c r="AA66" s="26" t="s">
        <v>1223</v>
      </c>
      <c r="AB66" s="26">
        <f>VLOOKUP(O66,'records (2)'!$A:$Z,8,FALSE)</f>
        <v>60</v>
      </c>
      <c r="AC66" s="26" t="b">
        <v>0</v>
      </c>
      <c r="AD66" s="26"/>
      <c r="AE66" s="26"/>
      <c r="AF66" s="26" t="str">
        <f>VLOOKUP($D66,records!$A:$V,13,FALSE)</f>
        <v>THUASNE sas</v>
      </c>
      <c r="AG66" s="26" t="s">
        <v>1226</v>
      </c>
      <c r="AH66" s="26" t="str">
        <f>VLOOKUP($D66,records!$A:$V,19,FALSE)</f>
        <v>celine.champion@thuasne.fr</v>
      </c>
      <c r="AI66" s="26" t="s">
        <v>1233</v>
      </c>
      <c r="AJ66" s="26" t="str">
        <f>VLOOKUP($O66,'records (2)'!$A:$Z,14,FALSE)</f>
        <v>003IV000010t4BKYAY</v>
      </c>
      <c r="AK66" s="26" t="str">
        <f>VLOOKUP($O66,'records (2)'!$A:$Z,15,FALSE)</f>
        <v>Céline CHAMPION</v>
      </c>
      <c r="AL66" s="26" t="str">
        <f>VLOOKUP($O66,'records (2)'!$A:$Z,10,FALSE)</f>
        <v>003IV000010t4BKYAY</v>
      </c>
      <c r="AM66" s="26" t="str">
        <f>VLOOKUP($O66,'records (2)'!$A:$Z,11,FALSE)</f>
        <v>Céline CHAMPION</v>
      </c>
      <c r="AN66" s="18">
        <v>1</v>
      </c>
      <c r="AO66" s="4">
        <v>1000</v>
      </c>
      <c r="AP66" s="4">
        <v>1000</v>
      </c>
      <c r="AQ66" s="20">
        <v>0</v>
      </c>
      <c r="AR66" s="6">
        <v>0</v>
      </c>
    </row>
    <row r="67" spans="1:44">
      <c r="A67" s="18" t="s">
        <v>608</v>
      </c>
      <c r="B67" s="18" t="s">
        <v>609</v>
      </c>
      <c r="C67" s="18" t="s">
        <v>610</v>
      </c>
      <c r="D67" s="18" t="s">
        <v>611</v>
      </c>
      <c r="E67" s="18" t="s">
        <v>52</v>
      </c>
      <c r="F67" s="18" t="s">
        <v>53</v>
      </c>
      <c r="G67" s="18"/>
      <c r="H67" s="19" t="s">
        <v>1216</v>
      </c>
      <c r="I67" s="23" t="s">
        <v>1217</v>
      </c>
      <c r="J67" s="24">
        <v>46023</v>
      </c>
      <c r="K67" s="24">
        <v>46387</v>
      </c>
      <c r="L67" s="24" t="s">
        <v>1218</v>
      </c>
      <c r="M67" s="24" t="s">
        <v>1219</v>
      </c>
      <c r="N67" s="24">
        <v>46023</v>
      </c>
      <c r="O67" s="24" t="str">
        <f>VLOOKUP(D67,records!$A:$U,10,FALSE)</f>
        <v>0012p00004OLmuHAAT</v>
      </c>
      <c r="P67" s="24" t="str">
        <f>VLOOKUP(D67,records!$A:$V,20,FALSE)</f>
        <v>FR94866801210</v>
      </c>
      <c r="Q67" s="24" t="str">
        <f>VLOOKUP(D67,records!$A:$V,12,FALSE)</f>
        <v>86 680 121 000 026</v>
      </c>
      <c r="R67" s="24" t="s">
        <v>1220</v>
      </c>
      <c r="S67" s="24" t="str">
        <f>VLOOKUP(D67,records!$A:$U,19,FALSE)</f>
        <v>celine.chevrel@fmgc.net</v>
      </c>
      <c r="T67" s="26" t="s">
        <v>1221</v>
      </c>
      <c r="U67" s="26" t="s">
        <v>1222</v>
      </c>
      <c r="V67" s="26" t="str">
        <f>VLOOKUP($D67,records!$A:$V,3,FALSE)</f>
        <v>FONDERIE ET MECANIQUE GENERALE CASTELBRIANTAISE sa - FMGC</v>
      </c>
      <c r="W67" s="26"/>
      <c r="X67" s="26" t="str">
        <f>VLOOKUP($D67,records!$A:$V,9,FALSE)</f>
        <v>ZI Hochepie</v>
      </c>
      <c r="Y67" s="26" t="str">
        <f>VLOOKUP($D67,records!$A:$V,4,FALSE)</f>
        <v>SOUDAN</v>
      </c>
      <c r="Z67" s="26" t="str">
        <f>VLOOKUP($D67,records!$A:$V,7,FALSE)</f>
        <v>44110</v>
      </c>
      <c r="AA67" s="26" t="s">
        <v>1223</v>
      </c>
      <c r="AB67" s="26">
        <f>VLOOKUP(O67,'records (2)'!$A:$Z,8,FALSE)</f>
        <v>30</v>
      </c>
      <c r="AC67" s="26" t="b">
        <v>0</v>
      </c>
      <c r="AD67" s="26"/>
      <c r="AE67" s="26"/>
      <c r="AF67" s="26" t="str">
        <f>VLOOKUP($D67,records!$A:$V,13,FALSE)</f>
        <v>FONDERIE ET MECANIQUE GENERALE CASTELBRIANTAISE sa - FMGC</v>
      </c>
      <c r="AG67" s="26" t="s">
        <v>1226</v>
      </c>
      <c r="AH67" s="26" t="str">
        <f>VLOOKUP($D67,records!$A:$V,19,FALSE)</f>
        <v>celine.chevrel@fmgc.net</v>
      </c>
      <c r="AI67" s="26" t="s">
        <v>1233</v>
      </c>
      <c r="AJ67" s="26" t="str">
        <f>VLOOKUP($O67,'records (2)'!$A:$Z,14,FALSE)</f>
        <v>003IV000010t2ZCYAY</v>
      </c>
      <c r="AK67" s="26" t="str">
        <f>VLOOKUP($O67,'records (2)'!$A:$Z,15,FALSE)</f>
        <v>Nadine CROUILBOIS</v>
      </c>
      <c r="AL67" s="26" t="str">
        <f>VLOOKUP($O67,'records (2)'!$A:$Z,10,FALSE)</f>
        <v>003IV000010t2ZCYAY</v>
      </c>
      <c r="AM67" s="26" t="str">
        <f>VLOOKUP($O67,'records (2)'!$A:$Z,11,FALSE)</f>
        <v>Nadine CROUILBOIS</v>
      </c>
      <c r="AN67" s="18">
        <v>1</v>
      </c>
      <c r="AO67" s="4">
        <v>1000</v>
      </c>
      <c r="AP67" s="4">
        <v>1000</v>
      </c>
      <c r="AQ67" s="20">
        <v>0</v>
      </c>
      <c r="AR67" s="6">
        <v>0</v>
      </c>
    </row>
    <row r="68" spans="1:44">
      <c r="A68" s="18" t="s">
        <v>399</v>
      </c>
      <c r="B68" s="18" t="s">
        <v>400</v>
      </c>
      <c r="C68" s="18" t="s">
        <v>400</v>
      </c>
      <c r="D68" s="18" t="s">
        <v>401</v>
      </c>
      <c r="E68" s="18" t="s">
        <v>16</v>
      </c>
      <c r="F68" s="18" t="s">
        <v>17</v>
      </c>
      <c r="G68" s="18"/>
      <c r="H68" s="19" t="s">
        <v>1216</v>
      </c>
      <c r="I68" s="23" t="s">
        <v>1217</v>
      </c>
      <c r="J68" s="24">
        <v>46023</v>
      </c>
      <c r="K68" s="24">
        <v>46387</v>
      </c>
      <c r="L68" s="24" t="s">
        <v>1218</v>
      </c>
      <c r="M68" s="24" t="s">
        <v>1219</v>
      </c>
      <c r="N68" s="24">
        <v>46023</v>
      </c>
      <c r="O68" s="24" t="str">
        <f>VLOOKUP(D68,records!$A:$U,10,FALSE)</f>
        <v>001SZ000001N3caYAC</v>
      </c>
      <c r="P68" s="24" t="str">
        <f>VLOOKUP(D68,records!$A:$V,20,FALSE)</f>
        <v>FR77308528827</v>
      </c>
      <c r="Q68" s="24" t="str">
        <f>VLOOKUP(D68,records!$A:$V,12,FALSE)</f>
        <v>30 852 882 700 022</v>
      </c>
      <c r="R68" s="24" t="s">
        <v>1220</v>
      </c>
      <c r="S68" s="24" t="str">
        <f>VLOOKUP(D68,records!$A:$U,19,FALSE)</f>
        <v>cerutti@vernet.fr</v>
      </c>
      <c r="T68" s="26" t="s">
        <v>1221</v>
      </c>
      <c r="U68" s="26" t="s">
        <v>1222</v>
      </c>
      <c r="V68" s="26" t="str">
        <f>VLOOKUP($D68,records!$A:$V,3,FALSE)</f>
        <v>VERNET sas</v>
      </c>
      <c r="W68" s="26"/>
      <c r="X68" s="26" t="str">
        <f>VLOOKUP($D68,records!$A:$V,9,FALSE)</f>
        <v>21-27 route d'Arpajon</v>
      </c>
      <c r="Y68" s="26" t="str">
        <f>VLOOKUP($D68,records!$A:$V,4,FALSE)</f>
        <v>ARPAJON Cedex</v>
      </c>
      <c r="Z68" s="26" t="str">
        <f>VLOOKUP($D68,records!$A:$V,7,FALSE)</f>
        <v>91291</v>
      </c>
      <c r="AA68" s="26" t="s">
        <v>1223</v>
      </c>
      <c r="AB68" s="26">
        <f>VLOOKUP(O68,'records (2)'!$A:$Z,8,FALSE)</f>
        <v>30</v>
      </c>
      <c r="AC68" s="26" t="b">
        <v>0</v>
      </c>
      <c r="AD68" s="26"/>
      <c r="AE68" s="26"/>
      <c r="AF68" s="26" t="str">
        <f>VLOOKUP($D68,records!$A:$V,13,FALSE)</f>
        <v>VERNET sas</v>
      </c>
      <c r="AG68" s="26" t="s">
        <v>1226</v>
      </c>
      <c r="AH68" s="26" t="str">
        <f>VLOOKUP($D68,records!$A:$V,19,FALSE)</f>
        <v>cerutti@vernet.fr</v>
      </c>
      <c r="AI68" s="26" t="s">
        <v>1233</v>
      </c>
      <c r="AJ68" s="26" t="str">
        <f>VLOOKUP($O68,'records (2)'!$A:$Z,14,FALSE)</f>
        <v>003IV000010tPagYAE</v>
      </c>
      <c r="AK68" s="26" t="str">
        <f>VLOOKUP($O68,'records (2)'!$A:$Z,15,FALSE)</f>
        <v>Jean Christophe RIBEIRO</v>
      </c>
      <c r="AL68" s="26" t="str">
        <f>VLOOKUP($O68,'records (2)'!$A:$Z,10,FALSE)</f>
        <v>003IV000010tPagYAE</v>
      </c>
      <c r="AM68" s="26" t="str">
        <f>VLOOKUP($O68,'records (2)'!$A:$Z,11,FALSE)</f>
        <v>Jean Christophe RIBEIRO</v>
      </c>
      <c r="AN68" s="18">
        <v>1</v>
      </c>
      <c r="AO68" s="4">
        <v>4000</v>
      </c>
      <c r="AP68" s="4">
        <v>4000</v>
      </c>
      <c r="AQ68" s="20">
        <v>0</v>
      </c>
      <c r="AR68" s="6">
        <v>0</v>
      </c>
    </row>
    <row r="69" spans="1:44">
      <c r="A69" s="18" t="s">
        <v>526</v>
      </c>
      <c r="B69" s="18" t="s">
        <v>527</v>
      </c>
      <c r="C69" s="18" t="s">
        <v>527</v>
      </c>
      <c r="D69" s="18" t="s">
        <v>528</v>
      </c>
      <c r="E69" s="18" t="s">
        <v>52</v>
      </c>
      <c r="F69" s="18" t="s">
        <v>53</v>
      </c>
      <c r="G69" s="18"/>
      <c r="H69" s="19" t="s">
        <v>1216</v>
      </c>
      <c r="I69" s="23" t="s">
        <v>1217</v>
      </c>
      <c r="J69" s="24">
        <v>46023</v>
      </c>
      <c r="K69" s="24">
        <v>46387</v>
      </c>
      <c r="L69" s="24" t="s">
        <v>1218</v>
      </c>
      <c r="M69" s="24" t="s">
        <v>1219</v>
      </c>
      <c r="N69" s="24">
        <v>46023</v>
      </c>
      <c r="O69" s="24" t="str">
        <f>VLOOKUP(D69,records!$A:$U,10,FALSE)</f>
        <v>001SZ00000Oced1YAB</v>
      </c>
      <c r="P69" s="24" t="str">
        <f>VLOOKUP(D69,records!$A:$V,20,FALSE)</f>
        <v>FR76995750288</v>
      </c>
      <c r="Q69" s="24" t="str">
        <f>VLOOKUP(D69,records!$A:$V,12,FALSE)</f>
        <v>99 575 028 800 012</v>
      </c>
      <c r="R69" s="24" t="s">
        <v>1220</v>
      </c>
      <c r="S69" s="24" t="str">
        <f>VLOOKUP(D69,records!$A:$U,19,FALSE)</f>
        <v>cfournisseurs@dagard.com</v>
      </c>
      <c r="T69" s="26" t="s">
        <v>1221</v>
      </c>
      <c r="U69" s="26" t="s">
        <v>1222</v>
      </c>
      <c r="V69" s="26" t="str">
        <f>VLOOKUP($D69,records!$A:$V,3,FALSE)</f>
        <v>DAGARD sas</v>
      </c>
      <c r="W69" s="26"/>
      <c r="X69" s="26" t="str">
        <f>VLOOKUP($D69,records!$A:$V,9,FALSE)</f>
        <v>Route du Stade</v>
      </c>
      <c r="Y69" s="26" t="str">
        <f>VLOOKUP($D69,records!$A:$V,4,FALSE)</f>
        <v>BOUSSAC</v>
      </c>
      <c r="Z69" s="26" t="str">
        <f>VLOOKUP($D69,records!$A:$V,7,FALSE)</f>
        <v>23600</v>
      </c>
      <c r="AA69" s="26" t="s">
        <v>1223</v>
      </c>
      <c r="AB69" s="26">
        <f>VLOOKUP(O69,'records (2)'!$A:$Z,8,FALSE)</f>
        <v>30</v>
      </c>
      <c r="AC69" s="26" t="b">
        <v>0</v>
      </c>
      <c r="AD69" s="26"/>
      <c r="AE69" s="26"/>
      <c r="AF69" s="26" t="str">
        <f>VLOOKUP($D69,records!$A:$V,13,FALSE)</f>
        <v>DAGARD sas</v>
      </c>
      <c r="AG69" s="26" t="s">
        <v>1226</v>
      </c>
      <c r="AH69" s="26" t="str">
        <f>VLOOKUP($D69,records!$A:$V,19,FALSE)</f>
        <v>cfournisseurs@dagard.com</v>
      </c>
      <c r="AI69" s="26" t="s">
        <v>1233</v>
      </c>
      <c r="AJ69" s="26" t="str">
        <f>VLOOKUP($O69,'records (2)'!$A:$Z,14,FALSE)</f>
        <v>003IV000010tJaCYAU</v>
      </c>
      <c r="AK69" s="26" t="str">
        <f>VLOOKUP($O69,'records (2)'!$A:$Z,15,FALSE)</f>
        <v>Comptabilité Fournisseurs</v>
      </c>
      <c r="AL69" s="26" t="str">
        <f>VLOOKUP($O69,'records (2)'!$A:$Z,10,FALSE)</f>
        <v>003IV000010tJaCYAU</v>
      </c>
      <c r="AM69" s="26" t="str">
        <f>VLOOKUP($O69,'records (2)'!$A:$Z,11,FALSE)</f>
        <v>Comptabilité Fournisseurs</v>
      </c>
      <c r="AN69" s="18">
        <v>1</v>
      </c>
      <c r="AO69" s="4">
        <v>1000</v>
      </c>
      <c r="AP69" s="4">
        <v>1000</v>
      </c>
      <c r="AQ69" s="20">
        <v>0</v>
      </c>
      <c r="AR69" s="6">
        <v>0</v>
      </c>
    </row>
    <row r="70" spans="1:44">
      <c r="A70" s="18" t="s">
        <v>832</v>
      </c>
      <c r="B70" s="18" t="s">
        <v>833</v>
      </c>
      <c r="C70" s="18" t="s">
        <v>833</v>
      </c>
      <c r="D70" s="18" t="s">
        <v>834</v>
      </c>
      <c r="E70" s="18" t="s">
        <v>52</v>
      </c>
      <c r="F70" s="18" t="s">
        <v>53</v>
      </c>
      <c r="G70" s="18"/>
      <c r="H70" s="19" t="s">
        <v>1216</v>
      </c>
      <c r="I70" s="23" t="s">
        <v>1217</v>
      </c>
      <c r="J70" s="24">
        <v>46023</v>
      </c>
      <c r="K70" s="24">
        <v>46387</v>
      </c>
      <c r="L70" s="24" t="s">
        <v>1218</v>
      </c>
      <c r="M70" s="24" t="s">
        <v>1219</v>
      </c>
      <c r="N70" s="24">
        <v>46023</v>
      </c>
      <c r="O70" s="24" t="str">
        <f>VLOOKUP(D70,records!$A:$U,10,FALSE)</f>
        <v>0012p00004S28b2AAB</v>
      </c>
      <c r="P70" s="24" t="str">
        <f>VLOOKUP(D70,records!$A:$V,20,FALSE)</f>
        <v>FR16394256275</v>
      </c>
      <c r="Q70" s="24" t="str">
        <f>VLOOKUP(D70,records!$A:$V,12,FALSE)</f>
        <v>39 425 627 500 022</v>
      </c>
      <c r="R70" s="24" t="s">
        <v>1220</v>
      </c>
      <c r="S70" s="24" t="str">
        <f>VLOOKUP(D70,records!$A:$U,19,FALSE)</f>
        <v>cguichard@reinededijon.fr</v>
      </c>
      <c r="T70" s="26" t="s">
        <v>1221</v>
      </c>
      <c r="U70" s="26" t="s">
        <v>1222</v>
      </c>
      <c r="V70" s="26" t="str">
        <f>VLOOKUP($D70,records!$A:$V,3,FALSE)</f>
        <v>REINE DE DIJON sas</v>
      </c>
      <c r="W70" s="26"/>
      <c r="X70" s="26" t="str">
        <f>VLOOKUP($D70,records!$A:$V,9,FALSE)</f>
        <v>1 Rue des Combets</v>
      </c>
      <c r="Y70" s="26" t="str">
        <f>VLOOKUP($D70,records!$A:$V,4,FALSE)</f>
        <v>FLEUREY-SUR-OUCHE</v>
      </c>
      <c r="Z70" s="26" t="str">
        <f>VLOOKUP($D70,records!$A:$V,7,FALSE)</f>
        <v>21410</v>
      </c>
      <c r="AA70" s="26" t="s">
        <v>1223</v>
      </c>
      <c r="AB70" s="26">
        <f>VLOOKUP(O70,'records (2)'!$A:$Z,8,FALSE)</f>
        <v>45</v>
      </c>
      <c r="AC70" s="26" t="b">
        <v>0</v>
      </c>
      <c r="AD70" s="26"/>
      <c r="AE70" s="26"/>
      <c r="AF70" s="26" t="str">
        <f>VLOOKUP($D70,records!$A:$V,13,FALSE)</f>
        <v>REINE DE DIJON sas</v>
      </c>
      <c r="AG70" s="26" t="s">
        <v>1226</v>
      </c>
      <c r="AH70" s="26" t="str">
        <f>VLOOKUP($D70,records!$A:$V,19,FALSE)</f>
        <v>cguichard@reinededijon.fr</v>
      </c>
      <c r="AI70" s="26" t="s">
        <v>1233</v>
      </c>
      <c r="AJ70" s="26" t="str">
        <f>VLOOKUP($O70,'records (2)'!$A:$Z,14,FALSE)</f>
        <v>003IV000010tIe0YAE</v>
      </c>
      <c r="AK70" s="26" t="str">
        <f>VLOOKUP($O70,'records (2)'!$A:$Z,15,FALSE)</f>
        <v>Céline GUICHARD</v>
      </c>
      <c r="AL70" s="26" t="str">
        <f>VLOOKUP($O70,'records (2)'!$A:$Z,10,FALSE)</f>
        <v>003IV000010tIe0YAE</v>
      </c>
      <c r="AM70" s="26" t="str">
        <f>VLOOKUP($O70,'records (2)'!$A:$Z,11,FALSE)</f>
        <v>Céline GUICHARD</v>
      </c>
      <c r="AN70" s="18">
        <v>1</v>
      </c>
      <c r="AO70" s="4">
        <v>500</v>
      </c>
      <c r="AP70" s="4">
        <v>500</v>
      </c>
      <c r="AQ70" s="20">
        <v>0</v>
      </c>
      <c r="AR70" s="6">
        <v>0</v>
      </c>
    </row>
    <row r="71" spans="1:44">
      <c r="A71" s="18" t="s">
        <v>995</v>
      </c>
      <c r="B71" s="18" t="s">
        <v>996</v>
      </c>
      <c r="C71" s="18" t="s">
        <v>997</v>
      </c>
      <c r="D71" s="18" t="s">
        <v>998</v>
      </c>
      <c r="E71" s="18" t="s">
        <v>16</v>
      </c>
      <c r="F71" s="18" t="s">
        <v>17</v>
      </c>
      <c r="G71" s="18"/>
      <c r="H71" s="19" t="s">
        <v>1216</v>
      </c>
      <c r="I71" s="23" t="s">
        <v>1217</v>
      </c>
      <c r="J71" s="24">
        <v>46023</v>
      </c>
      <c r="K71" s="24">
        <v>46387</v>
      </c>
      <c r="L71" s="24" t="s">
        <v>1218</v>
      </c>
      <c r="M71" s="24" t="s">
        <v>1219</v>
      </c>
      <c r="N71" s="24">
        <v>46023</v>
      </c>
      <c r="O71" s="24" t="str">
        <f>VLOOKUP(D71,records!$A:$U,10,FALSE)</f>
        <v>0012p00004RB7pqAAD</v>
      </c>
      <c r="P71" s="24" t="str">
        <f>VLOOKUP(D71,records!$A:$V,20,FALSE)</f>
        <v>FR32420800492</v>
      </c>
      <c r="Q71" s="24" t="str">
        <f>VLOOKUP(D71,records!$A:$V,12,FALSE)</f>
        <v>42 080 049 200 027</v>
      </c>
      <c r="R71" s="24" t="s">
        <v>1220</v>
      </c>
      <c r="S71" s="24" t="str">
        <f>VLOOKUP(D71,records!$A:$U,19,FALSE)</f>
        <v>charline.leberrigaud@eureden.com</v>
      </c>
      <c r="T71" s="26" t="s">
        <v>1221</v>
      </c>
      <c r="U71" s="26" t="s">
        <v>1222</v>
      </c>
      <c r="V71" s="26" t="str">
        <f>VLOOKUP($D71,records!$A:$V,3,FALSE)</f>
        <v>PEP sasu</v>
      </c>
      <c r="W71" s="26"/>
      <c r="X71" s="26" t="str">
        <f>VLOOKUP($D71,records!$A:$V,9,FALSE)</f>
        <v>ZI de Camagnon</v>
      </c>
      <c r="Y71" s="26" t="str">
        <f>VLOOKUP($D71,records!$A:$V,4,FALSE)</f>
        <v>PLOERMEL</v>
      </c>
      <c r="Z71" s="26" t="str">
        <f>VLOOKUP($D71,records!$A:$V,7,FALSE)</f>
        <v>56800</v>
      </c>
      <c r="AA71" s="26" t="s">
        <v>1223</v>
      </c>
      <c r="AB71" s="26">
        <f>VLOOKUP(O71,'records (2)'!$A:$Z,8,FALSE)</f>
        <v>30</v>
      </c>
      <c r="AC71" s="26" t="b">
        <v>0</v>
      </c>
      <c r="AD71" s="26"/>
      <c r="AE71" s="26"/>
      <c r="AF71" s="26" t="str">
        <f>VLOOKUP($D71,records!$A:$V,13,FALSE)</f>
        <v>PEP sasu</v>
      </c>
      <c r="AG71" s="26" t="s">
        <v>1226</v>
      </c>
      <c r="AH71" s="26" t="str">
        <f>VLOOKUP($D71,records!$A:$V,19,FALSE)</f>
        <v>charline.leberrigaud@eureden.com</v>
      </c>
      <c r="AI71" s="26" t="s">
        <v>1233</v>
      </c>
      <c r="AJ71" s="26" t="str">
        <f>VLOOKUP($O71,'records (2)'!$A:$Z,14,FALSE)</f>
        <v>003IV000010t2zrYAA</v>
      </c>
      <c r="AK71" s="26" t="str">
        <f>VLOOKUP($O71,'records (2)'!$A:$Z,15,FALSE)</f>
        <v>Régine OGER</v>
      </c>
      <c r="AL71" s="26" t="str">
        <f>VLOOKUP($O71,'records (2)'!$A:$Z,10,FALSE)</f>
        <v>003IV000010tRW1YAM</v>
      </c>
      <c r="AM71" s="26" t="str">
        <f>VLOOKUP($O71,'records (2)'!$A:$Z,11,FALSE)</f>
        <v>Christian HUET</v>
      </c>
      <c r="AN71" s="18">
        <v>1</v>
      </c>
      <c r="AO71" s="4">
        <v>4000</v>
      </c>
      <c r="AP71" s="4">
        <v>4000</v>
      </c>
      <c r="AQ71" s="20">
        <v>0</v>
      </c>
      <c r="AR71" s="6">
        <v>0</v>
      </c>
    </row>
    <row r="72" spans="1:44">
      <c r="A72" s="18" t="s">
        <v>927</v>
      </c>
      <c r="B72" s="18" t="s">
        <v>928</v>
      </c>
      <c r="C72" s="18" t="s">
        <v>928</v>
      </c>
      <c r="D72" s="18" t="s">
        <v>929</v>
      </c>
      <c r="E72" s="18" t="s">
        <v>52</v>
      </c>
      <c r="F72" s="18" t="s">
        <v>53</v>
      </c>
      <c r="G72" s="18"/>
      <c r="H72" s="19" t="s">
        <v>1216</v>
      </c>
      <c r="I72" s="23" t="s">
        <v>1217</v>
      </c>
      <c r="J72" s="24">
        <v>46023</v>
      </c>
      <c r="K72" s="24">
        <v>46387</v>
      </c>
      <c r="L72" s="24" t="s">
        <v>1218</v>
      </c>
      <c r="M72" s="24" t="s">
        <v>1219</v>
      </c>
      <c r="N72" s="24">
        <v>46023</v>
      </c>
      <c r="O72" s="24" t="str">
        <f>VLOOKUP(D72,records!$A:$U,10,FALSE)</f>
        <v>001SZ000009VR6pYAG</v>
      </c>
      <c r="P72" s="24" t="str">
        <f>VLOOKUP(D72,records!$A:$V,20,FALSE)</f>
        <v>FR07501698419</v>
      </c>
      <c r="Q72" s="24" t="str">
        <f>VLOOKUP(D72,records!$A:$V,12,FALSE)</f>
        <v>50 169 841 900 022</v>
      </c>
      <c r="R72" s="24" t="s">
        <v>1220</v>
      </c>
      <c r="S72" s="24" t="str">
        <f>VLOOKUP(D72,records!$A:$U,19,FALSE)</f>
        <v>charlotte.maillard@texelis.com</v>
      </c>
      <c r="T72" s="26" t="s">
        <v>1221</v>
      </c>
      <c r="U72" s="26" t="s">
        <v>1222</v>
      </c>
      <c r="V72" s="26" t="str">
        <f>VLOOKUP($D72,records!$A:$V,3,FALSE)</f>
        <v>TEXELIS sasu</v>
      </c>
      <c r="W72" s="26"/>
      <c r="X72" s="26" t="str">
        <f>VLOOKUP($D72,records!$A:$V,9,FALSE)</f>
        <v>72 Route du Palais</v>
      </c>
      <c r="Y72" s="26" t="str">
        <f>VLOOKUP($D72,records!$A:$V,4,FALSE)</f>
        <v>LIMOGES CEDEX 1</v>
      </c>
      <c r="Z72" s="26" t="str">
        <f>VLOOKUP($D72,records!$A:$V,7,FALSE)</f>
        <v>87011</v>
      </c>
      <c r="AA72" s="26" t="s">
        <v>1223</v>
      </c>
      <c r="AB72" s="26">
        <f>VLOOKUP(O72,'records (2)'!$A:$Z,8,FALSE)</f>
        <v>45</v>
      </c>
      <c r="AC72" s="26" t="b">
        <v>0</v>
      </c>
      <c r="AD72" s="26"/>
      <c r="AE72" s="26"/>
      <c r="AF72" s="26" t="str">
        <f>VLOOKUP($D72,records!$A:$V,13,FALSE)</f>
        <v>TEXELIS sasu</v>
      </c>
      <c r="AG72" s="26" t="s">
        <v>1226</v>
      </c>
      <c r="AH72" s="26" t="str">
        <f>VLOOKUP($D72,records!$A:$V,19,FALSE)</f>
        <v>charlotte.maillard@texelis.com</v>
      </c>
      <c r="AI72" s="26" t="s">
        <v>1233</v>
      </c>
      <c r="AJ72" s="26" t="str">
        <f>VLOOKUP($O72,'records (2)'!$A:$Z,14,FALSE)</f>
        <v>003IV000010t3skYAA</v>
      </c>
      <c r="AK72" s="26" t="str">
        <f>VLOOKUP($O72,'records (2)'!$A:$Z,15,FALSE)</f>
        <v>Magalie DAUGE</v>
      </c>
      <c r="AL72" s="26" t="str">
        <f>VLOOKUP($O72,'records (2)'!$A:$Z,10,FALSE)</f>
        <v>003IV000010t3skYAA</v>
      </c>
      <c r="AM72" s="26" t="str">
        <f>VLOOKUP($O72,'records (2)'!$A:$Z,11,FALSE)</f>
        <v>Magalie DAUGE</v>
      </c>
      <c r="AN72" s="18">
        <v>1</v>
      </c>
      <c r="AO72" s="4">
        <v>1000</v>
      </c>
      <c r="AP72" s="4">
        <v>1000</v>
      </c>
      <c r="AQ72" s="20">
        <v>0</v>
      </c>
      <c r="AR72" s="6">
        <v>0</v>
      </c>
    </row>
    <row r="73" spans="1:44">
      <c r="A73" s="18" t="s">
        <v>511</v>
      </c>
      <c r="B73" s="18" t="s">
        <v>512</v>
      </c>
      <c r="C73" s="18" t="s">
        <v>513</v>
      </c>
      <c r="D73" s="18" t="s">
        <v>514</v>
      </c>
      <c r="E73" s="18" t="s">
        <v>52</v>
      </c>
      <c r="F73" s="18" t="s">
        <v>53</v>
      </c>
      <c r="G73" s="18"/>
      <c r="H73" s="19" t="s">
        <v>1216</v>
      </c>
      <c r="I73" s="23" t="s">
        <v>1217</v>
      </c>
      <c r="J73" s="24">
        <v>46023</v>
      </c>
      <c r="K73" s="24">
        <v>46387</v>
      </c>
      <c r="L73" s="24" t="s">
        <v>1218</v>
      </c>
      <c r="M73" s="24" t="s">
        <v>1219</v>
      </c>
      <c r="N73" s="24">
        <v>46023</v>
      </c>
      <c r="O73" s="24" t="str">
        <f>VLOOKUP(D73,records!$A:$U,10,FALSE)</f>
        <v>0012p00004TGasWAAT</v>
      </c>
      <c r="P73" s="24" t="str">
        <f>VLOOKUP(D73,records!$A:$V,20,FALSE)</f>
        <v>FR92421181819</v>
      </c>
      <c r="Q73" s="24" t="str">
        <f>VLOOKUP(D73,records!$A:$V,12,FALSE)</f>
        <v>42 118 181 900 010</v>
      </c>
      <c r="R73" s="24" t="s">
        <v>1220</v>
      </c>
      <c r="S73" s="24" t="str">
        <f>VLOOKUP(D73,records!$A:$U,19,FALSE)</f>
        <v>chenove.comptabilite@cordenpharma.com</v>
      </c>
      <c r="T73" s="26" t="s">
        <v>1221</v>
      </c>
      <c r="U73" s="26" t="s">
        <v>1222</v>
      </c>
      <c r="V73" s="26" t="str">
        <f>VLOOKUP($D73,records!$A:$V,3,FALSE)</f>
        <v>CORDEN PHARMA CHENOVE sasu</v>
      </c>
      <c r="W73" s="26"/>
      <c r="X73" s="26" t="str">
        <f>VLOOKUP($D73,records!$A:$V,9,FALSE)</f>
        <v>47 rue de Longvic</v>
      </c>
      <c r="Y73" s="26" t="str">
        <f>VLOOKUP($D73,records!$A:$V,4,FALSE)</f>
        <v>CHENOVE</v>
      </c>
      <c r="Z73" s="26" t="str">
        <f>VLOOKUP($D73,records!$A:$V,7,FALSE)</f>
        <v>21300</v>
      </c>
      <c r="AA73" s="26" t="s">
        <v>1223</v>
      </c>
      <c r="AB73" s="26">
        <f>VLOOKUP(O73,'records (2)'!$A:$Z,8,FALSE)</f>
        <v>30</v>
      </c>
      <c r="AC73" s="26" t="b">
        <v>0</v>
      </c>
      <c r="AD73" s="26"/>
      <c r="AE73" s="26"/>
      <c r="AF73" s="26" t="str">
        <f>VLOOKUP($D73,records!$A:$V,13,FALSE)</f>
        <v>CORDEN PHARMA CHENOVE sasu</v>
      </c>
      <c r="AG73" s="26" t="s">
        <v>1226</v>
      </c>
      <c r="AH73" s="26" t="str">
        <f>VLOOKUP($D73,records!$A:$V,19,FALSE)</f>
        <v>chenove.comptabilite@cordenpharma.com</v>
      </c>
      <c r="AI73" s="26" t="s">
        <v>1233</v>
      </c>
      <c r="AJ73" s="26" t="str">
        <f>VLOOKUP($O73,'records (2)'!$A:$Z,14,FALSE)</f>
        <v>003IV000010tIiQYAU</v>
      </c>
      <c r="AK73" s="26" t="str">
        <f>VLOOKUP($O73,'records (2)'!$A:$Z,15,FALSE)</f>
        <v>Nathalie CATTANEO</v>
      </c>
      <c r="AL73" s="26" t="str">
        <f>VLOOKUP($O73,'records (2)'!$A:$Z,10,FALSE)</f>
        <v>003IV000010tIiQYAU</v>
      </c>
      <c r="AM73" s="26" t="str">
        <f>VLOOKUP($O73,'records (2)'!$A:$Z,11,FALSE)</f>
        <v>Nathalie CATTANEO</v>
      </c>
      <c r="AN73" s="18">
        <v>1</v>
      </c>
      <c r="AO73" s="4">
        <v>1000</v>
      </c>
      <c r="AP73" s="4">
        <v>1000</v>
      </c>
      <c r="AQ73" s="20">
        <v>0</v>
      </c>
      <c r="AR73" s="6">
        <v>0</v>
      </c>
    </row>
    <row r="74" spans="1:44">
      <c r="A74" s="18" t="s">
        <v>835</v>
      </c>
      <c r="B74" s="18" t="s">
        <v>836</v>
      </c>
      <c r="C74" s="18" t="s">
        <v>837</v>
      </c>
      <c r="D74" s="18" t="s">
        <v>838</v>
      </c>
      <c r="E74" s="18" t="s">
        <v>52</v>
      </c>
      <c r="F74" s="18" t="s">
        <v>53</v>
      </c>
      <c r="G74" s="18"/>
      <c r="H74" s="19" t="s">
        <v>1216</v>
      </c>
      <c r="I74" s="23" t="s">
        <v>1217</v>
      </c>
      <c r="J74" s="24">
        <v>46023</v>
      </c>
      <c r="K74" s="24">
        <v>46387</v>
      </c>
      <c r="L74" s="24" t="s">
        <v>1218</v>
      </c>
      <c r="M74" s="24" t="s">
        <v>1219</v>
      </c>
      <c r="N74" s="24">
        <v>46023</v>
      </c>
      <c r="O74" s="24" t="str">
        <f>VLOOKUP(D74,records!$A:$U,10,FALSE)</f>
        <v>0012p00004NeUaTAAV</v>
      </c>
      <c r="P74" s="24" t="str">
        <f>VLOOKUP(D74,records!$A:$V,20,FALSE)</f>
        <v>FR06399227263</v>
      </c>
      <c r="Q74" s="24" t="str">
        <f>VLOOKUP(D74,records!$A:$V,12,FALSE)</f>
        <v>39 922 726 300 072</v>
      </c>
      <c r="R74" s="24" t="s">
        <v>1220</v>
      </c>
      <c r="S74" s="24" t="str">
        <f>VLOOKUP(D74,records!$A:$U,19,FALSE)</f>
        <v>chm@reynaers.com</v>
      </c>
      <c r="T74" s="26" t="s">
        <v>1221</v>
      </c>
      <c r="U74" s="26" t="s">
        <v>1222</v>
      </c>
      <c r="V74" s="26" t="str">
        <f>VLOOKUP($D74,records!$A:$V,3,FALSE)</f>
        <v>REYNAERS ALUMINIUM sasu</v>
      </c>
      <c r="W74" s="26"/>
      <c r="X74" s="26" t="str">
        <f>VLOOKUP($D74,records!$A:$V,9,FALSE)</f>
        <v>Route de Brouchy</v>
      </c>
      <c r="Y74" s="26" t="str">
        <f>VLOOKUP($D74,records!$A:$V,4,FALSE)</f>
        <v>HAM</v>
      </c>
      <c r="Z74" s="26" t="str">
        <f>VLOOKUP($D74,records!$A:$V,7,FALSE)</f>
        <v>80400</v>
      </c>
      <c r="AA74" s="26" t="s">
        <v>1223</v>
      </c>
      <c r="AB74" s="26">
        <f>VLOOKUP(O74,'records (2)'!$A:$Z,8,FALSE)</f>
        <v>30</v>
      </c>
      <c r="AC74" s="26" t="b">
        <v>0</v>
      </c>
      <c r="AD74" s="26"/>
      <c r="AE74" s="26"/>
      <c r="AF74" s="26" t="str">
        <f>VLOOKUP($D74,records!$A:$V,13,FALSE)</f>
        <v>REYNAERS ALUMINIUM sasu</v>
      </c>
      <c r="AG74" s="26" t="s">
        <v>1226</v>
      </c>
      <c r="AH74" s="26" t="str">
        <f>VLOOKUP($D74,records!$A:$V,19,FALSE)</f>
        <v>chm@reynaers.com</v>
      </c>
      <c r="AI74" s="26" t="s">
        <v>1233</v>
      </c>
      <c r="AJ74" s="26" t="str">
        <f>VLOOKUP($O74,'records (2)'!$A:$Z,14,FALSE)</f>
        <v>003IV000010tRVRYA2</v>
      </c>
      <c r="AK74" s="26" t="str">
        <f>VLOOKUP($O74,'records (2)'!$A:$Z,15,FALSE)</f>
        <v>Christelle MERESSE</v>
      </c>
      <c r="AL74" s="26" t="str">
        <f>VLOOKUP($O74,'records (2)'!$A:$Z,10,FALSE)</f>
        <v>003IV000010t2QNYAY</v>
      </c>
      <c r="AM74" s="26" t="str">
        <f>VLOOKUP($O74,'records (2)'!$A:$Z,11,FALSE)</f>
        <v>Stephane VAYSSIERE</v>
      </c>
      <c r="AN74" s="18">
        <v>1</v>
      </c>
      <c r="AO74" s="4">
        <v>500</v>
      </c>
      <c r="AP74" s="4">
        <v>500</v>
      </c>
      <c r="AQ74" s="20">
        <v>0</v>
      </c>
      <c r="AR74" s="6">
        <v>0</v>
      </c>
    </row>
    <row r="75" spans="1:44">
      <c r="A75" s="18" t="s">
        <v>25</v>
      </c>
      <c r="B75" s="18" t="s">
        <v>26</v>
      </c>
      <c r="C75" s="18" t="s">
        <v>27</v>
      </c>
      <c r="D75" s="18" t="s">
        <v>28</v>
      </c>
      <c r="E75" s="18" t="s">
        <v>16</v>
      </c>
      <c r="F75" s="18" t="s">
        <v>17</v>
      </c>
      <c r="G75" s="18"/>
      <c r="H75" s="19" t="s">
        <v>1216</v>
      </c>
      <c r="I75" s="23" t="s">
        <v>1217</v>
      </c>
      <c r="J75" s="24">
        <v>46023</v>
      </c>
      <c r="K75" s="24">
        <v>46387</v>
      </c>
      <c r="L75" s="24" t="s">
        <v>1218</v>
      </c>
      <c r="M75" s="24" t="s">
        <v>1219</v>
      </c>
      <c r="N75" s="24">
        <v>46023</v>
      </c>
      <c r="O75" s="24" t="str">
        <f>VLOOKUP(D75,records!$A:$U,10,FALSE)</f>
        <v>0012p00004Rel0OAAR</v>
      </c>
      <c r="P75" s="24" t="str">
        <f>VLOOKUP(D75,records!$A:$V,20,FALSE)</f>
        <v>FR31705580108</v>
      </c>
      <c r="Q75" s="24" t="str">
        <f>VLOOKUP(D75,records!$A:$V,12,FALSE)</f>
        <v>70 558 010 800 102</v>
      </c>
      <c r="R75" s="24" t="s">
        <v>1220</v>
      </c>
      <c r="S75" s="24" t="str">
        <f>VLOOKUP(D75,records!$A:$U,19,FALSE)</f>
        <v>christophe.renoncial@eurial.eu</v>
      </c>
      <c r="T75" s="26" t="s">
        <v>1221</v>
      </c>
      <c r="U75" s="26" t="s">
        <v>1222</v>
      </c>
      <c r="V75" s="26" t="str">
        <f>VLOOKUP($D75,records!$A:$V,3,FALSE)</f>
        <v>EURIAL ULTRA FRAIS sasu</v>
      </c>
      <c r="W75" s="26"/>
      <c r="X75" s="26" t="str">
        <f>VLOOKUP($D75,records!$A:$V,9,FALSE)</f>
        <v>Avenue des Saulniers</v>
      </c>
      <c r="Y75" s="26" t="str">
        <f>VLOOKUP($D75,records!$A:$V,4,FALSE)</f>
        <v>CHATEAU SALINS</v>
      </c>
      <c r="Z75" s="26" t="str">
        <f>VLOOKUP($D75,records!$A:$V,7,FALSE)</f>
        <v>57170</v>
      </c>
      <c r="AA75" s="26" t="s">
        <v>1223</v>
      </c>
      <c r="AB75" s="26">
        <f>VLOOKUP(O75,'records (2)'!$A:$Z,8,FALSE)</f>
        <v>30</v>
      </c>
      <c r="AC75" s="26" t="b">
        <v>0</v>
      </c>
      <c r="AD75" s="26"/>
      <c r="AE75" s="26"/>
      <c r="AF75" s="26" t="str">
        <f>VLOOKUP($D75,records!$A:$V,13,FALSE)</f>
        <v>EURIAL ULTRA FRAIS sasu</v>
      </c>
      <c r="AG75" s="26" t="s">
        <v>1226</v>
      </c>
      <c r="AH75" s="26" t="str">
        <f>VLOOKUP($D75,records!$A:$V,19,FALSE)</f>
        <v>christophe.renoncial@eurial.eu</v>
      </c>
      <c r="AI75" s="26" t="s">
        <v>1233</v>
      </c>
      <c r="AJ75" s="26" t="str">
        <f>VLOOKUP($O75,'records (2)'!$A:$Z,14,FALSE)</f>
        <v>003IV000010tJZVYA2</v>
      </c>
      <c r="AK75" s="26" t="str">
        <f>VLOOKUP($O75,'records (2)'!$A:$Z,15,FALSE)</f>
        <v>Christophe RENONCIAL</v>
      </c>
      <c r="AL75" s="26" t="str">
        <f>VLOOKUP($O75,'records (2)'!$A:$Z,10,FALSE)</f>
        <v>003IV000010tJZVYA2</v>
      </c>
      <c r="AM75" s="26" t="str">
        <f>VLOOKUP($O75,'records (2)'!$A:$Z,11,FALSE)</f>
        <v>Christophe RENONCIAL</v>
      </c>
      <c r="AN75" s="18">
        <v>1</v>
      </c>
      <c r="AO75" s="4">
        <v>3000</v>
      </c>
      <c r="AP75" s="4">
        <v>3000</v>
      </c>
      <c r="AQ75" s="20">
        <v>0</v>
      </c>
      <c r="AR75" s="6">
        <v>0</v>
      </c>
    </row>
    <row r="76" spans="1:44">
      <c r="A76" s="18" t="s">
        <v>192</v>
      </c>
      <c r="B76" s="18" t="s">
        <v>193</v>
      </c>
      <c r="C76" s="18" t="s">
        <v>194</v>
      </c>
      <c r="D76" s="18" t="s">
        <v>195</v>
      </c>
      <c r="E76" s="18" t="s">
        <v>16</v>
      </c>
      <c r="F76" s="18" t="s">
        <v>17</v>
      </c>
      <c r="G76" s="18"/>
      <c r="H76" s="19" t="s">
        <v>1216</v>
      </c>
      <c r="I76" s="23" t="s">
        <v>1217</v>
      </c>
      <c r="J76" s="24">
        <v>46023</v>
      </c>
      <c r="K76" s="24">
        <v>46387</v>
      </c>
      <c r="L76" s="24" t="s">
        <v>1218</v>
      </c>
      <c r="M76" s="24" t="s">
        <v>1219</v>
      </c>
      <c r="N76" s="24">
        <v>46023</v>
      </c>
      <c r="O76" s="24" t="str">
        <f>VLOOKUP(D76,records!$A:$U,10,FALSE)</f>
        <v>001SZ000001Eu4zYAC</v>
      </c>
      <c r="P76" s="24" t="str">
        <f>VLOOKUP(D76,records!$A:$V,20,FALSE)</f>
        <v>FR71582022265</v>
      </c>
      <c r="Q76" s="24" t="str">
        <f>VLOOKUP(D76,records!$A:$V,12,FALSE)</f>
        <v>58 202 226 500 224</v>
      </c>
      <c r="R76" s="24" t="s">
        <v>1220</v>
      </c>
      <c r="S76" s="24" t="str">
        <f>VLOOKUP(D76,records!$A:$U,19,FALSE)</f>
        <v>clanotte@guerlain.fr</v>
      </c>
      <c r="T76" s="26" t="s">
        <v>1221</v>
      </c>
      <c r="U76" s="26" t="s">
        <v>1222</v>
      </c>
      <c r="V76" s="26" t="str">
        <f>VLOOKUP($D76,records!$A:$V,3,FALSE)</f>
        <v>GUERLAIN sas</v>
      </c>
      <c r="W76" s="26"/>
      <c r="X76" s="26" t="str">
        <f>VLOOKUP($D76,records!$A:$V,9,FALSE)</f>
        <v>4 Avenue Gustave Eiffel</v>
      </c>
      <c r="Y76" s="26" t="str">
        <f>VLOOKUP($D76,records!$A:$V,4,FALSE)</f>
        <v>CHARTRES</v>
      </c>
      <c r="Z76" s="26" t="str">
        <f>VLOOKUP($D76,records!$A:$V,7,FALSE)</f>
        <v>28000</v>
      </c>
      <c r="AA76" s="26" t="s">
        <v>1223</v>
      </c>
      <c r="AB76" s="26">
        <f>VLOOKUP(O76,'records (2)'!$A:$Z,8,FALSE)</f>
        <v>30</v>
      </c>
      <c r="AC76" s="26" t="b">
        <v>0</v>
      </c>
      <c r="AD76" s="26"/>
      <c r="AE76" s="26"/>
      <c r="AF76" s="26" t="str">
        <f>VLOOKUP($D76,records!$A:$V,13,FALSE)</f>
        <v>GUERLAIN sas</v>
      </c>
      <c r="AG76" s="26" t="s">
        <v>1226</v>
      </c>
      <c r="AH76" s="26" t="str">
        <f>VLOOKUP($D76,records!$A:$V,19,FALSE)</f>
        <v>clanotte@guerlain.fr</v>
      </c>
      <c r="AI76" s="26" t="s">
        <v>1233</v>
      </c>
      <c r="AJ76" s="26" t="str">
        <f>VLOOKUP($O76,'records (2)'!$A:$Z,14,FALSE)</f>
        <v>003IV000010t6MdYAI</v>
      </c>
      <c r="AK76" s="26" t="str">
        <f>VLOOKUP($O76,'records (2)'!$A:$Z,15,FALSE)</f>
        <v>Nathalie BONNAT</v>
      </c>
      <c r="AL76" s="26" t="str">
        <f>VLOOKUP($O76,'records (2)'!$A:$Z,10,FALSE)</f>
        <v>003IV000010rv3gYAA</v>
      </c>
      <c r="AM76" s="26" t="str">
        <f>VLOOKUP($O76,'records (2)'!$A:$Z,11,FALSE)</f>
        <v>Clara LANOTTE</v>
      </c>
      <c r="AN76" s="18">
        <v>1</v>
      </c>
      <c r="AO76" s="4">
        <v>4000</v>
      </c>
      <c r="AP76" s="4">
        <v>4000</v>
      </c>
      <c r="AQ76" s="20">
        <v>0</v>
      </c>
      <c r="AR76" s="6">
        <v>0</v>
      </c>
    </row>
    <row r="77" spans="1:44">
      <c r="A77" s="18" t="s">
        <v>590</v>
      </c>
      <c r="B77" s="18" t="s">
        <v>591</v>
      </c>
      <c r="C77" s="18" t="s">
        <v>592</v>
      </c>
      <c r="D77" s="18" t="s">
        <v>593</v>
      </c>
      <c r="E77" s="18" t="s">
        <v>52</v>
      </c>
      <c r="F77" s="18" t="s">
        <v>53</v>
      </c>
      <c r="G77" s="18"/>
      <c r="H77" s="19" t="s">
        <v>1216</v>
      </c>
      <c r="I77" s="23" t="s">
        <v>1217</v>
      </c>
      <c r="J77" s="24">
        <v>46023</v>
      </c>
      <c r="K77" s="24">
        <v>46387</v>
      </c>
      <c r="L77" s="24" t="s">
        <v>1218</v>
      </c>
      <c r="M77" s="24" t="s">
        <v>1219</v>
      </c>
      <c r="N77" s="24">
        <v>46023</v>
      </c>
      <c r="O77" s="24" t="str">
        <f>VLOOKUP(D77,records!$A:$U,10,FALSE)</f>
        <v>0012p00004SzOBnAAN</v>
      </c>
      <c r="P77" s="24" t="str">
        <f>VLOOKUP(D77,records!$A:$V,20,FALSE)</f>
        <v>FR81389553769</v>
      </c>
      <c r="Q77" s="24" t="str">
        <f>VLOOKUP(D77,records!$A:$V,12,FALSE)</f>
        <v>38 955 376 900 040</v>
      </c>
      <c r="R77" s="24" t="s">
        <v>1220</v>
      </c>
      <c r="S77" s="24" t="str">
        <f>VLOOKUP(D77,records!$A:$U,19,FALSE)</f>
        <v>compta.bourgoin@faiveley.fr</v>
      </c>
      <c r="T77" s="26" t="s">
        <v>1221</v>
      </c>
      <c r="U77" s="26" t="s">
        <v>1222</v>
      </c>
      <c r="V77" s="26" t="str">
        <f>VLOOKUP($D77,records!$A:$V,3,FALSE)</f>
        <v>FAIVELEY TECH BOURGOIN sasu</v>
      </c>
      <c r="W77" s="26"/>
      <c r="X77" s="26" t="str">
        <f>VLOOKUP($D77,records!$A:$V,9,FALSE)</f>
        <v>107 allée de Chardillonnay - 
 Maubec - CS 51001</v>
      </c>
      <c r="Y77" s="26" t="str">
        <f>VLOOKUP($D77,records!$A:$V,4,FALSE)</f>
        <v>BOURGOIN JALLIEU</v>
      </c>
      <c r="Z77" s="26" t="str">
        <f>VLOOKUP($D77,records!$A:$V,7,FALSE)</f>
        <v>38307</v>
      </c>
      <c r="AA77" s="26" t="s">
        <v>1223</v>
      </c>
      <c r="AB77" s="26">
        <f>VLOOKUP(O77,'records (2)'!$A:$Z,8,FALSE)</f>
        <v>30</v>
      </c>
      <c r="AC77" s="26" t="b">
        <v>0</v>
      </c>
      <c r="AD77" s="26"/>
      <c r="AE77" s="26"/>
      <c r="AF77" s="26" t="str">
        <f>VLOOKUP($D77,records!$A:$V,13,FALSE)</f>
        <v>FAIVELEY TECH BOURGOIN sasu</v>
      </c>
      <c r="AG77" s="26" t="s">
        <v>1226</v>
      </c>
      <c r="AH77" s="26" t="str">
        <f>VLOOKUP($D77,records!$A:$V,19,FALSE)</f>
        <v>compta.bourgoin@faiveley.fr</v>
      </c>
      <c r="AI77" s="26" t="s">
        <v>1233</v>
      </c>
      <c r="AJ77" s="26" t="str">
        <f>VLOOKUP($O77,'records (2)'!$A:$Z,14,FALSE)</f>
        <v>003IV000010tIdvYAE</v>
      </c>
      <c r="AK77" s="26" t="str">
        <f>VLOOKUP($O77,'records (2)'!$A:$Z,15,FALSE)</f>
        <v>Emmnuelle DUBOIS</v>
      </c>
      <c r="AL77" s="26" t="str">
        <f>VLOOKUP($O77,'records (2)'!$A:$Z,10,FALSE)</f>
        <v>003IV000010tIdvYAE</v>
      </c>
      <c r="AM77" s="26" t="str">
        <f>VLOOKUP($O77,'records (2)'!$A:$Z,11,FALSE)</f>
        <v>Emmnuelle DUBOIS</v>
      </c>
      <c r="AN77" s="18">
        <v>1</v>
      </c>
      <c r="AO77" s="4">
        <v>500</v>
      </c>
      <c r="AP77" s="4">
        <v>500</v>
      </c>
      <c r="AQ77" s="20">
        <v>0</v>
      </c>
      <c r="AR77" s="6">
        <v>0</v>
      </c>
    </row>
    <row r="78" spans="1:44">
      <c r="A78" s="18" t="s">
        <v>604</v>
      </c>
      <c r="B78" s="18" t="s">
        <v>605</v>
      </c>
      <c r="C78" s="18" t="s">
        <v>606</v>
      </c>
      <c r="D78" s="18" t="s">
        <v>607</v>
      </c>
      <c r="E78" s="18" t="s">
        <v>52</v>
      </c>
      <c r="F78" s="18" t="s">
        <v>53</v>
      </c>
      <c r="G78" s="18"/>
      <c r="H78" s="19" t="s">
        <v>1216</v>
      </c>
      <c r="I78" s="23" t="s">
        <v>1217</v>
      </c>
      <c r="J78" s="24">
        <v>46023</v>
      </c>
      <c r="K78" s="24">
        <v>46387</v>
      </c>
      <c r="L78" s="24" t="s">
        <v>1218</v>
      </c>
      <c r="M78" s="24" t="s">
        <v>1219</v>
      </c>
      <c r="N78" s="24">
        <v>46023</v>
      </c>
      <c r="O78" s="24" t="str">
        <f>VLOOKUP(D78,records!$A:$U,10,FALSE)</f>
        <v>0012p00004TmXQzAAN</v>
      </c>
      <c r="P78" s="24" t="str">
        <f>VLOOKUP(D78,records!$A:$V,20,FALSE)</f>
        <v>FR40444719272</v>
      </c>
      <c r="Q78" s="24" t="str">
        <f>VLOOKUP(D78,records!$A:$V,12,FALSE)</f>
        <v>44 471 927 200 148</v>
      </c>
      <c r="R78" s="24" t="s">
        <v>1220</v>
      </c>
      <c r="S78" s="24" t="str">
        <f>VLOOKUP(D78,records!$A:$U,19,FALSE)</f>
        <v>compta.factures.fournisseurs@flowbird.group</v>
      </c>
      <c r="T78" s="26" t="s">
        <v>1221</v>
      </c>
      <c r="U78" s="26" t="s">
        <v>1222</v>
      </c>
      <c r="V78" s="26" t="str">
        <f>VLOOKUP($D78,records!$A:$V,3,FALSE)</f>
        <v>FLOWBIRD sasu</v>
      </c>
      <c r="W78" s="26"/>
      <c r="X78" s="26" t="str">
        <f>VLOOKUP($D78,records!$A:$V,9,FALSE)</f>
        <v>6 Rue Isaac Newton</v>
      </c>
      <c r="Y78" s="26" t="str">
        <f>VLOOKUP($D78,records!$A:$V,4,FALSE)</f>
        <v>BESANCON</v>
      </c>
      <c r="Z78" s="26" t="str">
        <f>VLOOKUP($D78,records!$A:$V,7,FALSE)</f>
        <v>25000</v>
      </c>
      <c r="AA78" s="26" t="s">
        <v>1223</v>
      </c>
      <c r="AB78" s="26">
        <f>VLOOKUP(O78,'records (2)'!$A:$Z,8,FALSE)</f>
        <v>45</v>
      </c>
      <c r="AC78" s="26" t="b">
        <v>0</v>
      </c>
      <c r="AD78" s="26"/>
      <c r="AE78" s="26"/>
      <c r="AF78" s="26" t="str">
        <f>VLOOKUP($D78,records!$A:$V,13,FALSE)</f>
        <v>FLOWBIRD sasu</v>
      </c>
      <c r="AG78" s="26" t="s">
        <v>1226</v>
      </c>
      <c r="AH78" s="26" t="str">
        <f>VLOOKUP($D78,records!$A:$V,19,FALSE)</f>
        <v>compta.factures.fournisseurs@flowbird.group</v>
      </c>
      <c r="AI78" s="26" t="s">
        <v>1233</v>
      </c>
      <c r="AJ78" s="26" t="str">
        <f>VLOOKUP($O78,'records (2)'!$A:$Z,14,FALSE)</f>
        <v>003IV000010su90YAA</v>
      </c>
      <c r="AK78" s="26" t="str">
        <f>VLOOKUP($O78,'records (2)'!$A:$Z,15,FALSE)</f>
        <v>Véronique CROIZIER</v>
      </c>
      <c r="AL78" s="26" t="str">
        <f>VLOOKUP($O78,'records (2)'!$A:$Z,10,FALSE)</f>
        <v>003IV000010su90YAA</v>
      </c>
      <c r="AM78" s="26" t="str">
        <f>VLOOKUP($O78,'records (2)'!$A:$Z,11,FALSE)</f>
        <v>Véronique CROIZIER</v>
      </c>
      <c r="AN78" s="18">
        <v>1</v>
      </c>
      <c r="AO78" s="4">
        <v>1000</v>
      </c>
      <c r="AP78" s="4">
        <v>1000</v>
      </c>
      <c r="AQ78" s="20">
        <v>0</v>
      </c>
      <c r="AR78" s="6">
        <v>0</v>
      </c>
    </row>
    <row r="79" spans="1:44">
      <c r="A79" s="18" t="s">
        <v>569</v>
      </c>
      <c r="B79" s="18" t="s">
        <v>570</v>
      </c>
      <c r="C79" s="18" t="s">
        <v>571</v>
      </c>
      <c r="D79" s="18" t="s">
        <v>572</v>
      </c>
      <c r="E79" s="18" t="s">
        <v>52</v>
      </c>
      <c r="F79" s="18" t="s">
        <v>53</v>
      </c>
      <c r="G79" s="18"/>
      <c r="H79" s="19" t="s">
        <v>1216</v>
      </c>
      <c r="I79" s="23" t="s">
        <v>1217</v>
      </c>
      <c r="J79" s="24">
        <v>46023</v>
      </c>
      <c r="K79" s="24">
        <v>46387</v>
      </c>
      <c r="L79" s="24" t="s">
        <v>1218</v>
      </c>
      <c r="M79" s="24" t="s">
        <v>1219</v>
      </c>
      <c r="N79" s="24">
        <v>46023</v>
      </c>
      <c r="O79" s="24" t="str">
        <f>VLOOKUP(D79,records!$A:$U,10,FALSE)</f>
        <v>001SZ000005MYg6YAG</v>
      </c>
      <c r="P79" s="24" t="str">
        <f>VLOOKUP(D79,records!$A:$V,20,FALSE)</f>
        <v>FR50788182954</v>
      </c>
      <c r="Q79" s="24" t="str">
        <f>VLOOKUP(D79,records!$A:$V,12,FALSE)</f>
        <v>78 818 295 400 024</v>
      </c>
      <c r="R79" s="24" t="s">
        <v>1220</v>
      </c>
      <c r="S79" s="24" t="str">
        <f>VLOOKUP(D79,records!$A:$U,19,FALSE)</f>
        <v>compta.fournisseur@euroden.com</v>
      </c>
      <c r="T79" s="26" t="s">
        <v>1221</v>
      </c>
      <c r="U79" s="26" t="s">
        <v>1222</v>
      </c>
      <c r="V79" s="26" t="str">
        <f>VLOOKUP($D79,records!$A:$V,3,FALSE)</f>
        <v>AUBRET sasu</v>
      </c>
      <c r="W79" s="26"/>
      <c r="X79" s="26" t="str">
        <f>VLOOKUP($D79,records!$A:$V,9,FALSE)</f>
        <v>ZI BP12 - Saint- Mars La Jaille</v>
      </c>
      <c r="Y79" s="26" t="str">
        <f>VLOOKUP($D79,records!$A:$V,4,FALSE)</f>
        <v>VALLONS-DE-L'ERDRE</v>
      </c>
      <c r="Z79" s="26" t="str">
        <f>VLOOKUP($D79,records!$A:$V,7,FALSE)</f>
        <v>44540</v>
      </c>
      <c r="AA79" s="26" t="s">
        <v>1223</v>
      </c>
      <c r="AB79" s="26">
        <f>VLOOKUP(O79,'records (2)'!$A:$Z,8,FALSE)</f>
        <v>30</v>
      </c>
      <c r="AC79" s="26" t="b">
        <v>0</v>
      </c>
      <c r="AD79" s="26"/>
      <c r="AE79" s="26"/>
      <c r="AF79" s="26" t="str">
        <f>VLOOKUP($D79,records!$A:$V,13,FALSE)</f>
        <v>AUBRET sasu</v>
      </c>
      <c r="AG79" s="26" t="s">
        <v>1226</v>
      </c>
      <c r="AH79" s="26" t="str">
        <f>VLOOKUP($D79,records!$A:$V,19,FALSE)</f>
        <v>compta.fournisseur@euroden.com</v>
      </c>
      <c r="AI79" s="26" t="s">
        <v>1233</v>
      </c>
      <c r="AJ79" s="26" t="str">
        <f>VLOOKUP($O79,'records (2)'!$A:$Z,14,FALSE)</f>
        <v>003IV000010su8nYAA</v>
      </c>
      <c r="AK79" s="26" t="str">
        <f>VLOOKUP($O79,'records (2)'!$A:$Z,15,FALSE)</f>
        <v>Service Comptabilité</v>
      </c>
      <c r="AL79" s="26" t="str">
        <f>VLOOKUP($O79,'records (2)'!$A:$Z,10,FALSE)</f>
        <v>003IV000010su8nYAA</v>
      </c>
      <c r="AM79" s="26" t="str">
        <f>VLOOKUP($O79,'records (2)'!$A:$Z,11,FALSE)</f>
        <v>Service Comptabilité</v>
      </c>
      <c r="AN79" s="18">
        <v>1</v>
      </c>
      <c r="AO79" s="4">
        <v>2000</v>
      </c>
      <c r="AP79" s="4">
        <v>2000</v>
      </c>
      <c r="AQ79" s="20">
        <v>0</v>
      </c>
      <c r="AR79" s="6">
        <v>0</v>
      </c>
    </row>
    <row r="80" spans="1:44">
      <c r="A80" s="18" t="s">
        <v>707</v>
      </c>
      <c r="B80" s="18" t="s">
        <v>708</v>
      </c>
      <c r="C80" s="18" t="s">
        <v>708</v>
      </c>
      <c r="D80" s="18" t="s">
        <v>709</v>
      </c>
      <c r="E80" s="18" t="s">
        <v>52</v>
      </c>
      <c r="F80" s="18" t="s">
        <v>53</v>
      </c>
      <c r="G80" s="18"/>
      <c r="H80" s="19" t="s">
        <v>1216</v>
      </c>
      <c r="I80" s="23" t="s">
        <v>1217</v>
      </c>
      <c r="J80" s="24">
        <v>46023</v>
      </c>
      <c r="K80" s="24">
        <v>46387</v>
      </c>
      <c r="L80" s="24" t="s">
        <v>1218</v>
      </c>
      <c r="M80" s="24" t="s">
        <v>1219</v>
      </c>
      <c r="N80" s="24">
        <v>46023</v>
      </c>
      <c r="O80" s="24" t="str">
        <f>VLOOKUP(D80,records!$A:$U,10,FALSE)</f>
        <v>0012p00004Nh9b2AAB</v>
      </c>
      <c r="P80" s="24" t="str">
        <f>VLOOKUP(D80,records!$A:$V,20,FALSE)</f>
        <v>FR51410252589</v>
      </c>
      <c r="Q80" s="24" t="str">
        <f>VLOOKUP(D80,records!$A:$V,12,FALSE)</f>
        <v>41 025 258 900 024</v>
      </c>
      <c r="R80" s="24" t="s">
        <v>1220</v>
      </c>
      <c r="S80" s="24" t="str">
        <f>VLOOKUP(D80,records!$A:$U,19,FALSE)</f>
        <v>compta.fournisseur@larnaudie.com</v>
      </c>
      <c r="T80" s="26" t="s">
        <v>1221</v>
      </c>
      <c r="U80" s="26" t="s">
        <v>1222</v>
      </c>
      <c r="V80" s="26" t="str">
        <f>VLOOKUP($D80,records!$A:$V,3,FALSE)</f>
        <v>JEAN LARNAUDIE snc</v>
      </c>
      <c r="W80" s="26"/>
      <c r="X80" s="26" t="str">
        <f>VLOOKUP($D80,records!$A:$V,9,FALSE)</f>
        <v>76 rue des Artisans</v>
      </c>
      <c r="Y80" s="26" t="str">
        <f>VLOOKUP($D80,records!$A:$V,4,FALSE)</f>
        <v>FIGEAC</v>
      </c>
      <c r="Z80" s="26" t="str">
        <f>VLOOKUP($D80,records!$A:$V,7,FALSE)</f>
        <v>46100</v>
      </c>
      <c r="AA80" s="26" t="s">
        <v>1223</v>
      </c>
      <c r="AB80" s="26">
        <f>VLOOKUP(O80,'records (2)'!$A:$Z,8,FALSE)</f>
        <v>30</v>
      </c>
      <c r="AC80" s="26" t="b">
        <v>0</v>
      </c>
      <c r="AD80" s="26"/>
      <c r="AE80" s="26"/>
      <c r="AF80" s="26" t="str">
        <f>VLOOKUP($D80,records!$A:$V,13,FALSE)</f>
        <v>JEAN LARNAUDIE snc</v>
      </c>
      <c r="AG80" s="26" t="s">
        <v>1226</v>
      </c>
      <c r="AH80" s="26" t="str">
        <f>VLOOKUP($D80,records!$A:$V,19,FALSE)</f>
        <v>compta.fournisseur@larnaudie.com</v>
      </c>
      <c r="AI80" s="26" t="s">
        <v>1233</v>
      </c>
      <c r="AJ80" s="26" t="str">
        <f>VLOOKUP($O80,'records (2)'!$A:$Z,14,FALSE)</f>
        <v>003IV000010tIe9YAE</v>
      </c>
      <c r="AK80" s="26" t="str">
        <f>VLOOKUP($O80,'records (2)'!$A:$Z,15,FALSE)</f>
        <v>Anne CAMBON (compta.fourn)</v>
      </c>
      <c r="AL80" s="26" t="str">
        <f>VLOOKUP($O80,'records (2)'!$A:$Z,10,FALSE)</f>
        <v>003IV000010tIe9YAE</v>
      </c>
      <c r="AM80" s="26" t="str">
        <f>VLOOKUP($O80,'records (2)'!$A:$Z,11,FALSE)</f>
        <v>Anne CAMBON (compta.fourn)</v>
      </c>
      <c r="AN80" s="18">
        <v>1</v>
      </c>
      <c r="AO80" s="4">
        <v>3500</v>
      </c>
      <c r="AP80" s="4">
        <v>3500</v>
      </c>
      <c r="AQ80" s="20">
        <v>0</v>
      </c>
      <c r="AR80" s="6">
        <v>0</v>
      </c>
    </row>
    <row r="81" spans="1:44">
      <c r="A81" s="18" t="s">
        <v>978</v>
      </c>
      <c r="B81" s="18" t="s">
        <v>979</v>
      </c>
      <c r="C81" s="18" t="s">
        <v>979</v>
      </c>
      <c r="D81" s="18" t="s">
        <v>980</v>
      </c>
      <c r="E81" s="18" t="s">
        <v>52</v>
      </c>
      <c r="F81" s="18" t="s">
        <v>53</v>
      </c>
      <c r="G81" s="18"/>
      <c r="H81" s="19" t="s">
        <v>1216</v>
      </c>
      <c r="I81" s="23" t="s">
        <v>1217</v>
      </c>
      <c r="J81" s="24">
        <v>46023</v>
      </c>
      <c r="K81" s="24">
        <v>46387</v>
      </c>
      <c r="L81" s="24" t="s">
        <v>1218</v>
      </c>
      <c r="M81" s="24" t="s">
        <v>1219</v>
      </c>
      <c r="N81" s="24">
        <v>46023</v>
      </c>
      <c r="O81" s="24" t="str">
        <f>VLOOKUP(D81,records!$A:$U,10,FALSE)</f>
        <v>0012p00004NhQTFAA3</v>
      </c>
      <c r="P81" s="24" t="str">
        <f>VLOOKUP(D81,records!$A:$V,20,FALSE)</f>
        <v>FR61572040509</v>
      </c>
      <c r="Q81" s="24" t="str">
        <f>VLOOKUP(D81,records!$A:$V,12,FALSE)</f>
        <v>57 204 050 900 067</v>
      </c>
      <c r="R81" s="24" t="s">
        <v>1220</v>
      </c>
      <c r="S81" s="24" t="str">
        <f>VLOOKUP(D81,records!$A:$U,19,FALSE)</f>
        <v>compta.fournisseurs@carbody.eu</v>
      </c>
      <c r="T81" s="26" t="s">
        <v>1221</v>
      </c>
      <c r="U81" s="26" t="s">
        <v>1222</v>
      </c>
      <c r="V81" s="26" t="str">
        <f>VLOOKUP($D81,records!$A:$V,3,FALSE)</f>
        <v>CARBODY sas</v>
      </c>
      <c r="W81" s="26"/>
      <c r="X81" s="26" t="str">
        <f>VLOOKUP($D81,records!$A:$V,9,FALSE)</f>
        <v>17 rue du moulin Florent</v>
      </c>
      <c r="Y81" s="26" t="str">
        <f>VLOOKUP($D81,records!$A:$V,4,FALSE)</f>
        <v>WITRY LES REIMS</v>
      </c>
      <c r="Z81" s="26" t="str">
        <f>VLOOKUP($D81,records!$A:$V,7,FALSE)</f>
        <v>51420</v>
      </c>
      <c r="AA81" s="26" t="s">
        <v>1223</v>
      </c>
      <c r="AB81" s="26">
        <f>VLOOKUP(O81,'records (2)'!$A:$Z,8,FALSE)</f>
        <v>30</v>
      </c>
      <c r="AC81" s="26" t="b">
        <v>0</v>
      </c>
      <c r="AD81" s="26"/>
      <c r="AE81" s="26"/>
      <c r="AF81" s="26" t="str">
        <f>VLOOKUP($D81,records!$A:$V,13,FALSE)</f>
        <v>CARBODY sas</v>
      </c>
      <c r="AG81" s="26" t="s">
        <v>1226</v>
      </c>
      <c r="AH81" s="26" t="str">
        <f>VLOOKUP($D81,records!$A:$V,19,FALSE)</f>
        <v>compta.fournisseurs@carbody.eu</v>
      </c>
      <c r="AI81" s="26" t="s">
        <v>1233</v>
      </c>
      <c r="AJ81" s="26" t="str">
        <f>VLOOKUP($O81,'records (2)'!$A:$Z,14,FALSE)</f>
        <v>003IV000010sxGSYAY</v>
      </c>
      <c r="AK81" s="26" t="str">
        <f>VLOOKUP($O81,'records (2)'!$A:$Z,15,FALSE)</f>
        <v>Kaoutar ELAMRANI</v>
      </c>
      <c r="AL81" s="26" t="str">
        <f>VLOOKUP($O81,'records (2)'!$A:$Z,10,FALSE)</f>
        <v>003IV000010sxGQYAY</v>
      </c>
      <c r="AM81" s="26" t="str">
        <f>VLOOKUP($O81,'records (2)'!$A:$Z,11,FALSE)</f>
        <v>Anne POCQUET</v>
      </c>
      <c r="AN81" s="18">
        <v>1</v>
      </c>
      <c r="AO81" s="4">
        <v>500</v>
      </c>
      <c r="AP81" s="4">
        <v>500</v>
      </c>
      <c r="AQ81" s="20">
        <v>0</v>
      </c>
      <c r="AR81" s="6">
        <v>0</v>
      </c>
    </row>
    <row r="82" spans="1:44">
      <c r="A82" s="18" t="s">
        <v>277</v>
      </c>
      <c r="B82" s="18" t="s">
        <v>278</v>
      </c>
      <c r="C82" s="18" t="s">
        <v>279</v>
      </c>
      <c r="D82" s="18" t="s">
        <v>280</v>
      </c>
      <c r="E82" s="18" t="s">
        <v>16</v>
      </c>
      <c r="F82" s="18" t="s">
        <v>17</v>
      </c>
      <c r="G82" s="18"/>
      <c r="H82" s="19" t="s">
        <v>1216</v>
      </c>
      <c r="I82" s="23" t="s">
        <v>1217</v>
      </c>
      <c r="J82" s="24">
        <v>46023</v>
      </c>
      <c r="K82" s="24">
        <v>46387</v>
      </c>
      <c r="L82" s="24" t="s">
        <v>1218</v>
      </c>
      <c r="M82" s="24" t="s">
        <v>1219</v>
      </c>
      <c r="N82" s="24">
        <v>46023</v>
      </c>
      <c r="O82" s="24" t="str">
        <f>VLOOKUP(D82,records!$A:$U,10,FALSE)</f>
        <v>001SZ00000AKbAeYAL</v>
      </c>
      <c r="P82" s="24" t="str">
        <f>VLOOKUP(D82,records!$A:$V,20,FALSE)</f>
        <v>FR73344224761</v>
      </c>
      <c r="Q82" s="24" t="str">
        <f>VLOOKUP(D82,records!$A:$V,12,FALSE)</f>
        <v>34 422 476 100 025</v>
      </c>
      <c r="R82" s="24" t="s">
        <v>1220</v>
      </c>
      <c r="S82" s="24" t="str">
        <f>VLOOKUP(D82,records!$A:$U,19,FALSE)</f>
        <v>compta.fournisseurs@mdsfrance.fr</v>
      </c>
      <c r="T82" s="26" t="s">
        <v>1221</v>
      </c>
      <c r="U82" s="26" t="s">
        <v>1222</v>
      </c>
      <c r="V82" s="26" t="str">
        <f>VLOOKUP($D82,records!$A:$V,3,FALSE)</f>
        <v>MDS sa</v>
      </c>
      <c r="W82" s="26"/>
      <c r="X82" s="26" t="str">
        <f>VLOOKUP($D82,records!$A:$V,9,FALSE)</f>
        <v>22 Rue Robert Benoist</v>
      </c>
      <c r="Y82" s="26" t="str">
        <f>VLOOKUP($D82,records!$A:$V,4,FALSE)</f>
        <v>DOURDAN</v>
      </c>
      <c r="Z82" s="26" t="str">
        <f>VLOOKUP($D82,records!$A:$V,7,FALSE)</f>
        <v>91410</v>
      </c>
      <c r="AA82" s="26" t="s">
        <v>1223</v>
      </c>
      <c r="AB82" s="26">
        <f>VLOOKUP(O82,'records (2)'!$A:$Z,8,FALSE)</f>
        <v>30</v>
      </c>
      <c r="AC82" s="26" t="b">
        <v>0</v>
      </c>
      <c r="AD82" s="26"/>
      <c r="AE82" s="26"/>
      <c r="AF82" s="26" t="str">
        <f>VLOOKUP($D82,records!$A:$V,13,FALSE)</f>
        <v>MDS sa</v>
      </c>
      <c r="AG82" s="26" t="s">
        <v>1226</v>
      </c>
      <c r="AH82" s="26" t="str">
        <f>VLOOKUP($D82,records!$A:$V,19,FALSE)</f>
        <v>compta.fournisseurs@mdsfrance.fr</v>
      </c>
      <c r="AI82" s="26" t="s">
        <v>1233</v>
      </c>
      <c r="AJ82" s="26" t="str">
        <f>VLOOKUP($O82,'records (2)'!$A:$Z,14,FALSE)</f>
        <v>003IV000010su9RYAQ</v>
      </c>
      <c r="AK82" s="26" t="str">
        <f>VLOOKUP($O82,'records (2)'!$A:$Z,15,FALSE)</f>
        <v>Comptabilité MDS sa</v>
      </c>
      <c r="AL82" s="26" t="str">
        <f>VLOOKUP($O82,'records (2)'!$A:$Z,10,FALSE)</f>
        <v>003IV000010su9RYAQ</v>
      </c>
      <c r="AM82" s="26" t="str">
        <f>VLOOKUP($O82,'records (2)'!$A:$Z,11,FALSE)</f>
        <v>Comptabilité MDS sa</v>
      </c>
      <c r="AN82" s="18">
        <v>1</v>
      </c>
      <c r="AO82" s="4">
        <v>3000</v>
      </c>
      <c r="AP82" s="4">
        <v>3000</v>
      </c>
      <c r="AQ82" s="20">
        <v>0</v>
      </c>
      <c r="AR82" s="6">
        <v>0</v>
      </c>
    </row>
    <row r="83" spans="1:44">
      <c r="A83" s="18" t="s">
        <v>377</v>
      </c>
      <c r="B83" s="18" t="s">
        <v>378</v>
      </c>
      <c r="C83" s="18" t="s">
        <v>379</v>
      </c>
      <c r="D83" s="18" t="s">
        <v>380</v>
      </c>
      <c r="E83" s="18" t="s">
        <v>16</v>
      </c>
      <c r="F83" s="18" t="s">
        <v>17</v>
      </c>
      <c r="G83" s="18"/>
      <c r="H83" s="19" t="s">
        <v>1216</v>
      </c>
      <c r="I83" s="23" t="s">
        <v>1217</v>
      </c>
      <c r="J83" s="24">
        <v>46023</v>
      </c>
      <c r="K83" s="24">
        <v>46387</v>
      </c>
      <c r="L83" s="24" t="s">
        <v>1218</v>
      </c>
      <c r="M83" s="24" t="s">
        <v>1219</v>
      </c>
      <c r="N83" s="24">
        <v>46023</v>
      </c>
      <c r="O83" s="24" t="str">
        <f>VLOOKUP(D83,records!$A:$U,10,FALSE)</f>
        <v>0012p00004UIiDrAAL</v>
      </c>
      <c r="P83" s="24" t="str">
        <f>VLOOKUP(D83,records!$A:$V,20,FALSE)</f>
        <v>FR35662014661</v>
      </c>
      <c r="Q83" s="24" t="str">
        <f>VLOOKUP(D83,records!$A:$V,12,FALSE)</f>
        <v>66 201 466 100 067</v>
      </c>
      <c r="R83" s="24" t="s">
        <v>1220</v>
      </c>
      <c r="S83" s="24" t="str">
        <f>VLOOKUP(D83,records!$A:$U,19,FALSE)</f>
        <v>compta.fournisseurs@souchier-boullet.com</v>
      </c>
      <c r="T83" s="26" t="s">
        <v>1221</v>
      </c>
      <c r="U83" s="26" t="s">
        <v>1222</v>
      </c>
      <c r="V83" s="26" t="str">
        <f>VLOOKUP($D83,records!$A:$V,3,FALSE)</f>
        <v>SOUCHIER - BOULLET sas</v>
      </c>
      <c r="W83" s="26"/>
      <c r="X83" s="26" t="str">
        <f>VLOOKUP($D83,records!$A:$V,9,FALSE)</f>
        <v>11 Rue du 47ème Régiment d'Artillerie</v>
      </c>
      <c r="Y83" s="26" t="str">
        <f>VLOOKUP($D83,records!$A:$V,4,FALSE)</f>
        <v>HERICOURT</v>
      </c>
      <c r="Z83" s="26" t="str">
        <f>VLOOKUP($D83,records!$A:$V,7,FALSE)</f>
        <v>70400</v>
      </c>
      <c r="AA83" s="26" t="s">
        <v>1223</v>
      </c>
      <c r="AB83" s="26">
        <f>VLOOKUP(O83,'records (2)'!$A:$Z,8,FALSE)</f>
        <v>30</v>
      </c>
      <c r="AC83" s="26" t="b">
        <v>0</v>
      </c>
      <c r="AD83" s="26"/>
      <c r="AE83" s="26"/>
      <c r="AF83" s="26" t="str">
        <f>VLOOKUP($D83,records!$A:$V,13,FALSE)</f>
        <v>SOUCHIER - BOULLET sas</v>
      </c>
      <c r="AG83" s="26" t="s">
        <v>1226</v>
      </c>
      <c r="AH83" s="26" t="str">
        <f>VLOOKUP($D83,records!$A:$V,19,FALSE)</f>
        <v>compta.fournisseurs@souchier-boullet.com</v>
      </c>
      <c r="AI83" s="26" t="s">
        <v>1233</v>
      </c>
      <c r="AJ83" s="26" t="str">
        <f>VLOOKUP($O83,'records (2)'!$A:$Z,14,FALSE)</f>
        <v>003IV000010tPaLYAU</v>
      </c>
      <c r="AK83" s="26" t="str">
        <f>VLOOKUP($O83,'records (2)'!$A:$Z,15,FALSE)</f>
        <v>Geneviève BERTENAND - (Compta)</v>
      </c>
      <c r="AL83" s="26" t="str">
        <f>VLOOKUP($O83,'records (2)'!$A:$Z,10,FALSE)</f>
        <v>003IV000010tPaLYAU</v>
      </c>
      <c r="AM83" s="26" t="str">
        <f>VLOOKUP($O83,'records (2)'!$A:$Z,11,FALSE)</f>
        <v>Geneviève BERTENAND - (Compta)</v>
      </c>
      <c r="AN83" s="18">
        <v>1</v>
      </c>
      <c r="AO83" s="4">
        <v>2000</v>
      </c>
      <c r="AP83" s="4">
        <v>2000</v>
      </c>
      <c r="AQ83" s="20">
        <v>0</v>
      </c>
      <c r="AR83" s="6">
        <v>0</v>
      </c>
    </row>
    <row r="84" spans="1:44">
      <c r="A84" s="18" t="s">
        <v>410</v>
      </c>
      <c r="B84" s="18" t="s">
        <v>411</v>
      </c>
      <c r="C84" s="18" t="s">
        <v>411</v>
      </c>
      <c r="D84" s="18" t="s">
        <v>412</v>
      </c>
      <c r="E84" s="18" t="s">
        <v>23</v>
      </c>
      <c r="F84" s="18" t="s">
        <v>24</v>
      </c>
      <c r="G84" s="18"/>
      <c r="H84" s="19" t="s">
        <v>1216</v>
      </c>
      <c r="I84" s="23" t="s">
        <v>1217</v>
      </c>
      <c r="J84" s="24">
        <v>46023</v>
      </c>
      <c r="K84" s="24">
        <v>46387</v>
      </c>
      <c r="L84" s="24" t="s">
        <v>1218</v>
      </c>
      <c r="M84" s="24" t="s">
        <v>1219</v>
      </c>
      <c r="N84" s="24">
        <v>46023</v>
      </c>
      <c r="O84" s="24" t="str">
        <f>VLOOKUP(D84,records!$A:$U,10,FALSE)</f>
        <v>0012p00004RJUKLAA5</v>
      </c>
      <c r="P84" s="24" t="str">
        <f>VLOOKUP(D84,records!$A:$V,20,FALSE)</f>
        <v>FR24654801026</v>
      </c>
      <c r="Q84" s="24" t="str">
        <f>VLOOKUP(D84,records!$A:$V,12,FALSE)</f>
        <v>65 480 102 600 018</v>
      </c>
      <c r="R84" s="24" t="s">
        <v>1220</v>
      </c>
      <c r="S84" s="24" t="str">
        <f>VLOOKUP(D84,records!$A:$U,19,FALSE)</f>
        <v>compta.fournisseurs@weser.fr</v>
      </c>
      <c r="T84" s="26" t="s">
        <v>1221</v>
      </c>
      <c r="U84" s="26" t="s">
        <v>1222</v>
      </c>
      <c r="V84" s="26" t="str">
        <f>VLOOKUP($D84,records!$A:$V,3,FALSE)</f>
        <v>WESER sas</v>
      </c>
      <c r="W84" s="26"/>
      <c r="X84" s="26" t="str">
        <f>VLOOKUP($D84,records!$A:$V,9,FALSE)</f>
        <v>1 Route de Cléré</v>
      </c>
      <c r="Y84" s="26" t="str">
        <f>VLOOKUP($D84,records!$A:$V,4,FALSE)</f>
        <v>MAZIERES DE TOURAINE</v>
      </c>
      <c r="Z84" s="26" t="str">
        <f>VLOOKUP($D84,records!$A:$V,7,FALSE)</f>
        <v>37130</v>
      </c>
      <c r="AA84" s="26" t="s">
        <v>1223</v>
      </c>
      <c r="AB84" s="26">
        <f>VLOOKUP(O84,'records (2)'!$A:$Z,8,FALSE)</f>
        <v>30</v>
      </c>
      <c r="AC84" s="26" t="b">
        <v>0</v>
      </c>
      <c r="AD84" s="26"/>
      <c r="AE84" s="26"/>
      <c r="AF84" s="26" t="str">
        <f>VLOOKUP($D84,records!$A:$V,13,FALSE)</f>
        <v>WESER sas</v>
      </c>
      <c r="AG84" s="26" t="s">
        <v>1226</v>
      </c>
      <c r="AH84" s="26" t="str">
        <f>VLOOKUP($D84,records!$A:$V,19,FALSE)</f>
        <v>compta.fournisseurs@weser.fr</v>
      </c>
      <c r="AI84" s="26" t="s">
        <v>1233</v>
      </c>
      <c r="AJ84" s="26" t="str">
        <f>VLOOKUP($O84,'records (2)'!$A:$Z,14,FALSE)</f>
        <v>003IV000010tIe4YAE</v>
      </c>
      <c r="AK84" s="26" t="str">
        <f>VLOOKUP($O84,'records (2)'!$A:$Z,15,FALSE)</f>
        <v>Lydie GAUDIN (compta)</v>
      </c>
      <c r="AL84" s="26" t="str">
        <f>VLOOKUP($O84,'records (2)'!$A:$Z,10,FALSE)</f>
        <v>003IV000010tIe4YAE</v>
      </c>
      <c r="AM84" s="26" t="str">
        <f>VLOOKUP($O84,'records (2)'!$A:$Z,11,FALSE)</f>
        <v>Lydie GAUDIN (compta)</v>
      </c>
      <c r="AN84" s="18">
        <v>1</v>
      </c>
      <c r="AO84" s="4">
        <v>3120</v>
      </c>
      <c r="AP84" s="4">
        <v>3120</v>
      </c>
      <c r="AQ84" s="20">
        <v>0</v>
      </c>
      <c r="AR84" s="6">
        <v>0</v>
      </c>
    </row>
    <row r="85" spans="1:44">
      <c r="A85" s="18" t="s">
        <v>805</v>
      </c>
      <c r="B85" s="18" t="s">
        <v>806</v>
      </c>
      <c r="C85" s="18" t="s">
        <v>806</v>
      </c>
      <c r="D85" s="18" t="s">
        <v>807</v>
      </c>
      <c r="E85" s="18" t="s">
        <v>52</v>
      </c>
      <c r="F85" s="18" t="s">
        <v>53</v>
      </c>
      <c r="G85" s="18"/>
      <c r="H85" s="19" t="s">
        <v>1216</v>
      </c>
      <c r="I85" s="23" t="s">
        <v>1217</v>
      </c>
      <c r="J85" s="24">
        <v>46023</v>
      </c>
      <c r="K85" s="24">
        <v>46387</v>
      </c>
      <c r="L85" s="24" t="s">
        <v>1218</v>
      </c>
      <c r="M85" s="24" t="s">
        <v>1219</v>
      </c>
      <c r="N85" s="24">
        <v>46023</v>
      </c>
      <c r="O85" s="24" t="str">
        <f>VLOOKUP(D85,records!$A:$U,10,FALSE)</f>
        <v>0012p00004Sfc9aAAB</v>
      </c>
      <c r="P85" s="24" t="str">
        <f>VLOOKUP(D85,records!$A:$V,20,FALSE)</f>
        <v>FR14644800161</v>
      </c>
      <c r="Q85" s="24" t="str">
        <f>VLOOKUP(D85,records!$A:$V,12,FALSE)</f>
        <v>64 480 016 100 015</v>
      </c>
      <c r="R85" s="24" t="s">
        <v>1220</v>
      </c>
      <c r="S85" s="24" t="str">
        <f>VLOOKUP(D85,records!$A:$U,19,FALSE)</f>
        <v>compta.groupe@plastivaloire.com</v>
      </c>
      <c r="T85" s="26" t="s">
        <v>1221</v>
      </c>
      <c r="U85" s="26" t="s">
        <v>1222</v>
      </c>
      <c r="V85" s="26" t="str">
        <f>VLOOKUP($D85,records!$A:$V,3,FALSE)</f>
        <v>PLASTIQUES DU VAL DE LOIRE sa</v>
      </c>
      <c r="W85" s="26" t="str">
        <f>IFERROR(VLOOKUP($D85,records!$A:$V,6,FALSE),)</f>
        <v>Comptabilité &amp; ressources Humaines</v>
      </c>
      <c r="X85" s="26" t="str">
        <f>VLOOKUP($D85,records!$A:$V,9,FALSE)</f>
        <v>1 route de la Retaudière - E.I. Nord - BP 38</v>
      </c>
      <c r="Y85" s="26" t="str">
        <f>VLOOKUP($D85,records!$A:$V,4,FALSE)</f>
        <v>LANGEAIS</v>
      </c>
      <c r="Z85" s="26" t="str">
        <f>VLOOKUP($D85,records!$A:$V,7,FALSE)</f>
        <v>37130</v>
      </c>
      <c r="AA85" s="26" t="s">
        <v>1223</v>
      </c>
      <c r="AB85" s="26">
        <f>VLOOKUP(O85,'records (2)'!$A:$Z,8,FALSE)</f>
        <v>30</v>
      </c>
      <c r="AC85" s="26" t="b">
        <v>0</v>
      </c>
      <c r="AD85" s="26"/>
      <c r="AE85" s="26"/>
      <c r="AF85" s="26" t="str">
        <f>VLOOKUP($D85,records!$A:$V,13,FALSE)</f>
        <v>PLASTIQUES DU VAL DE LOIRE sa</v>
      </c>
      <c r="AG85" s="26" t="s">
        <v>1226</v>
      </c>
      <c r="AH85" s="26" t="str">
        <f>VLOOKUP($D85,records!$A:$V,19,FALSE)</f>
        <v>compta.groupe@plastivaloire.com</v>
      </c>
      <c r="AI85" s="26" t="s">
        <v>1233</v>
      </c>
      <c r="AJ85" s="26" t="str">
        <f>VLOOKUP($O85,'records (2)'!$A:$Z,14,FALSE)</f>
        <v>003IV000010tJXjYAM</v>
      </c>
      <c r="AK85" s="26" t="str">
        <f>VLOOKUP($O85,'records (2)'!$A:$Z,15,FALSE)</f>
        <v>Aurélie BOISSONNEAU (compta.groupe)</v>
      </c>
      <c r="AL85" s="26" t="str">
        <f>VLOOKUP($O85,'records (2)'!$A:$Z,10,FALSE)</f>
        <v>003IV000010tJXjYAM</v>
      </c>
      <c r="AM85" s="26" t="str">
        <f>VLOOKUP($O85,'records (2)'!$A:$Z,11,FALSE)</f>
        <v>Aurélie BOISSONNEAU (compta.groupe)</v>
      </c>
      <c r="AN85" s="18">
        <v>1</v>
      </c>
      <c r="AO85" s="4">
        <v>6500</v>
      </c>
      <c r="AP85" s="4">
        <v>6500</v>
      </c>
      <c r="AQ85" s="20">
        <v>0</v>
      </c>
      <c r="AR85" s="6">
        <v>0</v>
      </c>
    </row>
    <row r="86" spans="1:44">
      <c r="A86" s="18" t="s">
        <v>849</v>
      </c>
      <c r="B86" s="18" t="s">
        <v>850</v>
      </c>
      <c r="C86" s="18" t="s">
        <v>851</v>
      </c>
      <c r="D86" s="18" t="s">
        <v>852</v>
      </c>
      <c r="E86" s="18" t="s">
        <v>52</v>
      </c>
      <c r="F86" s="18" t="s">
        <v>53</v>
      </c>
      <c r="G86" s="18"/>
      <c r="H86" s="19" t="s">
        <v>1216</v>
      </c>
      <c r="I86" s="23" t="s">
        <v>1217</v>
      </c>
      <c r="J86" s="24">
        <v>46023</v>
      </c>
      <c r="K86" s="24">
        <v>46387</v>
      </c>
      <c r="L86" s="24" t="s">
        <v>1218</v>
      </c>
      <c r="M86" s="24" t="s">
        <v>1219</v>
      </c>
      <c r="N86" s="24">
        <v>46023</v>
      </c>
      <c r="O86" s="24" t="str">
        <f>VLOOKUP(D86,records!$A:$U,10,FALSE)</f>
        <v>0012p00004RBJMwAAP</v>
      </c>
      <c r="P86" s="24" t="str">
        <f>VLOOKUP(D86,records!$A:$V,20,FALSE)</f>
        <v>FR72801339524</v>
      </c>
      <c r="Q86" s="24" t="str">
        <f>VLOOKUP(D86,records!$A:$V,12,FALSE)</f>
        <v>80 133 952 400 010</v>
      </c>
      <c r="R86" s="24" t="s">
        <v>1220</v>
      </c>
      <c r="S86" s="24" t="str">
        <f>VLOOKUP(D86,records!$A:$U,19,FALSE)</f>
        <v>compta.saem@engie.com</v>
      </c>
      <c r="T86" s="26" t="s">
        <v>1221</v>
      </c>
      <c r="U86" s="26" t="s">
        <v>1222</v>
      </c>
      <c r="V86" s="26" t="str">
        <f>VLOOKUP($D86,records!$A:$V,3,FALSE)</f>
        <v>SAEM sas</v>
      </c>
      <c r="W86" s="26" t="str">
        <f>IFERROR(VLOOKUP($D86,records!$A:$V,6,FALSE),)</f>
        <v>SAEM ENERGIES</v>
      </c>
      <c r="X86" s="26" t="str">
        <f>VLOOKUP($D86,records!$A:$V,9,FALSE)</f>
        <v>2 Boulevard Jean Lafaure</v>
      </c>
      <c r="Y86" s="26" t="str">
        <f>VLOOKUP($D86,records!$A:$V,4,FALSE)</f>
        <v>CUSSET</v>
      </c>
      <c r="Z86" s="26" t="str">
        <f>VLOOKUP($D86,records!$A:$V,7,FALSE)</f>
        <v>3300</v>
      </c>
      <c r="AA86" s="26" t="s">
        <v>1223</v>
      </c>
      <c r="AB86" s="26">
        <f>VLOOKUP(O86,'records (2)'!$A:$Z,8,FALSE)</f>
        <v>30</v>
      </c>
      <c r="AC86" s="26" t="b">
        <v>0</v>
      </c>
      <c r="AD86" s="26"/>
      <c r="AE86" s="26"/>
      <c r="AF86" s="26" t="str">
        <f>VLOOKUP($D86,records!$A:$V,13,FALSE)</f>
        <v>SAEM sas</v>
      </c>
      <c r="AG86" s="26" t="s">
        <v>1226</v>
      </c>
      <c r="AH86" s="26" t="str">
        <f>VLOOKUP($D86,records!$A:$V,19,FALSE)</f>
        <v>compta.saem@engie.com</v>
      </c>
      <c r="AI86" s="26" t="s">
        <v>1233</v>
      </c>
      <c r="AJ86" s="26" t="str">
        <f>VLOOKUP($O86,'records (2)'!$A:$Z,14,FALSE)</f>
        <v>003IV000010tRW6YAM</v>
      </c>
      <c r="AK86" s="26" t="str">
        <f>VLOOKUP($O86,'records (2)'!$A:$Z,15,FALSE)</f>
        <v>Rémi LUCENET</v>
      </c>
      <c r="AL86" s="26" t="str">
        <f>VLOOKUP($O86,'records (2)'!$A:$Z,10,FALSE)</f>
        <v>003IV000010tRW6YAM</v>
      </c>
      <c r="AM86" s="26" t="str">
        <f>VLOOKUP($O86,'records (2)'!$A:$Z,11,FALSE)</f>
        <v>Rémi LUCENET</v>
      </c>
      <c r="AN86" s="18">
        <v>1</v>
      </c>
      <c r="AO86" s="4">
        <v>500</v>
      </c>
      <c r="AP86" s="4">
        <v>500</v>
      </c>
      <c r="AQ86" s="20"/>
      <c r="AR86" s="6"/>
    </row>
    <row r="87" spans="1:44">
      <c r="A87" s="18" t="s">
        <v>103</v>
      </c>
      <c r="B87" s="18" t="s">
        <v>104</v>
      </c>
      <c r="C87" s="18" t="s">
        <v>104</v>
      </c>
      <c r="D87" s="18" t="s">
        <v>105</v>
      </c>
      <c r="E87" s="18" t="s">
        <v>16</v>
      </c>
      <c r="F87" s="18" t="s">
        <v>17</v>
      </c>
      <c r="G87" s="18"/>
      <c r="H87" s="19" t="s">
        <v>1216</v>
      </c>
      <c r="I87" s="23" t="s">
        <v>1217</v>
      </c>
      <c r="J87" s="24">
        <v>46023</v>
      </c>
      <c r="K87" s="24">
        <v>46387</v>
      </c>
      <c r="L87" s="24" t="s">
        <v>1218</v>
      </c>
      <c r="M87" s="24" t="s">
        <v>1219</v>
      </c>
      <c r="N87" s="24">
        <v>46023</v>
      </c>
      <c r="O87" s="24" t="str">
        <f>VLOOKUP(D87,records!$A:$U,10,FALSE)</f>
        <v>0012p00004MRCLYAA5</v>
      </c>
      <c r="P87" s="24" t="str">
        <f>VLOOKUP(D87,records!$A:$V,20,FALSE)</f>
        <v>FR12582950309</v>
      </c>
      <c r="Q87" s="24" t="str">
        <f>VLOOKUP(D87,records!$A:$V,12,FALSE)</f>
        <v>58 295 030 900 051</v>
      </c>
      <c r="R87" s="24" t="s">
        <v>1220</v>
      </c>
      <c r="S87" s="24" t="str">
        <f>VLOOKUP(D87,records!$A:$U,19,FALSE)</f>
        <v>compta@afebakery.fr</v>
      </c>
      <c r="T87" s="26" t="s">
        <v>1221</v>
      </c>
      <c r="U87" s="26" t="s">
        <v>1222</v>
      </c>
      <c r="V87" s="26" t="str">
        <f>VLOOKUP($D87,records!$A:$V,3,FALSE)</f>
        <v>BONGARD sas</v>
      </c>
      <c r="W87" s="26" t="str">
        <f>IFERROR(VLOOKUP($D87,records!$A:$V,6,FALSE),)</f>
        <v>Comptabilité</v>
      </c>
      <c r="X87" s="26" t="str">
        <f>VLOOKUP($D87,records!$A:$V,9,FALSE)</f>
        <v>32 route de Wolfisheim</v>
      </c>
      <c r="Y87" s="26" t="str">
        <f>VLOOKUP($D87,records!$A:$V,4,FALSE)</f>
        <v>HOLTZHEIM</v>
      </c>
      <c r="Z87" s="26" t="str">
        <f>VLOOKUP($D87,records!$A:$V,7,FALSE)</f>
        <v>67810</v>
      </c>
      <c r="AA87" s="26" t="s">
        <v>1223</v>
      </c>
      <c r="AB87" s="26">
        <f>VLOOKUP(O87,'records (2)'!$A:$Z,8,FALSE)</f>
        <v>30</v>
      </c>
      <c r="AC87" s="26" t="b">
        <v>0</v>
      </c>
      <c r="AD87" s="26"/>
      <c r="AE87" s="26"/>
      <c r="AF87" s="26" t="str">
        <f>VLOOKUP($D87,records!$A:$V,13,FALSE)</f>
        <v>BONGARD sas</v>
      </c>
      <c r="AG87" s="26" t="s">
        <v>1226</v>
      </c>
      <c r="AH87" s="26" t="str">
        <f>VLOOKUP($D87,records!$A:$V,19,FALSE)</f>
        <v>compta@afebakery.fr</v>
      </c>
      <c r="AI87" s="26" t="s">
        <v>1233</v>
      </c>
      <c r="AJ87" s="26" t="str">
        <f>VLOOKUP($O87,'records (2)'!$A:$Z,14,FALSE)</f>
        <v>003IV000010tIeYYAU</v>
      </c>
      <c r="AK87" s="26" t="str">
        <f>VLOOKUP($O87,'records (2)'!$A:$Z,15,FALSE)</f>
        <v>Sylvie KREMER</v>
      </c>
      <c r="AL87" s="26" t="str">
        <f>VLOOKUP($O87,'records (2)'!$A:$Z,10,FALSE)</f>
        <v>003IV000010tTt4YAE</v>
      </c>
      <c r="AM87" s="26" t="str">
        <f>VLOOKUP($O87,'records (2)'!$A:$Z,11,FALSE)</f>
        <v>Aurore MARCHAND</v>
      </c>
      <c r="AN87" s="18">
        <v>1</v>
      </c>
      <c r="AO87" s="4">
        <v>1000</v>
      </c>
      <c r="AP87" s="4">
        <v>1000</v>
      </c>
      <c r="AQ87" s="20">
        <v>0</v>
      </c>
      <c r="AR87" s="6">
        <v>0</v>
      </c>
    </row>
    <row r="88" spans="1:44">
      <c r="A88" s="18" t="s">
        <v>863</v>
      </c>
      <c r="B88" s="18" t="s">
        <v>864</v>
      </c>
      <c r="C88" s="18" t="s">
        <v>864</v>
      </c>
      <c r="D88" s="18" t="s">
        <v>865</v>
      </c>
      <c r="E88" s="18" t="s">
        <v>52</v>
      </c>
      <c r="F88" s="18" t="s">
        <v>53</v>
      </c>
      <c r="G88" s="18"/>
      <c r="H88" s="19" t="s">
        <v>1216</v>
      </c>
      <c r="I88" s="23" t="s">
        <v>1217</v>
      </c>
      <c r="J88" s="24">
        <v>46023</v>
      </c>
      <c r="K88" s="24">
        <v>46387</v>
      </c>
      <c r="L88" s="24" t="s">
        <v>1218</v>
      </c>
      <c r="M88" s="24" t="s">
        <v>1219</v>
      </c>
      <c r="N88" s="24">
        <v>46023</v>
      </c>
      <c r="O88" s="24" t="str">
        <f>VLOOKUP(D88,records!$A:$U,10,FALSE)</f>
        <v>0012p00004SiWGTAA3</v>
      </c>
      <c r="P88" s="24" t="str">
        <f>VLOOKUP(D88,records!$A:$V,20,FALSE)</f>
        <v>FR26505317172</v>
      </c>
      <c r="Q88" s="24" t="str">
        <f>VLOOKUP(D88,records!$A:$V,12,FALSE)</f>
        <v>31 349 840 400 067</v>
      </c>
      <c r="R88" s="24" t="s">
        <v>1220</v>
      </c>
      <c r="S88" s="24" t="str">
        <f>VLOOKUP(D88,records!$A:$U,19,FALSE)</f>
        <v>compta@atelier36.fr</v>
      </c>
      <c r="T88" s="26" t="s">
        <v>1221</v>
      </c>
      <c r="U88" s="26" t="s">
        <v>1222</v>
      </c>
      <c r="V88" s="26" t="str">
        <f>VLOOKUP($D88,records!$A:$V,3,FALSE)</f>
        <v>SAMB sasu</v>
      </c>
      <c r="W88" s="26"/>
      <c r="X88" s="26" t="str">
        <f>VLOOKUP($D88,records!$A:$V,9,FALSE)</f>
        <v>18 Allée Gaspard Monge - 
 ZI des Daubourgs</v>
      </c>
      <c r="Y88" s="26" t="str">
        <f>VLOOKUP($D88,records!$A:$V,4,FALSE)</f>
        <v>LE BLANC</v>
      </c>
      <c r="Z88" s="26" t="str">
        <f>VLOOKUP($D88,records!$A:$V,7,FALSE)</f>
        <v>36300</v>
      </c>
      <c r="AA88" s="26" t="s">
        <v>1223</v>
      </c>
      <c r="AB88" s="26">
        <f>VLOOKUP(O88,'records (2)'!$A:$Z,8,FALSE)</f>
        <v>30</v>
      </c>
      <c r="AC88" s="26" t="b">
        <v>0</v>
      </c>
      <c r="AD88" s="26"/>
      <c r="AE88" s="26"/>
      <c r="AF88" s="26" t="str">
        <f>VLOOKUP($D88,records!$A:$V,13,FALSE)</f>
        <v>SAMB sasu</v>
      </c>
      <c r="AG88" s="26" t="s">
        <v>1226</v>
      </c>
      <c r="AH88" s="26" t="str">
        <f>VLOOKUP($D88,records!$A:$V,19,FALSE)</f>
        <v>compta@atelier36.fr</v>
      </c>
      <c r="AI88" s="26" t="s">
        <v>1233</v>
      </c>
      <c r="AJ88" s="26" t="str">
        <f>VLOOKUP($O88,'records (2)'!$A:$Z,14,FALSE)</f>
        <v>003IV000010su8xYAA</v>
      </c>
      <c r="AK88" s="26" t="str">
        <f>VLOOKUP($O88,'records (2)'!$A:$Z,15,FALSE)</f>
        <v>Daphné AUDOUIN</v>
      </c>
      <c r="AL88" s="26" t="str">
        <f>VLOOKUP($O88,'records (2)'!$A:$Z,10,FALSE)</f>
        <v>003IV000010su8xYAA</v>
      </c>
      <c r="AM88" s="26" t="str">
        <f>VLOOKUP($O88,'records (2)'!$A:$Z,11,FALSE)</f>
        <v>Daphné AUDOUIN</v>
      </c>
      <c r="AN88" s="18">
        <v>1</v>
      </c>
      <c r="AO88" s="4">
        <v>1500</v>
      </c>
      <c r="AP88" s="4">
        <v>1500</v>
      </c>
      <c r="AQ88" s="20">
        <v>0</v>
      </c>
      <c r="AR88" s="6">
        <v>0</v>
      </c>
    </row>
    <row r="89" spans="1:44">
      <c r="A89" s="18" t="s">
        <v>984</v>
      </c>
      <c r="B89" s="18" t="s">
        <v>985</v>
      </c>
      <c r="C89" s="18" t="s">
        <v>986</v>
      </c>
      <c r="D89" s="18" t="s">
        <v>987</v>
      </c>
      <c r="E89" s="18" t="s">
        <v>16</v>
      </c>
      <c r="F89" s="18" t="s">
        <v>17</v>
      </c>
      <c r="G89" s="18"/>
      <c r="H89" s="19" t="s">
        <v>1216</v>
      </c>
      <c r="I89" s="23" t="s">
        <v>1217</v>
      </c>
      <c r="J89" s="24">
        <v>46023</v>
      </c>
      <c r="K89" s="24">
        <v>46387</v>
      </c>
      <c r="L89" s="24" t="s">
        <v>1218</v>
      </c>
      <c r="M89" s="24" t="s">
        <v>1219</v>
      </c>
      <c r="N89" s="24">
        <v>46023</v>
      </c>
      <c r="O89" s="24" t="str">
        <f>VLOOKUP(D89,records!$A:$U,10,FALSE)</f>
        <v>0012p00004ONPiSAAX</v>
      </c>
      <c r="P89" s="24" t="str">
        <f>VLOOKUP(D89,records!$A:$V,20,FALSE)</f>
        <v>FR74301166138</v>
      </c>
      <c r="Q89" s="24" t="str">
        <f>VLOOKUP(D89,records!$A:$V,12,FALSE)</f>
        <v>30 116 613 800 034</v>
      </c>
      <c r="R89" s="24" t="s">
        <v>1220</v>
      </c>
      <c r="S89" s="24" t="str">
        <f>VLOOKUP(D89,records!$A:$U,19,FALSE)</f>
        <v>compta@charles-perroud.com</v>
      </c>
      <c r="T89" s="26" t="s">
        <v>1221</v>
      </c>
      <c r="U89" s="26" t="s">
        <v>1222</v>
      </c>
      <c r="V89" s="26" t="str">
        <f>VLOOKUP($D89,records!$A:$V,3,FALSE)</f>
        <v>CHARLES PERROUD sas</v>
      </c>
      <c r="W89" s="26"/>
      <c r="X89" s="26" t="str">
        <f>VLOOKUP($D89,records!$A:$V,9,FALSE)</f>
        <v>173 route de Chapernay</v>
      </c>
      <c r="Y89" s="26" t="str">
        <f>VLOOKUP($D89,records!$A:$V,4,FALSE)</f>
        <v>LENTILLY</v>
      </c>
      <c r="Z89" s="26" t="str">
        <f>VLOOKUP($D89,records!$A:$V,7,FALSE)</f>
        <v>69210</v>
      </c>
      <c r="AA89" s="26" t="s">
        <v>1223</v>
      </c>
      <c r="AB89" s="26">
        <f>VLOOKUP(O89,'records (2)'!$A:$Z,8,FALSE)</f>
        <v>30</v>
      </c>
      <c r="AC89" s="26" t="b">
        <v>0</v>
      </c>
      <c r="AD89" s="26"/>
      <c r="AE89" s="26"/>
      <c r="AF89" s="26" t="str">
        <f>VLOOKUP($D89,records!$A:$V,13,FALSE)</f>
        <v>CHARLES PERROUD sas</v>
      </c>
      <c r="AG89" s="26" t="s">
        <v>1226</v>
      </c>
      <c r="AH89" s="26" t="str">
        <f>VLOOKUP($D89,records!$A:$V,19,FALSE)</f>
        <v>compta@charles-perroud.com</v>
      </c>
      <c r="AI89" s="26" t="s">
        <v>1233</v>
      </c>
      <c r="AJ89" s="26" t="str">
        <f>VLOOKUP($O89,'records (2)'!$A:$Z,14,FALSE)</f>
        <v>003IV000010t2foYAA</v>
      </c>
      <c r="AK89" s="26" t="str">
        <f>VLOOKUP($O89,'records (2)'!$A:$Z,15,FALSE)</f>
        <v>Stéphanie VILLEDIEU</v>
      </c>
      <c r="AL89" s="26" t="str">
        <f>VLOOKUP($O89,'records (2)'!$A:$Z,10,FALSE)</f>
        <v>003IV000010t2foYAA</v>
      </c>
      <c r="AM89" s="26" t="str">
        <f>VLOOKUP($O89,'records (2)'!$A:$Z,11,FALSE)</f>
        <v>Stéphanie VILLEDIEU</v>
      </c>
      <c r="AN89" s="18">
        <v>1</v>
      </c>
      <c r="AO89" s="4">
        <v>1000</v>
      </c>
      <c r="AP89" s="4">
        <v>1000</v>
      </c>
      <c r="AQ89" s="20">
        <v>0</v>
      </c>
      <c r="AR89" s="6">
        <v>0</v>
      </c>
    </row>
    <row r="90" spans="1:44">
      <c r="A90" s="18" t="s">
        <v>547</v>
      </c>
      <c r="B90" s="18" t="s">
        <v>548</v>
      </c>
      <c r="C90" s="18" t="s">
        <v>548</v>
      </c>
      <c r="D90" s="18" t="s">
        <v>549</v>
      </c>
      <c r="E90" s="18" t="s">
        <v>52</v>
      </c>
      <c r="F90" s="18" t="s">
        <v>53</v>
      </c>
      <c r="G90" s="18"/>
      <c r="H90" s="19" t="s">
        <v>1216</v>
      </c>
      <c r="I90" s="23" t="s">
        <v>1217</v>
      </c>
      <c r="J90" s="24">
        <v>46023</v>
      </c>
      <c r="K90" s="24">
        <v>46387</v>
      </c>
      <c r="L90" s="24" t="s">
        <v>1218</v>
      </c>
      <c r="M90" s="24" t="s">
        <v>1219</v>
      </c>
      <c r="N90" s="24">
        <v>46023</v>
      </c>
      <c r="O90" s="24" t="str">
        <f>VLOOKUP(D90,records!$A:$U,10,FALSE)</f>
        <v>001SZ000009hKuUYAU</v>
      </c>
      <c r="P90" s="24" t="str">
        <f>VLOOKUP(D90,records!$A:$V,20,FALSE)</f>
        <v>FR48420454175</v>
      </c>
      <c r="Q90" s="24" t="str">
        <f>VLOOKUP(D90,records!$A:$V,12,FALSE)</f>
        <v>42 045 417 500 035</v>
      </c>
      <c r="R90" s="24" t="s">
        <v>1220</v>
      </c>
      <c r="S90" s="24" t="str">
        <f>VLOOKUP(D90,records!$A:$U,19,FALSE)</f>
        <v>compta@electropoli.com</v>
      </c>
      <c r="T90" s="26" t="s">
        <v>1221</v>
      </c>
      <c r="U90" s="26" t="s">
        <v>1222</v>
      </c>
      <c r="V90" s="26" t="str">
        <f>VLOOKUP($D90,records!$A:$V,3,FALSE)</f>
        <v>ELECTROPOLI FRANCE sarl</v>
      </c>
      <c r="W90" s="26" t="str">
        <f>IFERROR(VLOOKUP($D90,records!$A:$V,6,FALSE),)</f>
        <v>Service Comptabilité</v>
      </c>
      <c r="X90" s="26" t="str">
        <f>VLOOKUP($D90,records!$A:$V,9,FALSE)</f>
        <v>Le Grand Chemin</v>
      </c>
      <c r="Y90" s="26" t="str">
        <f>VLOOKUP($D90,records!$A:$V,4,FALSE)</f>
        <v>ISIGNY LE BUAT</v>
      </c>
      <c r="Z90" s="26" t="str">
        <f>VLOOKUP($D90,records!$A:$V,7,FALSE)</f>
        <v>50540</v>
      </c>
      <c r="AA90" s="26" t="s">
        <v>1223</v>
      </c>
      <c r="AB90" s="26">
        <f>VLOOKUP(O90,'records (2)'!$A:$Z,8,FALSE)</f>
        <v>30</v>
      </c>
      <c r="AC90" s="26" t="b">
        <v>0</v>
      </c>
      <c r="AD90" s="26"/>
      <c r="AE90" s="26"/>
      <c r="AF90" s="26" t="str">
        <f>VLOOKUP($D90,records!$A:$V,13,FALSE)</f>
        <v>ELECTROPOLI FRANCE sarl</v>
      </c>
      <c r="AG90" s="26" t="s">
        <v>1226</v>
      </c>
      <c r="AH90" s="26" t="str">
        <f>VLOOKUP($D90,records!$A:$V,19,FALSE)</f>
        <v>compta@electropoli.com</v>
      </c>
      <c r="AI90" s="26" t="s">
        <v>1233</v>
      </c>
      <c r="AJ90" s="26" t="str">
        <f>VLOOKUP($O90,'records (2)'!$A:$Z,14,FALSE)</f>
        <v>003IV000010tJWDYA2</v>
      </c>
      <c r="AK90" s="26" t="str">
        <f>VLOOKUP($O90,'records (2)'!$A:$Z,15,FALSE)</f>
        <v>Florent MONTAUFRAY</v>
      </c>
      <c r="AL90" s="26" t="str">
        <f>VLOOKUP($O90,'records (2)'!$A:$Z,10,FALSE)</f>
        <v>003IV000010tJWDYA2</v>
      </c>
      <c r="AM90" s="26" t="str">
        <f>VLOOKUP($O90,'records (2)'!$A:$Z,11,FALSE)</f>
        <v>Florent MONTAUFRAY</v>
      </c>
      <c r="AN90" s="18">
        <v>1</v>
      </c>
      <c r="AO90" s="4">
        <v>500</v>
      </c>
      <c r="AP90" s="4">
        <v>500</v>
      </c>
      <c r="AQ90" s="20">
        <v>0</v>
      </c>
      <c r="AR90" s="6">
        <v>0</v>
      </c>
    </row>
    <row r="91" spans="1:44">
      <c r="A91" s="18" t="s">
        <v>939</v>
      </c>
      <c r="B91" s="18" t="s">
        <v>940</v>
      </c>
      <c r="C91" s="18" t="s">
        <v>940</v>
      </c>
      <c r="D91" s="18" t="s">
        <v>941</v>
      </c>
      <c r="E91" s="18" t="s">
        <v>52</v>
      </c>
      <c r="F91" s="18" t="s">
        <v>53</v>
      </c>
      <c r="G91" s="18"/>
      <c r="H91" s="19" t="s">
        <v>1216</v>
      </c>
      <c r="I91" s="23" t="s">
        <v>1217</v>
      </c>
      <c r="J91" s="24">
        <v>46023</v>
      </c>
      <c r="K91" s="24">
        <v>46387</v>
      </c>
      <c r="L91" s="24" t="s">
        <v>1218</v>
      </c>
      <c r="M91" s="24" t="s">
        <v>1219</v>
      </c>
      <c r="N91" s="24">
        <v>46023</v>
      </c>
      <c r="O91" s="24" t="str">
        <f>VLOOKUP(D91,records!$A:$U,10,FALSE)</f>
        <v>0012p00004Rfp1kAAB</v>
      </c>
      <c r="P91" s="24" t="str">
        <f>VLOOKUP(D91,records!$A:$V,20,FALSE)</f>
        <v>FR29433842044</v>
      </c>
      <c r="Q91" s="24" t="str">
        <f>VLOOKUP(D91,records!$A:$V,12,FALSE)</f>
        <v>43 384 204 400 052</v>
      </c>
      <c r="R91" s="24" t="s">
        <v>1220</v>
      </c>
      <c r="S91" s="24" t="str">
        <f>VLOOKUP(D91,records!$A:$U,19,FALSE)</f>
        <v>compta@fr.urgo.com</v>
      </c>
      <c r="T91" s="26" t="s">
        <v>1221</v>
      </c>
      <c r="U91" s="26" t="s">
        <v>1222</v>
      </c>
      <c r="V91" s="26" t="str">
        <f>VLOOKUP($D91,records!$A:$V,3,FALSE)</f>
        <v>LABORATOIRES URGO sasu</v>
      </c>
      <c r="W91" s="26" t="str">
        <f>IFERROR(VLOOKUP($D91,records!$A:$V,6,FALSE),)</f>
        <v>Comptabilité Fournisseurs</v>
      </c>
      <c r="X91" s="26" t="str">
        <f>VLOOKUP($D91,records!$A:$V,9,FALSE)</f>
        <v>42 rue de Longvic</v>
      </c>
      <c r="Y91" s="26" t="str">
        <f>VLOOKUP($D91,records!$A:$V,4,FALSE)</f>
        <v>CHENOVE</v>
      </c>
      <c r="Z91" s="26" t="str">
        <f>VLOOKUP($D91,records!$A:$V,7,FALSE)</f>
        <v>21300</v>
      </c>
      <c r="AA91" s="26" t="s">
        <v>1223</v>
      </c>
      <c r="AB91" s="26">
        <f>VLOOKUP(O91,'records (2)'!$A:$Z,8,FALSE)</f>
        <v>30</v>
      </c>
      <c r="AC91" s="26" t="b">
        <f>VLOOKUP(O91,'records (4)'!$A:$C,3,FALSE)</f>
        <v>1</v>
      </c>
      <c r="AD91" s="26" t="s">
        <v>1225</v>
      </c>
      <c r="AE91" s="24">
        <v>46023</v>
      </c>
      <c r="AF91" s="26" t="str">
        <f>VLOOKUP($D91,records!$A:$V,13,FALSE)</f>
        <v>LABORATOIRES URGO sasu</v>
      </c>
      <c r="AG91" s="26" t="s">
        <v>1226</v>
      </c>
      <c r="AH91" s="26" t="str">
        <f>VLOOKUP($D91,records!$A:$V,19,FALSE)</f>
        <v>compta@fr.urgo.com</v>
      </c>
      <c r="AI91" s="26" t="s">
        <v>1233</v>
      </c>
      <c r="AJ91" s="26" t="str">
        <f>VLOOKUP($O91,'records (2)'!$A:$Z,14,FALSE)</f>
        <v>003IV000010tJXYYA2</v>
      </c>
      <c r="AK91" s="26" t="str">
        <f>VLOOKUP($O91,'records (2)'!$A:$Z,15,FALSE)</f>
        <v>Morgane CICHY</v>
      </c>
      <c r="AL91" s="26" t="str">
        <f>VLOOKUP($O91,'records (2)'!$A:$Z,10,FALSE)</f>
        <v>003IV000010tJXYYA2</v>
      </c>
      <c r="AM91" s="26" t="str">
        <f>VLOOKUP($O91,'records (2)'!$A:$Z,11,FALSE)</f>
        <v>Morgane CICHY</v>
      </c>
      <c r="AN91" s="18">
        <v>1</v>
      </c>
      <c r="AO91" s="4">
        <v>2500</v>
      </c>
      <c r="AP91" s="4">
        <v>2500</v>
      </c>
      <c r="AQ91" s="20">
        <v>0</v>
      </c>
      <c r="AR91" s="6">
        <v>0</v>
      </c>
    </row>
    <row r="92" spans="1:44">
      <c r="A92" s="18" t="s">
        <v>692</v>
      </c>
      <c r="B92" s="18" t="s">
        <v>693</v>
      </c>
      <c r="C92" s="18" t="s">
        <v>693</v>
      </c>
      <c r="D92" s="18" t="s">
        <v>694</v>
      </c>
      <c r="E92" s="18" t="s">
        <v>52</v>
      </c>
      <c r="F92" s="18" t="s">
        <v>53</v>
      </c>
      <c r="G92" s="18"/>
      <c r="H92" s="19" t="s">
        <v>1216</v>
      </c>
      <c r="I92" s="23" t="s">
        <v>1217</v>
      </c>
      <c r="J92" s="24">
        <v>46023</v>
      </c>
      <c r="K92" s="24">
        <v>46387</v>
      </c>
      <c r="L92" s="24" t="s">
        <v>1218</v>
      </c>
      <c r="M92" s="24" t="s">
        <v>1219</v>
      </c>
      <c r="N92" s="24">
        <v>46023</v>
      </c>
      <c r="O92" s="24" t="str">
        <f>VLOOKUP(D92,records!$A:$U,10,FALSE)</f>
        <v>001SZ000001IBfbYAG</v>
      </c>
      <c r="P92" s="24" t="str">
        <f>VLOOKUP(D92,records!$A:$V,20,FALSE)</f>
        <v>FR18394280267</v>
      </c>
      <c r="Q92" s="24" t="str">
        <f>VLOOKUP(D92,records!$A:$V,12,FALSE)</f>
        <v>39 428 026 700 037</v>
      </c>
      <c r="R92" s="24" t="s">
        <v>1220</v>
      </c>
      <c r="S92" s="24" t="str">
        <f>VLOOKUP(D92,records!$A:$U,19,FALSE)</f>
        <v>compta@herbarom-laboratoire.com</v>
      </c>
      <c r="T92" s="26" t="s">
        <v>1221</v>
      </c>
      <c r="U92" s="26" t="s">
        <v>1222</v>
      </c>
      <c r="V92" s="26" t="str">
        <f>VLOOKUP($D92,records!$A:$V,3,FALSE)</f>
        <v>HERBAROM LABORATOIRE sas</v>
      </c>
      <c r="W92" s="26" t="str">
        <f>IFERROR(VLOOKUP($D92,records!$A:$V,6,FALSE),)</f>
        <v>RH</v>
      </c>
      <c r="X92" s="26" t="str">
        <f>VLOOKUP($D92,records!$A:$V,9,FALSE)</f>
        <v>31 Avenue de Lautagne</v>
      </c>
      <c r="Y92" s="26" t="str">
        <f>VLOOKUP($D92,records!$A:$V,4,FALSE)</f>
        <v>VALENCE</v>
      </c>
      <c r="Z92" s="26" t="str">
        <f>VLOOKUP($D92,records!$A:$V,7,FALSE)</f>
        <v>26000</v>
      </c>
      <c r="AA92" s="26" t="s">
        <v>1223</v>
      </c>
      <c r="AB92" s="26">
        <f>VLOOKUP(O92,'records (2)'!$A:$Z,8,FALSE)</f>
        <v>30</v>
      </c>
      <c r="AC92" s="26" t="b">
        <v>0</v>
      </c>
      <c r="AD92" s="26"/>
      <c r="AE92" s="26"/>
      <c r="AF92" s="26" t="str">
        <f>VLOOKUP($D92,records!$A:$V,13,FALSE)</f>
        <v>HERBAROM LABORATOIRE sas</v>
      </c>
      <c r="AG92" s="26" t="s">
        <v>1226</v>
      </c>
      <c r="AH92" s="26" t="str">
        <f>VLOOKUP($D92,records!$A:$V,19,FALSE)</f>
        <v>compta@herbarom-laboratoire.com</v>
      </c>
      <c r="AI92" s="26" t="s">
        <v>1233</v>
      </c>
      <c r="AJ92" s="26" t="str">
        <f>VLOOKUP($O92,'records (2)'!$A:$Z,10,FALSE)</f>
        <v>003IV000010tI5MYAU</v>
      </c>
      <c r="AK92" s="26" t="str">
        <f>VLOOKUP($O92,'records (2)'!$A:$Z,11,FALSE)</f>
        <v>Nelly FAVEYROLLES</v>
      </c>
      <c r="AL92" s="26" t="str">
        <f>VLOOKUP($O92,'records (2)'!$A:$Z,10,FALSE)</f>
        <v>003IV000010tI5MYAU</v>
      </c>
      <c r="AM92" s="26" t="str">
        <f>VLOOKUP($O92,'records (2)'!$A:$Z,11,FALSE)</f>
        <v>Nelly FAVEYROLLES</v>
      </c>
      <c r="AN92" s="18">
        <v>1</v>
      </c>
      <c r="AO92" s="4">
        <v>1000</v>
      </c>
      <c r="AP92" s="4">
        <v>1000</v>
      </c>
      <c r="AQ92" s="20">
        <v>0</v>
      </c>
      <c r="AR92" s="6">
        <v>0</v>
      </c>
    </row>
    <row r="93" spans="1:44">
      <c r="A93" s="18" t="s">
        <v>713</v>
      </c>
      <c r="B93" s="18" t="s">
        <v>714</v>
      </c>
      <c r="C93" s="18" t="s">
        <v>715</v>
      </c>
      <c r="D93" s="18" t="s">
        <v>716</v>
      </c>
      <c r="E93" s="18" t="s">
        <v>52</v>
      </c>
      <c r="F93" s="18" t="s">
        <v>53</v>
      </c>
      <c r="G93" s="18"/>
      <c r="H93" s="19" t="s">
        <v>1216</v>
      </c>
      <c r="I93" s="23" t="s">
        <v>1217</v>
      </c>
      <c r="J93" s="24">
        <v>46023</v>
      </c>
      <c r="K93" s="24">
        <v>46387</v>
      </c>
      <c r="L93" s="24" t="s">
        <v>1218</v>
      </c>
      <c r="M93" s="24" t="s">
        <v>1219</v>
      </c>
      <c r="N93" s="24">
        <v>46023</v>
      </c>
      <c r="O93" s="24" t="str">
        <f>VLOOKUP(D93,records!$A:$U,10,FALSE)</f>
        <v>001SZ0000012WT4YAM</v>
      </c>
      <c r="P93" s="24" t="str">
        <f>VLOOKUP(D93,records!$A:$V,20,FALSE)</f>
        <v>FR07480108935</v>
      </c>
      <c r="Q93" s="24" t="str">
        <f>VLOOKUP(D93,records!$A:$V,12,FALSE)</f>
        <v>48 010 893 500 010</v>
      </c>
      <c r="R93" s="24" t="s">
        <v>1220</v>
      </c>
      <c r="S93" s="24" t="str">
        <f>VLOOKUP(D93,records!$A:$U,19,FALSE)</f>
        <v>compta@jousseau.com</v>
      </c>
      <c r="T93" s="26" t="s">
        <v>1221</v>
      </c>
      <c r="U93" s="26" t="s">
        <v>1222</v>
      </c>
      <c r="V93" s="26" t="str">
        <f>VLOOKUP($D93,records!$A:$V,3,FALSE)</f>
        <v>SAS JOUSSEAU</v>
      </c>
      <c r="W93" s="26"/>
      <c r="X93" s="26" t="str">
        <f>VLOOKUP($D93,records!$A:$V,9,FALSE)</f>
        <v>32 rue du 19 mars 1962</v>
      </c>
      <c r="Y93" s="26" t="str">
        <f>VLOOKUP($D93,records!$A:$V,4,FALSE)</f>
        <v>VIRE</v>
      </c>
      <c r="Z93" s="26" t="str">
        <f>VLOOKUP($D93,records!$A:$V,7,FALSE)</f>
        <v>71260</v>
      </c>
      <c r="AA93" s="26" t="s">
        <v>1223</v>
      </c>
      <c r="AB93" s="26">
        <f>VLOOKUP(O93,'records (2)'!$A:$Z,8,FALSE)</f>
        <v>30</v>
      </c>
      <c r="AC93" s="26" t="b">
        <v>0</v>
      </c>
      <c r="AD93" s="26"/>
      <c r="AE93" s="26"/>
      <c r="AF93" s="26" t="str">
        <f>VLOOKUP($D93,records!$A:$V,13,FALSE)</f>
        <v>SAS JOUSSEAU</v>
      </c>
      <c r="AG93" s="26" t="s">
        <v>1226</v>
      </c>
      <c r="AH93" s="26" t="str">
        <f>VLOOKUP($D93,records!$A:$V,19,FALSE)</f>
        <v>compta@jousseau.com</v>
      </c>
      <c r="AI93" s="26" t="s">
        <v>1233</v>
      </c>
      <c r="AJ93" s="26" t="str">
        <f>VLOOKUP($O93,'records (2)'!$A:$Z,14,FALSE)</f>
        <v>003IV000010tIepYAE</v>
      </c>
      <c r="AK93" s="26" t="str">
        <f>VLOOKUP($O93,'records (2)'!$A:$Z,15,FALSE)</f>
        <v>Corinne JOUSSEAU (compta)</v>
      </c>
      <c r="AL93" s="26" t="str">
        <f>VLOOKUP($O93,'records (2)'!$A:$Z,10,FALSE)</f>
        <v>003IV000010tLcYYAU</v>
      </c>
      <c r="AM93" s="26" t="str">
        <f>VLOOKUP($O93,'records (2)'!$A:$Z,11,FALSE)</f>
        <v>Corinne JOUSSEAU</v>
      </c>
      <c r="AN93" s="18">
        <v>1</v>
      </c>
      <c r="AO93" s="4">
        <v>500</v>
      </c>
      <c r="AP93" s="4">
        <v>500</v>
      </c>
      <c r="AQ93" s="20">
        <v>0</v>
      </c>
      <c r="AR93" s="6">
        <v>0</v>
      </c>
    </row>
    <row r="94" spans="1:44">
      <c r="A94" s="18" t="s">
        <v>333</v>
      </c>
      <c r="B94" s="18" t="s">
        <v>334</v>
      </c>
      <c r="C94" s="18" t="s">
        <v>335</v>
      </c>
      <c r="D94" s="18" t="s">
        <v>336</v>
      </c>
      <c r="E94" s="18" t="s">
        <v>16</v>
      </c>
      <c r="F94" s="18" t="s">
        <v>17</v>
      </c>
      <c r="G94" s="18"/>
      <c r="H94" s="19" t="s">
        <v>1216</v>
      </c>
      <c r="I94" s="23" t="s">
        <v>1217</v>
      </c>
      <c r="J94" s="24">
        <v>46023</v>
      </c>
      <c r="K94" s="24">
        <v>46387</v>
      </c>
      <c r="L94" s="24" t="s">
        <v>1218</v>
      </c>
      <c r="M94" s="24" t="s">
        <v>1219</v>
      </c>
      <c r="N94" s="24">
        <v>46023</v>
      </c>
      <c r="O94" s="24" t="str">
        <f>VLOOKUP(D94,records!$A:$U,10,FALSE)</f>
        <v>0012p00004NLHuzAAH</v>
      </c>
      <c r="P94" s="24" t="str">
        <f>VLOOKUP(D94,records!$A:$V,20,FALSE)</f>
        <v>FR63331468223</v>
      </c>
      <c r="Q94" s="24" t="str">
        <f>VLOOKUP(D94,records!$A:$V,12,FALSE)</f>
        <v>33 146 822 300 028</v>
      </c>
      <c r="R94" s="24" t="s">
        <v>1220</v>
      </c>
      <c r="S94" s="24" t="str">
        <f>VLOOKUP(D94,records!$A:$U,19,FALSE)</f>
        <v>compta@pdg-plastiques.com</v>
      </c>
      <c r="T94" s="26" t="s">
        <v>1221</v>
      </c>
      <c r="U94" s="26" t="s">
        <v>1222</v>
      </c>
      <c r="V94" s="26" t="str">
        <f>VLOOKUP($D94,records!$A:$V,3,FALSE)</f>
        <v>PDG PLASTIQUES sas</v>
      </c>
      <c r="W94" s="26" t="str">
        <f>IFERROR(VLOOKUP($D94,records!$A:$V,6,FALSE),)</f>
        <v>Baptiste VILLEVALOIS</v>
      </c>
      <c r="X94" s="26" t="str">
        <f>VLOOKUP($D94,records!$A:$V,9,FALSE)</f>
        <v>31 Route de Sermaises - ZI Secteur 2</v>
      </c>
      <c r="Y94" s="26" t="str">
        <f>VLOOKUP($D94,records!$A:$V,4,FALSE)</f>
        <v>MALESHERBES</v>
      </c>
      <c r="Z94" s="26" t="str">
        <f>VLOOKUP($D94,records!$A:$V,7,FALSE)</f>
        <v>45330</v>
      </c>
      <c r="AA94" s="26" t="s">
        <v>1223</v>
      </c>
      <c r="AB94" s="26">
        <f>VLOOKUP(O94,'records (2)'!$A:$Z,8,FALSE)</f>
        <v>30</v>
      </c>
      <c r="AC94" s="26" t="b">
        <v>0</v>
      </c>
      <c r="AD94" s="26"/>
      <c r="AE94" s="26"/>
      <c r="AF94" s="26" t="str">
        <f>VLOOKUP($D94,records!$A:$V,13,FALSE)</f>
        <v>PDG PLASTIQUES sas</v>
      </c>
      <c r="AG94" s="26" t="s">
        <v>1226</v>
      </c>
      <c r="AH94" s="26" t="str">
        <f>VLOOKUP($D94,records!$A:$V,19,FALSE)</f>
        <v>compta@pdg-plastiques.com</v>
      </c>
      <c r="AI94" s="26" t="s">
        <v>1233</v>
      </c>
      <c r="AJ94" s="26" t="str">
        <f>VLOOKUP($O94,'records (2)'!$A:$Z,14,FALSE)</f>
        <v>003IV000010sxFhYAI</v>
      </c>
      <c r="AK94" s="26" t="str">
        <f>VLOOKUP($O94,'records (2)'!$A:$Z,15,FALSE)</f>
        <v>Baptiste VILLEVALOIS</v>
      </c>
      <c r="AL94" s="26" t="str">
        <f>VLOOKUP($O94,'records (2)'!$A:$Z,10,FALSE)</f>
        <v>003IV000010t2BIYAY</v>
      </c>
      <c r="AM94" s="26" t="str">
        <f>VLOOKUP($O94,'records (2)'!$A:$Z,11,FALSE)</f>
        <v>Corinne COULON (Compta)</v>
      </c>
      <c r="AN94" s="18">
        <v>1</v>
      </c>
      <c r="AO94" s="4">
        <v>1000</v>
      </c>
      <c r="AP94" s="4">
        <v>1000</v>
      </c>
      <c r="AQ94" s="20">
        <v>0</v>
      </c>
      <c r="AR94" s="6">
        <v>0</v>
      </c>
    </row>
    <row r="95" spans="1:44">
      <c r="A95" s="18" t="s">
        <v>839</v>
      </c>
      <c r="B95" s="18" t="s">
        <v>840</v>
      </c>
      <c r="C95" s="18" t="s">
        <v>840</v>
      </c>
      <c r="D95" s="18" t="s">
        <v>841</v>
      </c>
      <c r="E95" s="18" t="s">
        <v>52</v>
      </c>
      <c r="F95" s="18" t="s">
        <v>53</v>
      </c>
      <c r="G95" s="18"/>
      <c r="H95" s="19" t="s">
        <v>1216</v>
      </c>
      <c r="I95" s="23" t="s">
        <v>1217</v>
      </c>
      <c r="J95" s="24">
        <v>46023</v>
      </c>
      <c r="K95" s="24">
        <v>46387</v>
      </c>
      <c r="L95" s="24" t="s">
        <v>1218</v>
      </c>
      <c r="M95" s="24" t="s">
        <v>1219</v>
      </c>
      <c r="N95" s="24">
        <v>46023</v>
      </c>
      <c r="O95" s="24" t="str">
        <f>VLOOKUP(D95,records!$A:$U,10,FALSE)</f>
        <v>0012p00004ONxyqAAD</v>
      </c>
      <c r="P95" s="24" t="str">
        <f>VLOOKUP(D95,records!$A:$V,20,FALSE)</f>
        <v>FR38300031226</v>
      </c>
      <c r="Q95" s="24" t="str">
        <f>VLOOKUP(D95,records!$A:$V,12,FALSE)</f>
        <v>30 003 122 600 016</v>
      </c>
      <c r="R95" s="24" t="s">
        <v>1220</v>
      </c>
      <c r="S95" s="24" t="str">
        <f>VLOOKUP(D95,records!$A:$U,19,FALSE)</f>
        <v>compta@romaire-sa.fr</v>
      </c>
      <c r="T95" s="26" t="s">
        <v>1221</v>
      </c>
      <c r="U95" s="26" t="s">
        <v>1222</v>
      </c>
      <c r="V95" s="26" t="str">
        <f>VLOOKUP($D95,records!$A:$V,3,FALSE)</f>
        <v>ETABLISSEMENTS ROMAIRE sasu</v>
      </c>
      <c r="W95" s="26"/>
      <c r="X95" s="26" t="str">
        <f>VLOOKUP($D95,records!$A:$V,9,FALSE)</f>
        <v>1032 Avenue de Joux</v>
      </c>
      <c r="Y95" s="26" t="str">
        <f>VLOOKUP($D95,records!$A:$V,4,FALSE)</f>
        <v>ARNAS</v>
      </c>
      <c r="Z95" s="26" t="str">
        <f>VLOOKUP($D95,records!$A:$V,7,FALSE)</f>
        <v>69400</v>
      </c>
      <c r="AA95" s="26" t="s">
        <v>1223</v>
      </c>
      <c r="AB95" s="26">
        <f>VLOOKUP(O95,'records (2)'!$A:$Z,8,FALSE)</f>
        <v>30</v>
      </c>
      <c r="AC95" s="26" t="b">
        <v>0</v>
      </c>
      <c r="AD95" s="26"/>
      <c r="AE95" s="26"/>
      <c r="AF95" s="26" t="str">
        <f>VLOOKUP($D95,records!$A:$V,13,FALSE)</f>
        <v>ETABLISSEMENTS ROMAIRE sasu</v>
      </c>
      <c r="AG95" s="26" t="s">
        <v>1226</v>
      </c>
      <c r="AH95" s="26" t="str">
        <f>VLOOKUP($D95,records!$A:$V,19,FALSE)</f>
        <v>compta@romaire-sa.fr</v>
      </c>
      <c r="AI95" s="26" t="s">
        <v>1233</v>
      </c>
      <c r="AJ95" s="26" t="str">
        <f>VLOOKUP($O95,'records (2)'!$A:$Z,14,FALSE)</f>
        <v>003IV000010tWSNYA2</v>
      </c>
      <c r="AK95" s="26" t="str">
        <f>VLOOKUP($O95,'records (2)'!$A:$Z,15,FALSE)</f>
        <v>Clothilde ANDRE-CHARTIER (Compta)</v>
      </c>
      <c r="AL95" s="26" t="str">
        <f>VLOOKUP($O95,'records (2)'!$A:$Z,10,FALSE)</f>
        <v>003IV000010tWSNYA2</v>
      </c>
      <c r="AM95" s="26" t="str">
        <f>VLOOKUP($O95,'records (2)'!$A:$Z,11,FALSE)</f>
        <v>Clothilde ANDRE-CHARTIER (Compta)</v>
      </c>
      <c r="AN95" s="18">
        <v>1</v>
      </c>
      <c r="AO95" s="4">
        <v>500</v>
      </c>
      <c r="AP95" s="4">
        <v>500</v>
      </c>
      <c r="AQ95" s="20">
        <v>0</v>
      </c>
      <c r="AR95" s="6">
        <v>0</v>
      </c>
    </row>
    <row r="96" spans="1:44">
      <c r="A96" s="18" t="s">
        <v>367</v>
      </c>
      <c r="B96" s="18" t="s">
        <v>368</v>
      </c>
      <c r="C96" s="18" t="s">
        <v>368</v>
      </c>
      <c r="D96" s="18" t="s">
        <v>369</v>
      </c>
      <c r="E96" s="18" t="s">
        <v>16</v>
      </c>
      <c r="F96" s="18" t="s">
        <v>17</v>
      </c>
      <c r="G96" s="18"/>
      <c r="H96" s="19" t="s">
        <v>1216</v>
      </c>
      <c r="I96" s="23" t="s">
        <v>1217</v>
      </c>
      <c r="J96" s="24">
        <v>46023</v>
      </c>
      <c r="K96" s="24">
        <v>46387</v>
      </c>
      <c r="L96" s="24" t="s">
        <v>1218</v>
      </c>
      <c r="M96" s="24" t="s">
        <v>1219</v>
      </c>
      <c r="N96" s="24">
        <v>46023</v>
      </c>
      <c r="O96" s="24" t="str">
        <f>VLOOKUP(D96,records!$A:$U,10,FALSE)</f>
        <v>0012p00004SN179AAD</v>
      </c>
      <c r="P96" s="24" t="str">
        <f>VLOOKUP(D96,records!$A:$V,20,FALSE)</f>
        <v>FR68311866206</v>
      </c>
      <c r="Q96" s="24" t="str">
        <f>VLOOKUP(D96,records!$A:$V,12,FALSE)</f>
        <v>31 186 620 600 064</v>
      </c>
      <c r="R96" s="24" t="s">
        <v>1220</v>
      </c>
      <c r="S96" s="24" t="str">
        <f>VLOOKUP(D96,records!$A:$U,19,FALSE)</f>
        <v>compta@roval.fr</v>
      </c>
      <c r="T96" s="26" t="s">
        <v>1221</v>
      </c>
      <c r="U96" s="26" t="s">
        <v>1222</v>
      </c>
      <c r="V96" s="26" t="str">
        <f>VLOOKUP($D96,records!$A:$V,3,FALSE)</f>
        <v>ROVAL sas</v>
      </c>
      <c r="W96" s="26"/>
      <c r="X96" s="26" t="str">
        <f>VLOOKUP($D96,records!$A:$V,9,FALSE)</f>
        <v>Rue des Sports</v>
      </c>
      <c r="Y96" s="26" t="str">
        <f>VLOOKUP($D96,records!$A:$V,4,FALSE)</f>
        <v>FLERS</v>
      </c>
      <c r="Z96" s="26" t="str">
        <f>VLOOKUP($D96,records!$A:$V,7,FALSE)</f>
        <v>61100</v>
      </c>
      <c r="AA96" s="26" t="s">
        <v>1223</v>
      </c>
      <c r="AB96" s="26">
        <f>VLOOKUP(O96,'records (2)'!$A:$Z,8,FALSE)</f>
        <v>30</v>
      </c>
      <c r="AC96" s="26" t="b">
        <v>0</v>
      </c>
      <c r="AD96" s="26"/>
      <c r="AE96" s="26"/>
      <c r="AF96" s="26" t="str">
        <f>VLOOKUP($D96,records!$A:$V,13,FALSE)</f>
        <v>ROVAL sas</v>
      </c>
      <c r="AG96" s="26" t="s">
        <v>1226</v>
      </c>
      <c r="AH96" s="26" t="str">
        <f>VLOOKUP($D96,records!$A:$V,19,FALSE)</f>
        <v>compta@roval.fr</v>
      </c>
      <c r="AI96" s="26" t="s">
        <v>1233</v>
      </c>
      <c r="AJ96" s="26" t="str">
        <f>VLOOKUP($O96,'records (2)'!$A:$Z,14,FALSE)</f>
        <v>003IV000010tQICYA2</v>
      </c>
      <c r="AK96" s="26" t="str">
        <f>VLOOKUP($O96,'records (2)'!$A:$Z,15,FALSE)</f>
        <v>Corinne DUFRECHOU</v>
      </c>
      <c r="AL96" s="26" t="str">
        <f>VLOOKUP($O96,'records (2)'!$A:$Z,10,FALSE)</f>
        <v>003IV000010tWSzYAM</v>
      </c>
      <c r="AM96" s="26" t="str">
        <f>VLOOKUP($O96,'records (2)'!$A:$Z,11,FALSE)</f>
        <v>Christophe DE LAVALETTE</v>
      </c>
      <c r="AN96" s="18">
        <v>1</v>
      </c>
      <c r="AO96" s="4">
        <v>7000</v>
      </c>
      <c r="AP96" s="4">
        <v>7000</v>
      </c>
      <c r="AQ96" s="20">
        <v>0</v>
      </c>
      <c r="AR96" s="6">
        <v>0</v>
      </c>
    </row>
    <row r="97" spans="1:44">
      <c r="A97" s="18" t="s">
        <v>866</v>
      </c>
      <c r="B97" s="18" t="s">
        <v>867</v>
      </c>
      <c r="C97" s="18" t="s">
        <v>868</v>
      </c>
      <c r="D97" s="18" t="s">
        <v>869</v>
      </c>
      <c r="E97" s="18" t="s">
        <v>52</v>
      </c>
      <c r="F97" s="18" t="s">
        <v>53</v>
      </c>
      <c r="G97" s="18"/>
      <c r="H97" s="19" t="s">
        <v>1216</v>
      </c>
      <c r="I97" s="23" t="s">
        <v>1217</v>
      </c>
      <c r="J97" s="24">
        <v>46023</v>
      </c>
      <c r="K97" s="24">
        <v>46387</v>
      </c>
      <c r="L97" s="24" t="s">
        <v>1218</v>
      </c>
      <c r="M97" s="24" t="s">
        <v>1219</v>
      </c>
      <c r="N97" s="24">
        <v>46023</v>
      </c>
      <c r="O97" s="24" t="str">
        <f>VLOOKUP(D97,records!$A:$U,10,FALSE)</f>
        <v>0012p00004Ng9V2AAJ</v>
      </c>
      <c r="P97" s="24" t="str">
        <f>VLOOKUP(D97,records!$A:$V,20,FALSE)</f>
        <v>FR08921322715</v>
      </c>
      <c r="Q97" s="24" t="str">
        <f>VLOOKUP(D97,records!$A:$V,12,FALSE)</f>
        <v>92 132 271 500 019</v>
      </c>
      <c r="R97" s="24" t="s">
        <v>1220</v>
      </c>
      <c r="S97" s="24" t="str">
        <f>VLOOKUP(D97,records!$A:$U,19,FALSE)</f>
        <v>compta@samibois.com</v>
      </c>
      <c r="T97" s="26" t="s">
        <v>1221</v>
      </c>
      <c r="U97" s="26" t="s">
        <v>1222</v>
      </c>
      <c r="V97" s="26" t="str">
        <f>VLOOKUP($D97,records!$A:$V,3,FALSE)</f>
        <v>SAMIBOIS sasu</v>
      </c>
      <c r="W97" s="26"/>
      <c r="X97" s="26" t="str">
        <f>VLOOKUP($D97,records!$A:$V,9,FALSE)</f>
        <v>Pôle Technique Odyssée - 
 6 rue Denis Papin</v>
      </c>
      <c r="Y97" s="26" t="str">
        <f>VLOOKUP($D97,records!$A:$V,4,FALSE)</f>
        <v>COËX</v>
      </c>
      <c r="Z97" s="26" t="str">
        <f>VLOOKUP($D97,records!$A:$V,7,FALSE)</f>
        <v>85220</v>
      </c>
      <c r="AA97" s="26" t="s">
        <v>1223</v>
      </c>
      <c r="AB97" s="26">
        <f>VLOOKUP(O97,'records (2)'!$A:$Z,8,FALSE)</f>
        <v>30</v>
      </c>
      <c r="AC97" s="26" t="b">
        <v>0</v>
      </c>
      <c r="AD97" s="26"/>
      <c r="AE97" s="26"/>
      <c r="AF97" s="26" t="str">
        <f>VLOOKUP($D97,records!$A:$V,13,FALSE)</f>
        <v>SAMIBOIS sasu</v>
      </c>
      <c r="AG97" s="26" t="s">
        <v>1226</v>
      </c>
      <c r="AH97" s="26" t="str">
        <f>VLOOKUP($D97,records!$A:$V,19,FALSE)</f>
        <v>compta@samibois.com</v>
      </c>
      <c r="AI97" s="26" t="s">
        <v>1233</v>
      </c>
      <c r="AJ97" s="26" t="str">
        <f>VLOOKUP($O97,'records (2)'!$A:$Z,14,FALSE)</f>
        <v>003IV000010t2ZQYAY</v>
      </c>
      <c r="AK97" s="26" t="str">
        <f>VLOOKUP($O97,'records (2)'!$A:$Z,15,FALSE)</f>
        <v>Valérie THIBAUDEAU  (compta Samibois)</v>
      </c>
      <c r="AL97" s="26" t="str">
        <f>VLOOKUP($O97,'records (2)'!$A:$Z,10,FALSE)</f>
        <v>003IV000010t2ZQYAY</v>
      </c>
      <c r="AM97" s="26" t="str">
        <f>VLOOKUP($O97,'records (2)'!$A:$Z,11,FALSE)</f>
        <v>Valérie THIBAUDEAU  (compta Samibois)</v>
      </c>
      <c r="AN97" s="18">
        <v>1</v>
      </c>
      <c r="AO97" s="4">
        <v>500</v>
      </c>
      <c r="AP97" s="4">
        <v>500</v>
      </c>
      <c r="AQ97" s="20">
        <v>0</v>
      </c>
      <c r="AR97" s="6">
        <v>0</v>
      </c>
    </row>
    <row r="98" spans="1:44">
      <c r="A98" s="18" t="s">
        <v>870</v>
      </c>
      <c r="B98" s="18" t="s">
        <v>871</v>
      </c>
      <c r="C98" s="18" t="s">
        <v>872</v>
      </c>
      <c r="D98" s="18" t="s">
        <v>873</v>
      </c>
      <c r="E98" s="18" t="s">
        <v>52</v>
      </c>
      <c r="F98" s="18" t="s">
        <v>53</v>
      </c>
      <c r="G98" s="18"/>
      <c r="H98" s="19" t="s">
        <v>1216</v>
      </c>
      <c r="I98" s="23" t="s">
        <v>1217</v>
      </c>
      <c r="J98" s="24">
        <v>46023</v>
      </c>
      <c r="K98" s="24">
        <v>46387</v>
      </c>
      <c r="L98" s="24" t="s">
        <v>1218</v>
      </c>
      <c r="M98" s="24" t="s">
        <v>1219</v>
      </c>
      <c r="N98" s="24">
        <v>46023</v>
      </c>
      <c r="O98" s="24" t="str">
        <f>VLOOKUP(D98,records!$A:$U,10,FALSE)</f>
        <v>0012p00004Ng8goAAB</v>
      </c>
      <c r="P98" s="24" t="str">
        <f>VLOOKUP(D98,records!$A:$V,20,FALSE)</f>
        <v>FR65834221681</v>
      </c>
      <c r="Q98" s="24" t="str">
        <f>VLOOKUP(D98,records!$A:$V,12,FALSE)</f>
        <v>83 422 168 100 036</v>
      </c>
      <c r="R98" s="24" t="s">
        <v>1220</v>
      </c>
      <c r="S98" s="24" t="str">
        <f>VLOOKUP(D98,records!$A:$U,19,FALSE)</f>
        <v>compta@samiplast.fr</v>
      </c>
      <c r="T98" s="26" t="s">
        <v>1221</v>
      </c>
      <c r="U98" s="26" t="s">
        <v>1222</v>
      </c>
      <c r="V98" s="26" t="str">
        <f>VLOOKUP($D98,records!$A:$V,3,FALSE)</f>
        <v>SAMIPLAST sasu</v>
      </c>
      <c r="W98" s="26" t="str">
        <f>IFERROR(VLOOKUP($D98,records!$A:$V,6,FALSE),)</f>
        <v>Service Comptabilité</v>
      </c>
      <c r="X98" s="26" t="str">
        <f>VLOOKUP($D98,records!$A:$V,9,FALSE)</f>
        <v>Route de Saint Julien des Landes</v>
      </c>
      <c r="Y98" s="26" t="str">
        <f>VLOOKUP($D98,records!$A:$V,4,FALSE)</f>
        <v>LA CHAIZE GIRAUD</v>
      </c>
      <c r="Z98" s="26" t="str">
        <f>VLOOKUP($D98,records!$A:$V,7,FALSE)</f>
        <v>85220</v>
      </c>
      <c r="AA98" s="26" t="s">
        <v>1223</v>
      </c>
      <c r="AB98" s="26">
        <f>VLOOKUP(O98,'records (2)'!$A:$Z,8,FALSE)</f>
        <v>30</v>
      </c>
      <c r="AC98" s="26" t="b">
        <v>0</v>
      </c>
      <c r="AD98" s="26"/>
      <c r="AE98" s="26"/>
      <c r="AF98" s="26" t="str">
        <f>VLOOKUP($D98,records!$A:$V,13,FALSE)</f>
        <v>SAMIPLAST sasu</v>
      </c>
      <c r="AG98" s="26" t="s">
        <v>1226</v>
      </c>
      <c r="AH98" s="26" t="str">
        <f>VLOOKUP($D98,records!$A:$V,19,FALSE)</f>
        <v>compta@samiplast.fr</v>
      </c>
      <c r="AI98" s="26" t="s">
        <v>1233</v>
      </c>
      <c r="AJ98" s="26" t="str">
        <f>VLOOKUP($O98,'records (2)'!$A:$Z,14,FALSE)</f>
        <v>003IV000010t2ZRYAY</v>
      </c>
      <c r="AK98" s="26" t="str">
        <f>VLOOKUP($O98,'records (2)'!$A:$Z,15,FALSE)</f>
        <v>Valérie THIBAUDEAU (compta Samiplast)</v>
      </c>
      <c r="AL98" s="26" t="str">
        <f>VLOOKUP($O98,'records (2)'!$A:$Z,10,FALSE)</f>
        <v>003IV000010t2ZRYAY</v>
      </c>
      <c r="AM98" s="26" t="str">
        <f>VLOOKUP($O98,'records (2)'!$A:$Z,11,FALSE)</f>
        <v>Valérie THIBAUDEAU (compta Samiplast)</v>
      </c>
      <c r="AN98" s="18">
        <v>1</v>
      </c>
      <c r="AO98" s="4">
        <v>500</v>
      </c>
      <c r="AP98" s="4">
        <v>500</v>
      </c>
      <c r="AQ98" s="20">
        <v>0</v>
      </c>
      <c r="AR98" s="6">
        <v>0</v>
      </c>
    </row>
    <row r="99" spans="1:44">
      <c r="A99" s="18" t="s">
        <v>1118</v>
      </c>
      <c r="B99" s="18" t="s">
        <v>1119</v>
      </c>
      <c r="C99" s="18" t="s">
        <v>1119</v>
      </c>
      <c r="D99" s="18" t="s">
        <v>1120</v>
      </c>
      <c r="E99" s="18" t="s">
        <v>52</v>
      </c>
      <c r="F99" s="18" t="s">
        <v>53</v>
      </c>
      <c r="G99" s="18"/>
      <c r="H99" s="19" t="s">
        <v>1216</v>
      </c>
      <c r="I99" s="23" t="s">
        <v>1217</v>
      </c>
      <c r="J99" s="24">
        <v>46023</v>
      </c>
      <c r="K99" s="24">
        <v>46387</v>
      </c>
      <c r="L99" s="24" t="s">
        <v>1218</v>
      </c>
      <c r="M99" s="24" t="s">
        <v>1219</v>
      </c>
      <c r="N99" s="24">
        <v>46023</v>
      </c>
      <c r="O99" s="24" t="str">
        <f>VLOOKUP(D99,records!$A:$U,10,FALSE)</f>
        <v>0012p00004UHSybAAH</v>
      </c>
      <c r="P99" s="24" t="str">
        <f>VLOOKUP(D99,records!$A:$V,20,FALSE)</f>
        <v>FR16380972125</v>
      </c>
      <c r="Q99" s="24" t="str">
        <f>VLOOKUP(D99,records!$A:$V,12,FALSE)</f>
        <v>38 097 212 500 013</v>
      </c>
      <c r="R99" s="24" t="s">
        <v>1220</v>
      </c>
      <c r="S99" s="24" t="str">
        <f>VLOOKUP(D99,records!$A:$U,19,FALSE)</f>
        <v>compta@secmair.fayat.com</v>
      </c>
      <c r="T99" s="26" t="s">
        <v>1221</v>
      </c>
      <c r="U99" s="26" t="s">
        <v>1222</v>
      </c>
      <c r="V99" s="26" t="str">
        <f>VLOOKUP($D99,records!$A:$V,3,FALSE)</f>
        <v>SECMAIR sas</v>
      </c>
      <c r="W99" s="26" t="str">
        <f>IFERROR(VLOOKUP($D99,records!$A:$V,6,FALSE),)</f>
        <v>Service Comptabilité</v>
      </c>
      <c r="X99" s="26" t="str">
        <f>VLOOKUP($D99,records!$A:$V,9,FALSE)</f>
        <v>Rue des Frères Lumières</v>
      </c>
      <c r="Y99" s="26" t="str">
        <f>VLOOKUP($D99,records!$A:$V,4,FALSE)</f>
        <v>COSSE LE VIVIEN</v>
      </c>
      <c r="Z99" s="26" t="str">
        <f>VLOOKUP($D99,records!$A:$V,7,FALSE)</f>
        <v>53203</v>
      </c>
      <c r="AA99" s="26" t="s">
        <v>1223</v>
      </c>
      <c r="AB99" s="26">
        <f>VLOOKUP(O99,'records (2)'!$A:$Z,8,FALSE)</f>
        <v>30</v>
      </c>
      <c r="AC99" s="26" t="b">
        <v>0</v>
      </c>
      <c r="AD99" s="26"/>
      <c r="AE99" s="26"/>
      <c r="AF99" s="26" t="str">
        <f>VLOOKUP($D99,records!$A:$V,13,FALSE)</f>
        <v>SECMAIR sas</v>
      </c>
      <c r="AG99" s="26" t="s">
        <v>1226</v>
      </c>
      <c r="AH99" s="26" t="str">
        <f>VLOOKUP($D99,records!$A:$V,19,FALSE)</f>
        <v>compta@secmair.fayat.com</v>
      </c>
      <c r="AI99" s="26" t="s">
        <v>1233</v>
      </c>
      <c r="AJ99" s="26" t="str">
        <f>VLOOKUP($O99,'records (2)'!$A:$Z,14,FALSE)</f>
        <v>003IV000010tJXaYAM</v>
      </c>
      <c r="AK99" s="26" t="str">
        <f>VLOOKUP($O99,'records (2)'!$A:$Z,15,FALSE)</f>
        <v>Andoline LAURENT</v>
      </c>
      <c r="AL99" s="26" t="str">
        <f>VLOOKUP($O99,'records (2)'!$A:$Z,10,FALSE)</f>
        <v>003IV000010tI5IYAU</v>
      </c>
      <c r="AM99" s="26" t="str">
        <f>VLOOKUP($O99,'records (2)'!$A:$Z,11,FALSE)</f>
        <v>Anne GUILLOTIN</v>
      </c>
      <c r="AN99" s="18">
        <v>1</v>
      </c>
      <c r="AO99" s="4">
        <v>500</v>
      </c>
      <c r="AP99" s="4">
        <v>500</v>
      </c>
      <c r="AQ99" s="20">
        <v>0</v>
      </c>
      <c r="AR99" s="6">
        <v>0</v>
      </c>
    </row>
    <row r="100" spans="1:44">
      <c r="A100" s="18" t="s">
        <v>374</v>
      </c>
      <c r="B100" s="18" t="s">
        <v>375</v>
      </c>
      <c r="C100" s="18" t="s">
        <v>375</v>
      </c>
      <c r="D100" s="18" t="s">
        <v>376</v>
      </c>
      <c r="E100" s="18" t="s">
        <v>16</v>
      </c>
      <c r="F100" s="18" t="s">
        <v>17</v>
      </c>
      <c r="G100" s="18"/>
      <c r="H100" s="19" t="s">
        <v>1216</v>
      </c>
      <c r="I100" s="23" t="s">
        <v>1217</v>
      </c>
      <c r="J100" s="24">
        <v>46023</v>
      </c>
      <c r="K100" s="24">
        <v>46387</v>
      </c>
      <c r="L100" s="24" t="s">
        <v>1218</v>
      </c>
      <c r="M100" s="24" t="s">
        <v>1219</v>
      </c>
      <c r="N100" s="24">
        <v>46023</v>
      </c>
      <c r="O100" s="24" t="str">
        <f>VLOOKUP(D100,records!$A:$U,10,FALSE)</f>
        <v>0012p00004Ns98wAAB</v>
      </c>
      <c r="P100" s="24" t="str">
        <f>VLOOKUP(D100,records!$A:$V,20,FALSE)</f>
        <v>FR12627150105</v>
      </c>
      <c r="Q100" s="24" t="str">
        <f>VLOOKUP(D100,records!$A:$V,12,FALSE)</f>
        <v>62 715 010 500 070</v>
      </c>
      <c r="R100" s="24" t="s">
        <v>1220</v>
      </c>
      <c r="S100" s="24" t="str">
        <f>VLOOKUP(D100,records!$A:$U,19,FALSE)</f>
        <v>compta@sodel-sa.eu</v>
      </c>
      <c r="T100" s="26" t="s">
        <v>1221</v>
      </c>
      <c r="U100" s="26" t="s">
        <v>1222</v>
      </c>
      <c r="V100" s="26" t="str">
        <f>VLOOKUP($D100,records!$A:$V,3,FALSE)</f>
        <v>SODEL sas</v>
      </c>
      <c r="W100" s="26"/>
      <c r="X100" s="26" t="str">
        <f>VLOOKUP($D100,records!$A:$V,9,FALSE)</f>
        <v>190 rue René Barthelemy</v>
      </c>
      <c r="Y100" s="26" t="str">
        <f>VLOOKUP($D100,records!$A:$V,4,FALSE)</f>
        <v>LISIEUX</v>
      </c>
      <c r="Z100" s="26" t="str">
        <f>VLOOKUP($D100,records!$A:$V,7,FALSE)</f>
        <v>14100</v>
      </c>
      <c r="AA100" s="26" t="s">
        <v>1223</v>
      </c>
      <c r="AB100" s="26">
        <f>VLOOKUP(O100,'records (2)'!$A:$Z,8,FALSE)</f>
        <v>30</v>
      </c>
      <c r="AC100" s="26" t="b">
        <v>0</v>
      </c>
      <c r="AD100" s="26"/>
      <c r="AE100" s="26"/>
      <c r="AF100" s="26" t="str">
        <f>VLOOKUP($D100,records!$A:$V,13,FALSE)</f>
        <v>SODEL sas</v>
      </c>
      <c r="AG100" s="26" t="s">
        <v>1226</v>
      </c>
      <c r="AH100" s="26" t="str">
        <f>VLOOKUP($D100,records!$A:$V,19,FALSE)</f>
        <v>compta@sodel-sa.eu</v>
      </c>
      <c r="AI100" s="26" t="s">
        <v>1233</v>
      </c>
      <c r="AJ100" s="26" t="str">
        <f>VLOOKUP($O100,'records (2)'!$A:$Z,14,FALSE)</f>
        <v>003IV000010rvHLYAY</v>
      </c>
      <c r="AK100" s="26" t="str">
        <f>VLOOKUP($O100,'records (2)'!$A:$Z,15,FALSE)</f>
        <v>Marie-Christine KEROUANTON</v>
      </c>
      <c r="AL100" s="26" t="str">
        <f>VLOOKUP($O100,'records (2)'!$A:$Z,10,FALSE)</f>
        <v>003IV000010rvHLYAY</v>
      </c>
      <c r="AM100" s="26" t="str">
        <f>VLOOKUP($O100,'records (2)'!$A:$Z,11,FALSE)</f>
        <v>Marie-Christine KEROUANTON</v>
      </c>
      <c r="AN100" s="18">
        <v>1</v>
      </c>
      <c r="AO100" s="4">
        <v>1000</v>
      </c>
      <c r="AP100" s="4">
        <v>1000</v>
      </c>
      <c r="AQ100" s="20">
        <v>0</v>
      </c>
      <c r="AR100" s="6">
        <v>0</v>
      </c>
    </row>
    <row r="101" spans="1:44">
      <c r="A101" s="18" t="s">
        <v>1009</v>
      </c>
      <c r="B101" s="18" t="s">
        <v>1010</v>
      </c>
      <c r="C101" s="18" t="s">
        <v>1010</v>
      </c>
      <c r="D101" s="18" t="s">
        <v>1011</v>
      </c>
      <c r="E101" s="18" t="s">
        <v>52</v>
      </c>
      <c r="F101" s="18" t="s">
        <v>53</v>
      </c>
      <c r="G101" s="18"/>
      <c r="H101" s="19" t="s">
        <v>1216</v>
      </c>
      <c r="I101" s="23" t="s">
        <v>1217</v>
      </c>
      <c r="J101" s="24">
        <v>46023</v>
      </c>
      <c r="K101" s="24">
        <v>46387</v>
      </c>
      <c r="L101" s="24" t="s">
        <v>1218</v>
      </c>
      <c r="M101" s="24" t="s">
        <v>1219</v>
      </c>
      <c r="N101" s="24">
        <v>46023</v>
      </c>
      <c r="O101" s="24" t="str">
        <f>VLOOKUP(D101,records!$A:$U,10,FALSE)</f>
        <v>0012p00004RgyEoAAJ</v>
      </c>
      <c r="P101" s="24" t="str">
        <f>VLOOKUP(D101,records!$A:$V,20,FALSE)</f>
        <v>FR79814762548</v>
      </c>
      <c r="Q101" s="24" t="str">
        <f>VLOOKUP(D101,records!$A:$V,12,FALSE)</f>
        <v>81 476 254 800 026</v>
      </c>
      <c r="R101" s="24" t="s">
        <v>1220</v>
      </c>
      <c r="S101" s="24" t="str">
        <f>VLOOKUP(D101,records!$A:$U,19,FALSE)</f>
        <v>compta@sopronem.com</v>
      </c>
      <c r="T101" s="26" t="s">
        <v>1221</v>
      </c>
      <c r="U101" s="26" t="s">
        <v>1222</v>
      </c>
      <c r="V101" s="26" t="str">
        <f>VLOOKUP($D101,records!$A:$V,3,FALSE)</f>
        <v>SOCIETE DE PRODUCTION DE NEMOURS "SOPRONEM" sasu</v>
      </c>
      <c r="W101" s="26"/>
      <c r="X101" s="26" t="str">
        <f>VLOOKUP($D101,records!$A:$V,9,FALSE)</f>
        <v>2 Rue des Etangs</v>
      </c>
      <c r="Y101" s="26" t="str">
        <f>VLOOKUP($D101,records!$A:$V,4,FALSE)</f>
        <v>SAINT-PIERRE-LES-NEMOURS</v>
      </c>
      <c r="Z101" s="26" t="str">
        <f>VLOOKUP($D101,records!$A:$V,7,FALSE)</f>
        <v>77140</v>
      </c>
      <c r="AA101" s="26" t="s">
        <v>1223</v>
      </c>
      <c r="AB101" s="26">
        <f>VLOOKUP(O101,'records (2)'!$A:$Z,8,FALSE)</f>
        <v>30</v>
      </c>
      <c r="AC101" s="26" t="b">
        <v>0</v>
      </c>
      <c r="AD101" s="26"/>
      <c r="AE101" s="26"/>
      <c r="AF101" s="26" t="str">
        <f>VLOOKUP($D101,records!$A:$V,13,FALSE)</f>
        <v>SOCIETE DE PRODUCTION DE NEMOURS "SOPRONEM" sasu</v>
      </c>
      <c r="AG101" s="26" t="s">
        <v>1226</v>
      </c>
      <c r="AH101" s="26" t="str">
        <f>VLOOKUP($D101,records!$A:$V,19,FALSE)</f>
        <v>compta@sopronem.com</v>
      </c>
      <c r="AI101" s="26" t="s">
        <v>1233</v>
      </c>
      <c r="AJ101" s="26" t="str">
        <f>VLOOKUP($O101,'records (2)'!$A:$Z,14,FALSE)</f>
        <v>003IV000010tRW7YAM</v>
      </c>
      <c r="AK101" s="26" t="str">
        <f>VLOOKUP($O101,'records (2)'!$A:$Z,15,FALSE)</f>
        <v>Isabelle VEKEMAN</v>
      </c>
      <c r="AL101" s="26" t="str">
        <f>VLOOKUP($O101,'records (2)'!$A:$Z,10,FALSE)</f>
        <v>003IV000010tRW7YAM</v>
      </c>
      <c r="AM101" s="26" t="str">
        <f>VLOOKUP($O101,'records (2)'!$A:$Z,11,FALSE)</f>
        <v>Isabelle VEKEMAN</v>
      </c>
      <c r="AN101" s="18">
        <v>1</v>
      </c>
      <c r="AO101" s="4">
        <v>500</v>
      </c>
      <c r="AP101" s="4">
        <v>500</v>
      </c>
      <c r="AQ101" s="20"/>
      <c r="AR101" s="6"/>
    </row>
    <row r="102" spans="1:44">
      <c r="A102" s="18" t="s">
        <v>779</v>
      </c>
      <c r="B102" s="18" t="s">
        <v>780</v>
      </c>
      <c r="C102" s="18" t="s">
        <v>780</v>
      </c>
      <c r="D102" s="18" t="s">
        <v>781</v>
      </c>
      <c r="E102" s="18" t="s">
        <v>52</v>
      </c>
      <c r="F102" s="18" t="s">
        <v>53</v>
      </c>
      <c r="G102" s="18"/>
      <c r="H102" s="19" t="s">
        <v>1216</v>
      </c>
      <c r="I102" s="23" t="s">
        <v>1217</v>
      </c>
      <c r="J102" s="24">
        <v>46023</v>
      </c>
      <c r="K102" s="24">
        <v>46387</v>
      </c>
      <c r="L102" s="24" t="s">
        <v>1218</v>
      </c>
      <c r="M102" s="24" t="s">
        <v>1219</v>
      </c>
      <c r="N102" s="24">
        <v>46023</v>
      </c>
      <c r="O102" s="24" t="str">
        <f>VLOOKUP(D102,records!$A:$U,10,FALSE)</f>
        <v>0012p00004Sz9g9AAB</v>
      </c>
      <c r="P102" s="24" t="str">
        <f>VLOOKUP(D102,records!$A:$V,20,FALSE)</f>
        <v>FR96410219042</v>
      </c>
      <c r="Q102" s="24" t="str">
        <f>VLOOKUP(D102,records!$A:$V,12,FALSE)</f>
        <v>41 021 904 200 026</v>
      </c>
      <c r="R102" s="24" t="s">
        <v>1220</v>
      </c>
      <c r="S102" s="24" t="str">
        <f>VLOOKUP(D102,records!$A:$U,19,FALSE)</f>
        <v>compta_fournisseur@metauxspeciaux.fr</v>
      </c>
      <c r="T102" s="26" t="s">
        <v>1221</v>
      </c>
      <c r="U102" s="26" t="s">
        <v>1222</v>
      </c>
      <c r="V102" s="26" t="str">
        <f>VLOOKUP($D102,records!$A:$V,3,FALSE)</f>
        <v>MSSA sasu</v>
      </c>
      <c r="W102" s="26"/>
      <c r="X102" s="26" t="str">
        <f>VLOOKUP($D102,records!$A:$V,9,FALSE)</f>
        <v>111 rue de la Volta Pomblière</v>
      </c>
      <c r="Y102" s="26" t="str">
        <f>VLOOKUP($D102,records!$A:$V,4,FALSE)</f>
        <v>SAINT MARCEL</v>
      </c>
      <c r="Z102" s="26" t="str">
        <f>VLOOKUP($D102,records!$A:$V,7,FALSE)</f>
        <v>73600</v>
      </c>
      <c r="AA102" s="26" t="s">
        <v>1223</v>
      </c>
      <c r="AB102" s="26">
        <f>VLOOKUP(O102,'records (2)'!$A:$Z,8,FALSE)</f>
        <v>30</v>
      </c>
      <c r="AC102" s="26" t="b">
        <v>0</v>
      </c>
      <c r="AD102" s="26"/>
      <c r="AE102" s="26"/>
      <c r="AF102" s="26" t="str">
        <f>VLOOKUP($D102,records!$A:$V,13,FALSE)</f>
        <v>MSSA sasu</v>
      </c>
      <c r="AG102" s="26" t="s">
        <v>1226</v>
      </c>
      <c r="AH102" s="26" t="str">
        <f>VLOOKUP($D102,records!$A:$V,19,FALSE)</f>
        <v>compta_fournisseur@metauxspeciaux.fr</v>
      </c>
      <c r="AI102" s="26" t="s">
        <v>1233</v>
      </c>
      <c r="AJ102" s="26" t="str">
        <f>VLOOKUP($O102,'records (2)'!$A:$Z,14,FALSE)</f>
        <v>003IV000010tIeLYAU</v>
      </c>
      <c r="AK102" s="26" t="str">
        <f>VLOOKUP($O102,'records (2)'!$A:$Z,15,FALSE)</f>
        <v>Comptabilité FOURNISSEURS - MSSA</v>
      </c>
      <c r="AL102" s="26" t="str">
        <f>VLOOKUP($O102,'records (2)'!$A:$Z,10,FALSE)</f>
        <v>003IV000010tIeLYAU</v>
      </c>
      <c r="AM102" s="26" t="str">
        <f>VLOOKUP($O102,'records (2)'!$A:$Z,11,FALSE)</f>
        <v>Comptabilité FOURNISSEURS - MSSA</v>
      </c>
      <c r="AN102" s="18">
        <v>1</v>
      </c>
      <c r="AO102" s="4">
        <v>1000</v>
      </c>
      <c r="AP102" s="4">
        <v>1000</v>
      </c>
      <c r="AQ102" s="20">
        <v>0</v>
      </c>
      <c r="AR102" s="6">
        <v>0</v>
      </c>
    </row>
    <row r="103" spans="1:44">
      <c r="A103" s="18" t="s">
        <v>180</v>
      </c>
      <c r="B103" s="18" t="s">
        <v>181</v>
      </c>
      <c r="C103" s="18" t="s">
        <v>182</v>
      </c>
      <c r="D103" s="18" t="s">
        <v>183</v>
      </c>
      <c r="E103" s="18" t="s">
        <v>16</v>
      </c>
      <c r="F103" s="18" t="s">
        <v>17</v>
      </c>
      <c r="G103" s="18"/>
      <c r="H103" s="19" t="s">
        <v>1216</v>
      </c>
      <c r="I103" s="23" t="s">
        <v>1217</v>
      </c>
      <c r="J103" s="24">
        <v>46023</v>
      </c>
      <c r="K103" s="24">
        <v>46387</v>
      </c>
      <c r="L103" s="24" t="s">
        <v>1218</v>
      </c>
      <c r="M103" s="24" t="s">
        <v>1219</v>
      </c>
      <c r="N103" s="24">
        <v>46023</v>
      </c>
      <c r="O103" s="24" t="str">
        <f>VLOOKUP(D103,records!$A:$U,10,FALSE)</f>
        <v>0012p00004NeCR0AAN</v>
      </c>
      <c r="P103" s="24" t="str">
        <f>VLOOKUP(D103,records!$A:$V,20,FALSE)</f>
        <v>FR19751108994</v>
      </c>
      <c r="Q103" s="24" t="str">
        <f>VLOOKUP(D103,records!$A:$V,12,FALSE)</f>
        <v>75 110 899 400 011</v>
      </c>
      <c r="R103" s="24" t="s">
        <v>1220</v>
      </c>
      <c r="S103" s="24" t="str">
        <f>VLOOKUP(D103,records!$A:$U,19,FALSE)</f>
        <v>compta_fraisgeneraux@cofidis-group.com</v>
      </c>
      <c r="T103" s="26" t="s">
        <v>1221</v>
      </c>
      <c r="U103" s="26" t="s">
        <v>1222</v>
      </c>
      <c r="V103" s="26" t="str">
        <f>VLOOKUP($D103,records!$A:$V,3,FALSE)</f>
        <v>SYNERGIE Geie</v>
      </c>
      <c r="W103" s="26" t="str">
        <f>IFERROR(VLOOKUP($D103,records!$A:$V,6,FALSE),)</f>
        <v>Service comptabilité fournisseurs</v>
      </c>
      <c r="X103" s="26" t="str">
        <f>VLOOKUP($D103,records!$A:$V,9,FALSE)</f>
        <v>Parc de la Haute Borne 61 avenue Halley</v>
      </c>
      <c r="Y103" s="26" t="str">
        <f>VLOOKUP($D103,records!$A:$V,4,FALSE)</f>
        <v>VILLENEUVE D'ASCQ</v>
      </c>
      <c r="Z103" s="26" t="str">
        <f>VLOOKUP($D103,records!$A:$V,7,FALSE)</f>
        <v>59650</v>
      </c>
      <c r="AA103" s="26" t="s">
        <v>1223</v>
      </c>
      <c r="AB103" s="26">
        <f>VLOOKUP(O103,'records (2)'!$A:$Z,8,FALSE)</f>
        <v>30</v>
      </c>
      <c r="AC103" s="26" t="b">
        <v>0</v>
      </c>
      <c r="AD103" s="26"/>
      <c r="AE103" s="26"/>
      <c r="AF103" s="26" t="str">
        <f>VLOOKUP($D103,records!$A:$V,13,FALSE)</f>
        <v>SYNERGIE Geie</v>
      </c>
      <c r="AG103" s="26" t="s">
        <v>1226</v>
      </c>
      <c r="AH103" s="26" t="str">
        <f>VLOOKUP($D103,records!$A:$V,19,FALSE)</f>
        <v>compta_fraisgeneraux@cofidis-group.com</v>
      </c>
      <c r="AI103" s="26" t="s">
        <v>1233</v>
      </c>
      <c r="AJ103" s="26" t="str">
        <f>VLOOKUP($O103,'records (2)'!$A:$Z,14,FALSE)</f>
        <v>003IV000010rvHBYAY</v>
      </c>
      <c r="AK103" s="26" t="str">
        <f>VLOOKUP($O103,'records (2)'!$A:$Z,15,FALSE)</f>
        <v>Sandrine ZABATTA</v>
      </c>
      <c r="AL103" s="26" t="str">
        <f>VLOOKUP($O103,'records (2)'!$A:$Z,10,FALSE)</f>
        <v>003IV000010rvHBYAY</v>
      </c>
      <c r="AM103" s="26" t="str">
        <f>VLOOKUP($O103,'records (2)'!$A:$Z,11,FALSE)</f>
        <v>Sandrine ZABATTA</v>
      </c>
      <c r="AN103" s="18">
        <v>1</v>
      </c>
      <c r="AO103" s="4">
        <v>1000</v>
      </c>
      <c r="AP103" s="4">
        <v>1000</v>
      </c>
      <c r="AQ103" s="20">
        <v>0</v>
      </c>
      <c r="AR103" s="6">
        <v>0</v>
      </c>
    </row>
    <row r="104" spans="1:44">
      <c r="A104" s="18" t="s">
        <v>329</v>
      </c>
      <c r="B104" s="18" t="s">
        <v>330</v>
      </c>
      <c r="C104" s="18" t="s">
        <v>331</v>
      </c>
      <c r="D104" s="18" t="s">
        <v>332</v>
      </c>
      <c r="E104" s="18" t="s">
        <v>16</v>
      </c>
      <c r="F104" s="18" t="s">
        <v>17</v>
      </c>
      <c r="G104" s="18"/>
      <c r="H104" s="19" t="s">
        <v>1216</v>
      </c>
      <c r="I104" s="23" t="s">
        <v>1217</v>
      </c>
      <c r="J104" s="24">
        <v>46023</v>
      </c>
      <c r="K104" s="24">
        <v>46387</v>
      </c>
      <c r="L104" s="24" t="s">
        <v>1218</v>
      </c>
      <c r="M104" s="24" t="s">
        <v>1219</v>
      </c>
      <c r="N104" s="24">
        <v>46023</v>
      </c>
      <c r="O104" s="24" t="str">
        <f>VLOOKUP(D104,records!$A:$U,10,FALSE)</f>
        <v>0012p00004RmkIaAAJ</v>
      </c>
      <c r="P104" s="24" t="str">
        <f>VLOOKUP(D104,records!$A:$V,20,FALSE)</f>
        <v>FR40799363106</v>
      </c>
      <c r="Q104" s="24" t="str">
        <f>VLOOKUP(D104,records!$A:$V,12,FALSE)</f>
        <v>79 936 310 600 011</v>
      </c>
      <c r="R104" s="24" t="s">
        <v>1220</v>
      </c>
      <c r="S104" s="24" t="str">
        <f>VLOOKUP(D104,records!$A:$U,19,FALSE)</f>
        <v>compta-achats@groupe-papin.fr</v>
      </c>
      <c r="T104" s="26" t="s">
        <v>1221</v>
      </c>
      <c r="U104" s="26" t="s">
        <v>1222</v>
      </c>
      <c r="V104" s="26" t="str">
        <f>VLOOKUP($D104,records!$A:$V,3,FALSE)</f>
        <v>PAPIN MANAGEMENT sas</v>
      </c>
      <c r="W104" s="26"/>
      <c r="X104" s="26" t="str">
        <f>VLOOKUP($D104,records!$A:$V,9,FALSE)</f>
        <v>ZI rue du Stade</v>
      </c>
      <c r="Y104" s="26" t="str">
        <f>VLOOKUP($D104,records!$A:$V,4,FALSE)</f>
        <v>SAINT-FULGENT</v>
      </c>
      <c r="Z104" s="26" t="str">
        <f>VLOOKUP($D104,records!$A:$V,7,FALSE)</f>
        <v>85250</v>
      </c>
      <c r="AA104" s="26" t="s">
        <v>1223</v>
      </c>
      <c r="AB104" s="26">
        <f>VLOOKUP(O104,'records (2)'!$A:$Z,8,FALSE)</f>
        <v>30</v>
      </c>
      <c r="AC104" s="26" t="b">
        <v>0</v>
      </c>
      <c r="AD104" s="26"/>
      <c r="AE104" s="26"/>
      <c r="AF104" s="26" t="str">
        <f>VLOOKUP($D104,records!$A:$V,13,FALSE)</f>
        <v>PAPIN MANAGEMENT sas</v>
      </c>
      <c r="AG104" s="26" t="s">
        <v>1226</v>
      </c>
      <c r="AH104" s="26" t="str">
        <f>VLOOKUP($D104,records!$A:$V,19,FALSE)</f>
        <v>compta-achats@groupe-papin.fr</v>
      </c>
      <c r="AI104" s="26" t="s">
        <v>1233</v>
      </c>
      <c r="AJ104" s="26" t="str">
        <f>VLOOKUP($O104,'records (2)'!$A:$Z,14,FALSE)</f>
        <v>003IV000010tRWmYAM</v>
      </c>
      <c r="AK104" s="26" t="str">
        <f>VLOOKUP($O104,'records (2)'!$A:$Z,15,FALSE)</f>
        <v>Vincent PORTRAIT</v>
      </c>
      <c r="AL104" s="26" t="str">
        <f>VLOOKUP($O104,'records (2)'!$A:$Z,10,FALSE)</f>
        <v>003IV000010tRWmYAM</v>
      </c>
      <c r="AM104" s="26" t="str">
        <f>VLOOKUP($O104,'records (2)'!$A:$Z,11,FALSE)</f>
        <v>Vincent PORTRAIT</v>
      </c>
      <c r="AN104" s="18">
        <v>1</v>
      </c>
      <c r="AO104" s="4">
        <v>4000</v>
      </c>
      <c r="AP104" s="4">
        <v>4000</v>
      </c>
      <c r="AQ104" s="20">
        <v>0</v>
      </c>
      <c r="AR104" s="6">
        <v>0</v>
      </c>
    </row>
    <row r="105" spans="1:44">
      <c r="A105" s="18" t="s">
        <v>33</v>
      </c>
      <c r="B105" s="18" t="s">
        <v>34</v>
      </c>
      <c r="C105" s="18" t="s">
        <v>34</v>
      </c>
      <c r="D105" s="18" t="s">
        <v>35</v>
      </c>
      <c r="E105" s="18" t="s">
        <v>23</v>
      </c>
      <c r="F105" s="18" t="s">
        <v>24</v>
      </c>
      <c r="G105" s="18"/>
      <c r="H105" s="19" t="s">
        <v>1216</v>
      </c>
      <c r="I105" s="23" t="s">
        <v>1217</v>
      </c>
      <c r="J105" s="24">
        <v>46023</v>
      </c>
      <c r="K105" s="24">
        <v>46387</v>
      </c>
      <c r="L105" s="24" t="s">
        <v>1218</v>
      </c>
      <c r="M105" s="24" t="s">
        <v>1219</v>
      </c>
      <c r="N105" s="24">
        <v>46023</v>
      </c>
      <c r="O105" s="24" t="str">
        <f>VLOOKUP(D105,records!$A:$U,10,FALSE)</f>
        <v>001SZ00000VsYE9YAN</v>
      </c>
      <c r="P105" s="24" t="str">
        <f>VLOOKUP(D105,records!$A:$V,20,FALSE)</f>
        <v>FR86722034592</v>
      </c>
      <c r="Q105" s="24" t="str">
        <f>VLOOKUP(D105,records!$A:$V,12,FALSE)</f>
        <v>72 203 459 200 278</v>
      </c>
      <c r="R105" s="24" t="s">
        <v>1220</v>
      </c>
      <c r="S105" s="24" t="str">
        <f>VLOOKUP(D105,records!$A:$U,19,FALSE)</f>
        <v>comptabilite.fournisseurs.vf@verallia.com</v>
      </c>
      <c r="T105" s="26" t="s">
        <v>1221</v>
      </c>
      <c r="U105" s="26" t="s">
        <v>1222</v>
      </c>
      <c r="V105" s="26" t="str">
        <f>VLOOKUP($D105,records!$A:$V,3,FALSE)</f>
        <v>VERALLIA FRANCE sas</v>
      </c>
      <c r="W105" s="26"/>
      <c r="X105" s="26" t="str">
        <f>VLOOKUP($D105,records!$A:$V,9,FALSE)</f>
        <v>31 Place des Corolles</v>
      </c>
      <c r="Y105" s="26" t="str">
        <f>VLOOKUP($D105,records!$A:$V,4,FALSE)</f>
        <v>COURBEVOIE</v>
      </c>
      <c r="Z105" s="26" t="str">
        <f>VLOOKUP($D105,records!$A:$V,7,FALSE)</f>
        <v>92400</v>
      </c>
      <c r="AA105" s="26" t="s">
        <v>1223</v>
      </c>
      <c r="AB105" s="26">
        <f>VLOOKUP(O105,'records (2)'!$A:$Z,8,FALSE)</f>
        <v>30</v>
      </c>
      <c r="AC105" s="26" t="b">
        <v>0</v>
      </c>
      <c r="AD105" s="26"/>
      <c r="AE105" s="26"/>
      <c r="AF105" s="26" t="str">
        <f>VLOOKUP($D105,records!$A:$V,13,FALSE)</f>
        <v>VERALLIA FRANCE sas</v>
      </c>
      <c r="AG105" s="26" t="s">
        <v>1226</v>
      </c>
      <c r="AH105" s="26" t="str">
        <f>VLOOKUP($D105,records!$A:$V,19,FALSE)</f>
        <v>comptabilite.fournisseurs.vf@verallia.com</v>
      </c>
      <c r="AI105" s="26" t="s">
        <v>1233</v>
      </c>
      <c r="AJ105" s="26" t="str">
        <f>VLOOKUP($O105,'records (2)'!$A:$Z,14,FALSE)</f>
        <v>003IV000010t9wmYAA</v>
      </c>
      <c r="AK105" s="26" t="str">
        <f>VLOOKUP($O105,'records (2)'!$A:$Z,15,FALSE)</f>
        <v>Christophe DUCHESNE</v>
      </c>
      <c r="AL105" s="26" t="str">
        <f>VLOOKUP($O105,'records (2)'!$A:$Z,10,FALSE)</f>
        <v>003IV000010t9wmYAA</v>
      </c>
      <c r="AM105" s="26" t="str">
        <f>VLOOKUP($O105,'records (2)'!$A:$Z,11,FALSE)</f>
        <v>Christophe DUCHESNE</v>
      </c>
      <c r="AN105" s="18">
        <v>1</v>
      </c>
      <c r="AO105" s="4">
        <v>3440</v>
      </c>
      <c r="AP105" s="4">
        <v>3440</v>
      </c>
      <c r="AQ105" s="20">
        <v>0</v>
      </c>
      <c r="AR105" s="6">
        <v>0</v>
      </c>
    </row>
    <row r="106" spans="1:44">
      <c r="A106" s="18" t="s">
        <v>580</v>
      </c>
      <c r="B106" s="18" t="s">
        <v>581</v>
      </c>
      <c r="C106" s="18" t="s">
        <v>582</v>
      </c>
      <c r="D106" s="18" t="s">
        <v>583</v>
      </c>
      <c r="E106" s="18" t="s">
        <v>52</v>
      </c>
      <c r="F106" s="18" t="s">
        <v>53</v>
      </c>
      <c r="G106" s="18"/>
      <c r="H106" s="19" t="s">
        <v>1216</v>
      </c>
      <c r="I106" s="23" t="s">
        <v>1217</v>
      </c>
      <c r="J106" s="24">
        <v>46023</v>
      </c>
      <c r="K106" s="24">
        <v>46387</v>
      </c>
      <c r="L106" s="24" t="s">
        <v>1218</v>
      </c>
      <c r="M106" s="24" t="s">
        <v>1219</v>
      </c>
      <c r="N106" s="24">
        <v>46023</v>
      </c>
      <c r="O106" s="24" t="str">
        <f>VLOOKUP(D106,records!$A:$U,10,FALSE)</f>
        <v>001SZ000001KulTYAS</v>
      </c>
      <c r="P106" s="24" t="str">
        <f>VLOOKUP(D106,records!$A:$V,20,FALSE)</f>
        <v>FR58411683600</v>
      </c>
      <c r="Q106" s="24" t="str">
        <f>VLOOKUP(D106,records!$A:$V,12,FALSE)</f>
        <v>41 168 360 000 018</v>
      </c>
      <c r="R106" s="24" t="s">
        <v>1220</v>
      </c>
      <c r="S106" s="24" t="str">
        <f>VLOOKUP(D106,records!$A:$U,19,FALSE)</f>
        <v>comptabilite.fournisseurs@europesnacks.com</v>
      </c>
      <c r="T106" s="26" t="s">
        <v>1221</v>
      </c>
      <c r="U106" s="26" t="s">
        <v>1222</v>
      </c>
      <c r="V106" s="26" t="str">
        <f>VLOOKUP($D106,records!$A:$V,3,FALSE)</f>
        <v>FRANDEX sas</v>
      </c>
      <c r="W106" s="26"/>
      <c r="X106" s="26" t="str">
        <f>VLOOKUP($D106,records!$A:$V,9,FALSE)</f>
        <v>ZI Saint Denis les Lucs</v>
      </c>
      <c r="Y106" s="26" t="str">
        <f>VLOOKUP($D106,records!$A:$V,4,FALSE)</f>
        <v>SAINT DENIS LA CHEVASSE</v>
      </c>
      <c r="Z106" s="26" t="str">
        <f>VLOOKUP($D106,records!$A:$V,7,FALSE)</f>
        <v>85170</v>
      </c>
      <c r="AA106" s="26" t="s">
        <v>1223</v>
      </c>
      <c r="AB106" s="26">
        <f>VLOOKUP(O106,'records (2)'!$A:$Z,8,FALSE)</f>
        <v>30</v>
      </c>
      <c r="AC106" s="26" t="b">
        <v>0</v>
      </c>
      <c r="AD106" s="26"/>
      <c r="AE106" s="26"/>
      <c r="AF106" s="26" t="str">
        <f>VLOOKUP($D106,records!$A:$V,13,FALSE)</f>
        <v>FRANDEX sas</v>
      </c>
      <c r="AG106" s="26" t="s">
        <v>1226</v>
      </c>
      <c r="AH106" s="26" t="str">
        <f>VLOOKUP($D106,records!$A:$V,19,FALSE)</f>
        <v>comptabilite.fournisseurs@europesnacks.com</v>
      </c>
      <c r="AI106" s="26" t="s">
        <v>1233</v>
      </c>
      <c r="AJ106" s="26" t="str">
        <f>VLOOKUP($O106,'records (2)'!$A:$Z,14,FALSE)</f>
        <v>003IV000010tRzGYAU</v>
      </c>
      <c r="AK106" s="26" t="str">
        <f>VLOOKUP($O106,'records (2)'!$A:$Z,15,FALSE)</f>
        <v>Audrey GUESDON (E.Snacks)</v>
      </c>
      <c r="AL106" s="26" t="str">
        <f>VLOOKUP($O106,'records (2)'!$A:$Z,10,FALSE)</f>
        <v>003IV000010su87YAA</v>
      </c>
      <c r="AM106" s="26" t="str">
        <f>VLOOKUP($O106,'records (2)'!$A:$Z,11,FALSE)</f>
        <v>Comptabilité EUROPE SNACKS - (FRANDEX)</v>
      </c>
      <c r="AN106" s="18">
        <v>1</v>
      </c>
      <c r="AO106" s="4">
        <v>2000</v>
      </c>
      <c r="AP106" s="4">
        <v>2000</v>
      </c>
      <c r="AQ106" s="20">
        <v>0</v>
      </c>
      <c r="AR106" s="6">
        <v>0</v>
      </c>
    </row>
    <row r="107" spans="1:44">
      <c r="A107" s="18" t="s">
        <v>887</v>
      </c>
      <c r="B107" s="18" t="s">
        <v>888</v>
      </c>
      <c r="C107" s="18" t="s">
        <v>888</v>
      </c>
      <c r="D107" s="18" t="s">
        <v>889</v>
      </c>
      <c r="E107" s="18" t="s">
        <v>52</v>
      </c>
      <c r="F107" s="18" t="s">
        <v>53</v>
      </c>
      <c r="G107" s="18"/>
      <c r="H107" s="19" t="s">
        <v>1216</v>
      </c>
      <c r="I107" s="23" t="s">
        <v>1217</v>
      </c>
      <c r="J107" s="24">
        <v>46023</v>
      </c>
      <c r="K107" s="24">
        <v>46387</v>
      </c>
      <c r="L107" s="24" t="s">
        <v>1218</v>
      </c>
      <c r="M107" s="24" t="s">
        <v>1219</v>
      </c>
      <c r="N107" s="24">
        <v>46023</v>
      </c>
      <c r="O107" s="24" t="str">
        <f>VLOOKUP(D107,records!$A:$U,10,FALSE)</f>
        <v>001SZ000001A8i6YAC</v>
      </c>
      <c r="P107" s="24" t="str">
        <f>VLOOKUP(D107,records!$A:$V,20,FALSE)</f>
        <v>FR39384137857</v>
      </c>
      <c r="Q107" s="24" t="str">
        <f>VLOOKUP(D107,records!$A:$V,12,FALSE)</f>
        <v>38 413 785 700 031</v>
      </c>
      <c r="R107" s="24" t="s">
        <v>1220</v>
      </c>
      <c r="S107" s="24" t="str">
        <f>VLOOKUP(D107,records!$A:$U,19,FALSE)</f>
        <v>comptabilite.fournisseurs@sigvaris.com</v>
      </c>
      <c r="T107" s="26" t="s">
        <v>1221</v>
      </c>
      <c r="U107" s="26" t="s">
        <v>1222</v>
      </c>
      <c r="V107" s="26" t="str">
        <f>VLOOKUP($D107,records!$A:$V,3,FALSE)</f>
        <v>SIGVARIS sasu</v>
      </c>
      <c r="W107" s="26"/>
      <c r="X107" s="26" t="str">
        <f>VLOOKUP($D107,records!$A:$V,9,FALSE)</f>
        <v>ZI Sud d'Andrézieux - 
 Rue Barthélémy Thimonnier</v>
      </c>
      <c r="Y107" s="26" t="str">
        <f>VLOOKUP($D107,records!$A:$V,4,FALSE)</f>
        <v>SAINT-JUST-SAINT-RAMBERT</v>
      </c>
      <c r="Z107" s="26" t="str">
        <f>VLOOKUP($D107,records!$A:$V,7,FALSE)</f>
        <v>42170</v>
      </c>
      <c r="AA107" s="26" t="s">
        <v>1223</v>
      </c>
      <c r="AB107" s="26">
        <f>VLOOKUP(O107,'records (2)'!$A:$Z,8,FALSE)</f>
        <v>30</v>
      </c>
      <c r="AC107" s="26" t="b">
        <f>VLOOKUP(O107,'records (4)'!$A:$C,3,FALSE)</f>
        <v>1</v>
      </c>
      <c r="AD107" s="26" t="s">
        <v>1225</v>
      </c>
      <c r="AE107" s="24">
        <v>46023</v>
      </c>
      <c r="AF107" s="26" t="str">
        <f>VLOOKUP($D107,records!$A:$V,13,FALSE)</f>
        <v>SIGVARIS sasu</v>
      </c>
      <c r="AG107" s="26" t="s">
        <v>1226</v>
      </c>
      <c r="AH107" s="26" t="str">
        <f>VLOOKUP($D107,records!$A:$V,19,FALSE)</f>
        <v>comptabilite.fournisseurs@sigvaris.com</v>
      </c>
      <c r="AI107" s="26" t="s">
        <v>1233</v>
      </c>
      <c r="AJ107" s="26" t="str">
        <f>VLOOKUP($O107,'records (2)'!$A:$Z,14,FALSE)</f>
        <v>003IV000010su9BYAQ</v>
      </c>
      <c r="AK107" s="26" t="str">
        <f>VLOOKUP($O107,'records (2)'!$A:$Z,15,FALSE)</f>
        <v>Service Comptabilité</v>
      </c>
      <c r="AL107" s="26" t="str">
        <f>VLOOKUP($O107,'records (2)'!$A:$Z,10,FALSE)</f>
        <v>003IV000010su9BYAQ</v>
      </c>
      <c r="AM107" s="26" t="str">
        <f>VLOOKUP($O107,'records (2)'!$A:$Z,11,FALSE)</f>
        <v>Service Comptabilité</v>
      </c>
      <c r="AN107" s="18">
        <v>1</v>
      </c>
      <c r="AO107" s="4">
        <v>500</v>
      </c>
      <c r="AP107" s="4">
        <v>500</v>
      </c>
      <c r="AQ107" s="20">
        <v>0</v>
      </c>
      <c r="AR107" s="6">
        <v>0</v>
      </c>
    </row>
    <row r="108" spans="1:44">
      <c r="A108" s="18" t="s">
        <v>909</v>
      </c>
      <c r="B108" s="18" t="s">
        <v>910</v>
      </c>
      <c r="C108" s="18" t="s">
        <v>911</v>
      </c>
      <c r="D108" s="18" t="s">
        <v>912</v>
      </c>
      <c r="E108" s="18" t="s">
        <v>52</v>
      </c>
      <c r="F108" s="18" t="s">
        <v>53</v>
      </c>
      <c r="G108" s="18"/>
      <c r="H108" s="19" t="s">
        <v>1216</v>
      </c>
      <c r="I108" s="23" t="s">
        <v>1217</v>
      </c>
      <c r="J108" s="24">
        <v>46023</v>
      </c>
      <c r="K108" s="24">
        <v>46387</v>
      </c>
      <c r="L108" s="24" t="s">
        <v>1218</v>
      </c>
      <c r="M108" s="24" t="s">
        <v>1219</v>
      </c>
      <c r="N108" s="24">
        <v>46023</v>
      </c>
      <c r="O108" s="24" t="str">
        <f>VLOOKUP(D108,records!$A:$U,10,FALSE)</f>
        <v>001SZ00000EaK55YAF</v>
      </c>
      <c r="P108" s="24" t="str">
        <f>VLOOKUP(D108,records!$A:$V,20,FALSE)</f>
        <v>FR25303970230</v>
      </c>
      <c r="Q108" s="24" t="str">
        <f>VLOOKUP(D108,records!$A:$V,12,FALSE)</f>
        <v>30 397 023 000 122</v>
      </c>
      <c r="R108" s="24" t="s">
        <v>1220</v>
      </c>
      <c r="S108" s="24" t="str">
        <f>VLOOKUP(D108,records!$A:$U,19,FALSE)</f>
        <v>comptabilite.fournisseurs@somfy.com</v>
      </c>
      <c r="T108" s="26" t="s">
        <v>1221</v>
      </c>
      <c r="U108" s="26" t="s">
        <v>1222</v>
      </c>
      <c r="V108" s="26" t="str">
        <f>VLOOKUP($D108,records!$A:$V,3,FALSE)</f>
        <v>SOMFY ACTIVITES SA</v>
      </c>
      <c r="W108" s="26"/>
      <c r="X108" s="26" t="str">
        <f>VLOOKUP($D108,records!$A:$V,9,FALSE)</f>
        <v>50 Avenue du Nouveau Monde</v>
      </c>
      <c r="Y108" s="26" t="str">
        <f>VLOOKUP($D108,records!$A:$V,4,FALSE)</f>
        <v>CLUSES</v>
      </c>
      <c r="Z108" s="26" t="str">
        <f>VLOOKUP($D108,records!$A:$V,7,FALSE)</f>
        <v>74300</v>
      </c>
      <c r="AA108" s="26" t="s">
        <v>1223</v>
      </c>
      <c r="AB108" s="26">
        <f>VLOOKUP(O108,'records (2)'!$A:$Z,8,FALSE)</f>
        <v>60</v>
      </c>
      <c r="AC108" s="26" t="b">
        <f>VLOOKUP(O108,'records (4)'!$A:$C,3,FALSE)</f>
        <v>1</v>
      </c>
      <c r="AD108" s="26" t="s">
        <v>1225</v>
      </c>
      <c r="AE108" s="24">
        <v>46023</v>
      </c>
      <c r="AF108" s="26" t="str">
        <f>VLOOKUP($D108,records!$A:$V,13,FALSE)</f>
        <v>SOMFY ACTIVITES SA</v>
      </c>
      <c r="AG108" s="26" t="s">
        <v>1226</v>
      </c>
      <c r="AH108" s="26" t="str">
        <f>VLOOKUP($D108,records!$A:$V,19,FALSE)</f>
        <v>comptabilite.fournisseurs@somfy.com</v>
      </c>
      <c r="AI108" s="26" t="s">
        <v>1233</v>
      </c>
      <c r="AJ108" s="26" t="str">
        <f>VLOOKUP($O108,'records (2)'!$A:$Z,14,FALSE)</f>
        <v>003IV000010tJZYYA2</v>
      </c>
      <c r="AK108" s="26" t="str">
        <f>VLOOKUP($O108,'records (2)'!$A:$Z,15,FALSE)</f>
        <v>Comptabilité Fournisseurs SOMFY</v>
      </c>
      <c r="AL108" s="26" t="str">
        <f>VLOOKUP($O108,'records (2)'!$A:$Z,10,FALSE)</f>
        <v>003IV000010tJZYYA2</v>
      </c>
      <c r="AM108" s="26" t="str">
        <f>VLOOKUP($O108,'records (2)'!$A:$Z,11,FALSE)</f>
        <v>Comptabilité Fournisseurs SOMFY</v>
      </c>
      <c r="AN108" s="18">
        <v>1</v>
      </c>
      <c r="AO108" s="4">
        <v>3500</v>
      </c>
      <c r="AP108" s="4">
        <v>3500</v>
      </c>
      <c r="AQ108" s="20">
        <v>0</v>
      </c>
      <c r="AR108" s="6">
        <v>0</v>
      </c>
    </row>
    <row r="109" spans="1:44">
      <c r="A109" s="18" t="s">
        <v>417</v>
      </c>
      <c r="B109" s="18" t="s">
        <v>418</v>
      </c>
      <c r="C109" s="18" t="s">
        <v>419</v>
      </c>
      <c r="D109" s="18" t="s">
        <v>420</v>
      </c>
      <c r="E109" s="18" t="s">
        <v>16</v>
      </c>
      <c r="F109" s="18" t="s">
        <v>17</v>
      </c>
      <c r="G109" s="18"/>
      <c r="H109" s="19" t="s">
        <v>1216</v>
      </c>
      <c r="I109" s="23" t="s">
        <v>1217</v>
      </c>
      <c r="J109" s="24">
        <v>46023</v>
      </c>
      <c r="K109" s="24">
        <v>46387</v>
      </c>
      <c r="L109" s="24" t="s">
        <v>1218</v>
      </c>
      <c r="M109" s="24" t="s">
        <v>1219</v>
      </c>
      <c r="N109" s="24">
        <v>46023</v>
      </c>
      <c r="O109" s="24" t="str">
        <f>VLOOKUP(D109,records!$A:$U,10,FALSE)</f>
        <v>001SZ000003vEuKYAU</v>
      </c>
      <c r="P109" s="24" t="str">
        <f>VLOOKUP(D109,records!$A:$V,20,FALSE)</f>
        <v>FR59309528115</v>
      </c>
      <c r="Q109" s="24" t="str">
        <f>VLOOKUP(D109,records!$A:$V,12,FALSE)</f>
        <v>30 952 811 500 061</v>
      </c>
      <c r="R109" s="24" t="s">
        <v>1220</v>
      </c>
      <c r="S109" s="24" t="str">
        <f>VLOOKUP(D109,records!$A:$U,19,FALSE)</f>
        <v>comptabilite.fr@lennoxemea.com</v>
      </c>
      <c r="T109" s="26" t="s">
        <v>1221</v>
      </c>
      <c r="U109" s="26" t="s">
        <v>1222</v>
      </c>
      <c r="V109" s="26" t="str">
        <f>VLOOKUP($D109,records!$A:$V,3,FALSE)</f>
        <v>LFB FRANCE sas</v>
      </c>
      <c r="W109" s="26"/>
      <c r="X109" s="26" t="str">
        <f>VLOOKUP($D109,records!$A:$V,9,FALSE)</f>
        <v>Rue des Albatros - 
 ZI Les Meurières</v>
      </c>
      <c r="Y109" s="26" t="str">
        <f>VLOOKUP($D109,records!$A:$V,4,FALSE)</f>
        <v>MIONS</v>
      </c>
      <c r="Z109" s="26" t="str">
        <f>VLOOKUP($D109,records!$A:$V,7,FALSE)</f>
        <v>69780</v>
      </c>
      <c r="AA109" s="26" t="s">
        <v>1223</v>
      </c>
      <c r="AB109" s="26">
        <f>VLOOKUP(O109,'records (2)'!$A:$Z,8,FALSE)</f>
        <v>45</v>
      </c>
      <c r="AC109" s="26" t="b">
        <f>VLOOKUP(O109,'records (4)'!$A:$C,3,FALSE)</f>
        <v>1</v>
      </c>
      <c r="AD109" s="26" t="s">
        <v>1225</v>
      </c>
      <c r="AE109" s="24">
        <v>46023</v>
      </c>
      <c r="AF109" s="26" t="str">
        <f>VLOOKUP($D109,records!$A:$V,13,FALSE)</f>
        <v>LFB FRANCE sas</v>
      </c>
      <c r="AG109" s="26" t="s">
        <v>1226</v>
      </c>
      <c r="AH109" s="26" t="str">
        <f>VLOOKUP($D109,records!$A:$V,19,FALSE)</f>
        <v>comptabilite.fr@lennoxemea.com</v>
      </c>
      <c r="AI109" s="26" t="s">
        <v>1233</v>
      </c>
      <c r="AJ109" s="26" t="str">
        <f>VLOOKUP($O109,'records (2)'!$A:$Z,14,FALSE)</f>
        <v>003IV000010su8XYAQ</v>
      </c>
      <c r="AK109" s="26" t="str">
        <f>VLOOKUP($O109,'records (2)'!$A:$Z,15,FALSE)</f>
        <v>Floriane BONNEL (comptabilite)</v>
      </c>
      <c r="AL109" s="26" t="str">
        <f>VLOOKUP($O109,'records (2)'!$A:$Z,10,FALSE)</f>
        <v>003IV000010su8XYAQ</v>
      </c>
      <c r="AM109" s="26" t="str">
        <f>VLOOKUP($O109,'records (2)'!$A:$Z,11,FALSE)</f>
        <v>Floriane BONNEL (comptabilite)</v>
      </c>
      <c r="AN109" s="18">
        <v>1</v>
      </c>
      <c r="AO109" s="4">
        <v>4000</v>
      </c>
      <c r="AP109" s="4">
        <v>4000</v>
      </c>
      <c r="AQ109" s="20">
        <v>0</v>
      </c>
      <c r="AR109" s="6">
        <v>0</v>
      </c>
    </row>
    <row r="110" spans="1:44">
      <c r="A110" s="12" t="s">
        <v>417</v>
      </c>
      <c r="B110" s="12" t="s">
        <v>419</v>
      </c>
      <c r="C110" s="18" t="s">
        <v>419</v>
      </c>
      <c r="D110" s="18" t="s">
        <v>420</v>
      </c>
      <c r="E110" s="18" t="s">
        <v>1172</v>
      </c>
      <c r="F110" s="18" t="s">
        <v>1173</v>
      </c>
      <c r="G110" s="18"/>
      <c r="H110" s="19" t="s">
        <v>1216</v>
      </c>
      <c r="I110" s="23" t="s">
        <v>1217</v>
      </c>
      <c r="J110" s="24">
        <v>46023</v>
      </c>
      <c r="K110" s="24">
        <v>46387</v>
      </c>
      <c r="L110" s="24" t="s">
        <v>1218</v>
      </c>
      <c r="M110" s="24" t="s">
        <v>1219</v>
      </c>
      <c r="N110" s="24">
        <v>46023</v>
      </c>
      <c r="O110" s="24" t="str">
        <f>VLOOKUP(D110,records!$A:$U,10,FALSE)</f>
        <v>001SZ000003vEuKYAU</v>
      </c>
      <c r="P110" s="24" t="str">
        <f>VLOOKUP(D110,records!$A:$V,20,FALSE)</f>
        <v>FR59309528115</v>
      </c>
      <c r="Q110" s="24" t="str">
        <f>VLOOKUP(D110,records!$A:$V,12,FALSE)</f>
        <v>30 952 811 500 061</v>
      </c>
      <c r="R110" s="24" t="s">
        <v>1220</v>
      </c>
      <c r="S110" s="24" t="str">
        <f>VLOOKUP(D110,records!$A:$U,19,FALSE)</f>
        <v>comptabilite.fr@lennoxemea.com</v>
      </c>
      <c r="T110" s="26" t="s">
        <v>1221</v>
      </c>
      <c r="U110" s="26" t="s">
        <v>1222</v>
      </c>
      <c r="V110" s="26" t="str">
        <f>VLOOKUP($D110,records!$A:$V,3,FALSE)</f>
        <v>LFB FRANCE sas</v>
      </c>
      <c r="W110" s="26"/>
      <c r="X110" s="26" t="str">
        <f>VLOOKUP($D110,records!$A:$V,9,FALSE)</f>
        <v>Rue des Albatros - 
 ZI Les Meurières</v>
      </c>
      <c r="Y110" s="26" t="str">
        <f>VLOOKUP($D110,records!$A:$V,4,FALSE)</f>
        <v>MIONS</v>
      </c>
      <c r="Z110" s="26" t="str">
        <f>VLOOKUP($D110,records!$A:$V,7,FALSE)</f>
        <v>69780</v>
      </c>
      <c r="AA110" s="26" t="s">
        <v>1223</v>
      </c>
      <c r="AB110" s="26">
        <f>VLOOKUP(O110,'records (2)'!$A:$Z,8,FALSE)</f>
        <v>45</v>
      </c>
      <c r="AC110" s="26" t="b">
        <f>VLOOKUP(O110,'records (4)'!$A:$C,3,FALSE)</f>
        <v>1</v>
      </c>
      <c r="AD110" s="26" t="s">
        <v>1225</v>
      </c>
      <c r="AE110" s="24">
        <v>46023</v>
      </c>
      <c r="AF110" s="26" t="str">
        <f>VLOOKUP($D110,records!$A:$V,13,FALSE)</f>
        <v>LFB FRANCE sas</v>
      </c>
      <c r="AG110" s="26" t="s">
        <v>1226</v>
      </c>
      <c r="AH110" s="26" t="str">
        <f>VLOOKUP($D110,records!$A:$V,19,FALSE)</f>
        <v>comptabilite.fr@lennoxemea.com</v>
      </c>
      <c r="AI110" s="26" t="s">
        <v>1233</v>
      </c>
      <c r="AJ110" s="26" t="str">
        <f>VLOOKUP($O110,'records (2)'!$A:$Z,14,FALSE)</f>
        <v>003IV000010su8XYAQ</v>
      </c>
      <c r="AK110" s="26" t="str">
        <f>VLOOKUP($O110,'records (2)'!$A:$Z,15,FALSE)</f>
        <v>Floriane BONNEL (comptabilite)</v>
      </c>
      <c r="AL110" s="26" t="str">
        <f>VLOOKUP($O110,'records (2)'!$A:$Z,10,FALSE)</f>
        <v>003IV000010su8XYAQ</v>
      </c>
      <c r="AM110" s="26" t="str">
        <f>VLOOKUP($O110,'records (2)'!$A:$Z,11,FALSE)</f>
        <v>Floriane BONNEL (comptabilite)</v>
      </c>
      <c r="AN110" s="18">
        <v>1</v>
      </c>
      <c r="AO110" s="4">
        <v>1200</v>
      </c>
      <c r="AP110" s="4">
        <v>1200</v>
      </c>
      <c r="AQ110" s="20">
        <v>0</v>
      </c>
      <c r="AR110" s="6" t="s">
        <v>1174</v>
      </c>
    </row>
    <row r="111" spans="1:44">
      <c r="A111" s="18" t="s">
        <v>782</v>
      </c>
      <c r="B111" s="18" t="s">
        <v>783</v>
      </c>
      <c r="C111" s="18" t="s">
        <v>784</v>
      </c>
      <c r="D111" s="18" t="s">
        <v>785</v>
      </c>
      <c r="E111" s="18" t="s">
        <v>52</v>
      </c>
      <c r="F111" s="18" t="s">
        <v>53</v>
      </c>
      <c r="G111" s="18"/>
      <c r="H111" s="19" t="s">
        <v>1216</v>
      </c>
      <c r="I111" s="23" t="s">
        <v>1217</v>
      </c>
      <c r="J111" s="24">
        <v>46023</v>
      </c>
      <c r="K111" s="24">
        <v>46387</v>
      </c>
      <c r="L111" s="24" t="s">
        <v>1218</v>
      </c>
      <c r="M111" s="24" t="s">
        <v>1219</v>
      </c>
      <c r="N111" s="24">
        <v>46023</v>
      </c>
      <c r="O111" s="24" t="str">
        <f>VLOOKUP(D111,records!$A:$U,10,FALSE)</f>
        <v>001SZ0000015EBSYA2</v>
      </c>
      <c r="P111" s="24" t="str">
        <f>VLOOKUP(D111,records!$A:$V,20,FALSE)</f>
        <v>FR03330263948</v>
      </c>
      <c r="Q111" s="24" t="str">
        <f>VLOOKUP(D111,records!$A:$V,12,FALSE)</f>
        <v>33 026 394 800 011</v>
      </c>
      <c r="R111" s="24" t="s">
        <v>1220</v>
      </c>
      <c r="S111" s="24" t="str">
        <f>VLOOKUP(D111,records!$A:$U,19,FALSE)</f>
        <v>comptabilite@fr.mw.gruppocln.com</v>
      </c>
      <c r="T111" s="26" t="s">
        <v>1221</v>
      </c>
      <c r="U111" s="26" t="s">
        <v>1222</v>
      </c>
      <c r="V111" s="26" t="str">
        <f>VLOOKUP($D111,records!$A:$V,3,FALSE)</f>
        <v>MW FRANCE sas</v>
      </c>
      <c r="W111" s="26" t="str">
        <f>IFERROR(VLOOKUP($D111,records!$A:$V,6,FALSE),)</f>
        <v>Comptabilité</v>
      </c>
      <c r="X111" s="26" t="str">
        <f>VLOOKUP($D111,records!$A:$V,9,FALSE)</f>
        <v>33 Boulevard du 32ème R.I. - 
 ZI les Certels</v>
      </c>
      <c r="Y111" s="26" t="str">
        <f>VLOOKUP($D111,records!$A:$V,4,FALSE)</f>
        <v>TERGNIER</v>
      </c>
      <c r="Z111" s="26" t="str">
        <f>VLOOKUP($D111,records!$A:$V,7,FALSE)</f>
        <v>2700</v>
      </c>
      <c r="AA111" s="26" t="s">
        <v>1223</v>
      </c>
      <c r="AB111" s="26">
        <f>VLOOKUP(O111,'records (2)'!$A:$Z,8,FALSE)</f>
        <v>30</v>
      </c>
      <c r="AC111" s="26" t="b">
        <v>0</v>
      </c>
      <c r="AD111" s="26"/>
      <c r="AE111" s="26"/>
      <c r="AF111" s="26" t="str">
        <f>VLOOKUP($D111,records!$A:$V,13,FALSE)</f>
        <v>MW FRANCE sas</v>
      </c>
      <c r="AG111" s="26" t="s">
        <v>1226</v>
      </c>
      <c r="AH111" s="26" t="str">
        <f>VLOOKUP($D111,records!$A:$V,19,FALSE)</f>
        <v>comptabilite@fr.mw.gruppocln.com</v>
      </c>
      <c r="AI111" s="26" t="s">
        <v>1233</v>
      </c>
      <c r="AJ111" s="26" t="str">
        <f>VLOOKUP($O111,'records (2)'!$A:$Z,14,FALSE)</f>
        <v>003IV000010tJXZYA2</v>
      </c>
      <c r="AK111" s="26" t="str">
        <f>VLOOKUP($O111,'records (2)'!$A:$Z,15,FALSE)</f>
        <v>William BRUN</v>
      </c>
      <c r="AL111" s="26" t="str">
        <f>VLOOKUP($O111,'records (2)'!$A:$Z,10,FALSE)</f>
        <v>003IV000010tJXZYA2</v>
      </c>
      <c r="AM111" s="26" t="str">
        <f>VLOOKUP($O111,'records (2)'!$A:$Z,11,FALSE)</f>
        <v>William BRUN</v>
      </c>
      <c r="AN111" s="18">
        <v>1</v>
      </c>
      <c r="AO111" s="4">
        <v>500</v>
      </c>
      <c r="AP111" s="4">
        <v>500</v>
      </c>
      <c r="AQ111" s="20">
        <v>0</v>
      </c>
      <c r="AR111" s="6">
        <v>0</v>
      </c>
    </row>
    <row r="112" spans="1:44">
      <c r="A112" s="18" t="s">
        <v>856</v>
      </c>
      <c r="B112" s="18" t="s">
        <v>857</v>
      </c>
      <c r="C112" s="18" t="s">
        <v>857</v>
      </c>
      <c r="D112" s="18" t="s">
        <v>858</v>
      </c>
      <c r="E112" s="18" t="s">
        <v>52</v>
      </c>
      <c r="F112" s="18" t="s">
        <v>53</v>
      </c>
      <c r="G112" s="18"/>
      <c r="H112" s="19" t="s">
        <v>1216</v>
      </c>
      <c r="I112" s="23" t="s">
        <v>1217</v>
      </c>
      <c r="J112" s="24">
        <v>46023</v>
      </c>
      <c r="K112" s="24">
        <v>46387</v>
      </c>
      <c r="L112" s="24" t="s">
        <v>1218</v>
      </c>
      <c r="M112" s="24" t="s">
        <v>1219</v>
      </c>
      <c r="N112" s="24">
        <v>46023</v>
      </c>
      <c r="O112" s="24" t="str">
        <f>VLOOKUP(D112,records!$A:$U,10,FALSE)</f>
        <v>001SZ000001rZISYA2</v>
      </c>
      <c r="P112" s="24" t="str">
        <f>VLOOKUP(D112,records!$A:$V,20,FALSE)</f>
        <v>FR84311821268</v>
      </c>
      <c r="Q112" s="24" t="str">
        <f>VLOOKUP(D112,records!$A:$V,12,FALSE)</f>
        <v>31 182 126 800 027</v>
      </c>
      <c r="R112" s="24" t="s">
        <v>1220</v>
      </c>
      <c r="S112" s="24" t="str">
        <f>VLOOKUP(D112,records!$A:$U,19,FALSE)</f>
        <v>comptabilite@saint-jean.fr</v>
      </c>
      <c r="T112" s="26" t="s">
        <v>1221</v>
      </c>
      <c r="U112" s="26" t="s">
        <v>1222</v>
      </c>
      <c r="V112" s="26" t="str">
        <f>VLOOKUP($D112,records!$A:$V,3,FALSE)</f>
        <v>SAINT JEAN sas</v>
      </c>
      <c r="W112" s="26"/>
      <c r="X112" s="26" t="str">
        <f>VLOOKUP($D112,records!$A:$V,9,FALSE)</f>
        <v>44 Avenue des Allobroges</v>
      </c>
      <c r="Y112" s="26" t="str">
        <f>VLOOKUP($D112,records!$A:$V,4,FALSE)</f>
        <v>ROMANS-SUR-ISERE</v>
      </c>
      <c r="Z112" s="26" t="str">
        <f>VLOOKUP($D112,records!$A:$V,7,FALSE)</f>
        <v>26100</v>
      </c>
      <c r="AA112" s="26" t="s">
        <v>1223</v>
      </c>
      <c r="AB112" s="26">
        <f>VLOOKUP(O112,'records (2)'!$A:$Z,8,FALSE)</f>
        <v>30</v>
      </c>
      <c r="AC112" s="26" t="b">
        <v>0</v>
      </c>
      <c r="AD112" s="26"/>
      <c r="AE112" s="26"/>
      <c r="AF112" s="26" t="str">
        <f>VLOOKUP($D112,records!$A:$V,13,FALSE)</f>
        <v>SAINT JEAN sas</v>
      </c>
      <c r="AG112" s="26" t="s">
        <v>1226</v>
      </c>
      <c r="AH112" s="26" t="str">
        <f>VLOOKUP($D112,records!$A:$V,19,FALSE)</f>
        <v>comptabilite@saint-jean.fr</v>
      </c>
      <c r="AI112" s="26" t="s">
        <v>1233</v>
      </c>
      <c r="AJ112" s="26" t="str">
        <f>VLOOKUP($O112,'records (2)'!$A:$Z,14,FALSE)</f>
        <v>003IV000010su8PYAQ</v>
      </c>
      <c r="AK112" s="26" t="str">
        <f>VLOOKUP($O112,'records (2)'!$A:$Z,15,FALSE)</f>
        <v>Florence VALLET</v>
      </c>
      <c r="AL112" s="26" t="str">
        <f>VLOOKUP($O112,'records (2)'!$A:$Z,10,FALSE)</f>
        <v>003IV000010su8PYAQ</v>
      </c>
      <c r="AM112" s="26" t="str">
        <f>VLOOKUP($O112,'records (2)'!$A:$Z,11,FALSE)</f>
        <v>Florence VALLET</v>
      </c>
      <c r="AN112" s="18">
        <v>1</v>
      </c>
      <c r="AO112" s="4">
        <v>1000</v>
      </c>
      <c r="AP112" s="4">
        <v>1000</v>
      </c>
      <c r="AQ112" s="20">
        <v>0</v>
      </c>
      <c r="AR112" s="6">
        <v>0</v>
      </c>
    </row>
    <row r="113" spans="1:44">
      <c r="A113" s="18" t="s">
        <v>1111</v>
      </c>
      <c r="B113" s="18" t="s">
        <v>1112</v>
      </c>
      <c r="C113" s="18" t="s">
        <v>1113</v>
      </c>
      <c r="D113" s="18" t="s">
        <v>1114</v>
      </c>
      <c r="E113" s="18" t="s">
        <v>16</v>
      </c>
      <c r="F113" s="18" t="s">
        <v>17</v>
      </c>
      <c r="G113" s="18"/>
      <c r="H113" s="19" t="s">
        <v>1216</v>
      </c>
      <c r="I113" s="23" t="s">
        <v>1217</v>
      </c>
      <c r="J113" s="24">
        <v>46023</v>
      </c>
      <c r="K113" s="24">
        <v>46387</v>
      </c>
      <c r="L113" s="24" t="s">
        <v>1218</v>
      </c>
      <c r="M113" s="24" t="s">
        <v>1219</v>
      </c>
      <c r="N113" s="24">
        <v>46023</v>
      </c>
      <c r="O113" s="24" t="str">
        <f>VLOOKUP(D113,records!$A:$U,10,FALSE)</f>
        <v>0012p00004Txs6jAAB</v>
      </c>
      <c r="P113" s="24" t="str">
        <f>VLOOKUP(D113,records!$A:$V,20,FALSE)</f>
        <v>FR03572024032</v>
      </c>
      <c r="Q113" s="24" t="str">
        <f>VLOOKUP(D113,records!$A:$V,12,FALSE)</f>
        <v>57 202 403 200 102</v>
      </c>
      <c r="R113" s="24" t="s">
        <v>1220</v>
      </c>
      <c r="S113" s="24" t="str">
        <f>VLOOKUP(D113,records!$A:$U,19,FALSE)</f>
        <v>comptabilite@sateba.com</v>
      </c>
      <c r="T113" s="26" t="s">
        <v>1221</v>
      </c>
      <c r="U113" s="26" t="s">
        <v>1222</v>
      </c>
      <c r="V113" s="26" t="str">
        <f>VLOOKUP($D113,records!$A:$V,3,FALSE)</f>
        <v>SATEBA FRANCE s.a.</v>
      </c>
      <c r="W113" s="26"/>
      <c r="X113" s="26" t="str">
        <f>VLOOKUP($D113,records!$A:$V,9,FALSE)</f>
        <v>Tour CB21 - 16 Place de l'Iris</v>
      </c>
      <c r="Y113" s="26" t="str">
        <f>VLOOKUP($D113,records!$A:$V,4,FALSE)</f>
        <v>PARIS LA DEFENSE CEDEX</v>
      </c>
      <c r="Z113" s="26" t="str">
        <f>VLOOKUP($D113,records!$A:$V,7,FALSE)</f>
        <v>92040</v>
      </c>
      <c r="AA113" s="26" t="s">
        <v>1223</v>
      </c>
      <c r="AB113" s="26">
        <f>VLOOKUP(O113,'records (2)'!$A:$Z,8,FALSE)</f>
        <v>30</v>
      </c>
      <c r="AC113" s="26" t="b">
        <v>0</v>
      </c>
      <c r="AD113" s="26"/>
      <c r="AE113" s="26"/>
      <c r="AF113" s="26" t="str">
        <f>VLOOKUP($D113,records!$A:$V,13,FALSE)</f>
        <v>SATEBA FRANCE s.a.</v>
      </c>
      <c r="AG113" s="26" t="s">
        <v>1226</v>
      </c>
      <c r="AH113" s="26" t="str">
        <f>VLOOKUP($D113,records!$A:$V,19,FALSE)</f>
        <v>comptabilite@sateba.com</v>
      </c>
      <c r="AI113" s="26" t="s">
        <v>1233</v>
      </c>
      <c r="AJ113" s="26" t="str">
        <f>VLOOKUP($O113,'records (2)'!$A:$Z,14,FALSE)</f>
        <v>003IV000010tIekYAE</v>
      </c>
      <c r="AK113" s="26" t="str">
        <f>VLOOKUP($O113,'records (2)'!$A:$Z,15,FALSE)</f>
        <v>Michelle BALAKA (comptabilite)</v>
      </c>
      <c r="AL113" s="26" t="str">
        <f>VLOOKUP($O113,'records (2)'!$A:$Z,10,FALSE)</f>
        <v>003IV000010tIekYAE</v>
      </c>
      <c r="AM113" s="26" t="str">
        <f>VLOOKUP($O113,'records (2)'!$A:$Z,11,FALSE)</f>
        <v>Michelle BALAKA (comptabilite)</v>
      </c>
      <c r="AN113" s="18">
        <v>1</v>
      </c>
      <c r="AO113" s="4">
        <v>1000</v>
      </c>
      <c r="AP113" s="4">
        <v>1000</v>
      </c>
      <c r="AQ113" s="20">
        <v>0</v>
      </c>
      <c r="AR113" s="6">
        <v>0</v>
      </c>
    </row>
    <row r="114" spans="1:44">
      <c r="A114" s="18" t="s">
        <v>695</v>
      </c>
      <c r="B114" s="18" t="s">
        <v>696</v>
      </c>
      <c r="C114" s="18" t="s">
        <v>697</v>
      </c>
      <c r="D114" s="18" t="s">
        <v>698</v>
      </c>
      <c r="E114" s="18" t="s">
        <v>52</v>
      </c>
      <c r="F114" s="18" t="s">
        <v>53</v>
      </c>
      <c r="G114" s="18"/>
      <c r="H114" s="19" t="s">
        <v>1216</v>
      </c>
      <c r="I114" s="23" t="s">
        <v>1217</v>
      </c>
      <c r="J114" s="24">
        <v>46023</v>
      </c>
      <c r="K114" s="24">
        <v>46387</v>
      </c>
      <c r="L114" s="24" t="s">
        <v>1218</v>
      </c>
      <c r="M114" s="24" t="s">
        <v>1219</v>
      </c>
      <c r="N114" s="24">
        <v>46023</v>
      </c>
      <c r="O114" s="24" t="str">
        <f>VLOOKUP(D114,records!$A:$U,10,FALSE)</f>
        <v>001SZ00000Cz13VYAR</v>
      </c>
      <c r="P114" s="24" t="str">
        <f>VLOOKUP(D114,records!$A:$V,20,FALSE)</f>
        <v>FR76493663835</v>
      </c>
      <c r="Q114" s="24" t="str">
        <f>VLOOKUP(D114,records!$A:$V,12,FALSE)</f>
        <v>49 366 383 500 012</v>
      </c>
      <c r="R114" s="24" t="s">
        <v>1220</v>
      </c>
      <c r="S114" s="24" t="str">
        <f>VLOOKUP(D114,records!$A:$U,19,FALSE)</f>
        <v>comptabilite63@hexcel.com</v>
      </c>
      <c r="T114" s="26" t="s">
        <v>1221</v>
      </c>
      <c r="U114" s="26" t="s">
        <v>1222</v>
      </c>
      <c r="V114" s="26" t="str">
        <f>VLOOKUP($D114,records!$A:$V,3,FALSE)</f>
        <v>HEXCEL FIBERS sasu</v>
      </c>
      <c r="W114" s="26"/>
      <c r="X114" s="26" t="str">
        <f>VLOOKUP($D114,records!$A:$V,9,FALSE)</f>
        <v>Rue Gaston Monmousseau - 
 ROUSSILLON - CS 50032</v>
      </c>
      <c r="Y114" s="26" t="str">
        <f>VLOOKUP($D114,records!$A:$V,4,FALSE)</f>
        <v>SAINT-MAURICE-L'EXIL</v>
      </c>
      <c r="Z114" s="26" t="str">
        <f>VLOOKUP($D114,records!$A:$V,7,FALSE)</f>
        <v>38556</v>
      </c>
      <c r="AA114" s="26" t="s">
        <v>1223</v>
      </c>
      <c r="AB114" s="26">
        <f>VLOOKUP(O114,'records (2)'!$A:$Z,8,FALSE)</f>
        <v>30</v>
      </c>
      <c r="AC114" s="26" t="b">
        <v>0</v>
      </c>
      <c r="AD114" s="26"/>
      <c r="AE114" s="26"/>
      <c r="AF114" s="26" t="str">
        <f>VLOOKUP($D114,records!$A:$V,13,FALSE)</f>
        <v>HEXCEL FIBERS sasu</v>
      </c>
      <c r="AG114" s="26" t="s">
        <v>1226</v>
      </c>
      <c r="AH114" s="26" t="str">
        <f>VLOOKUP($D114,records!$A:$V,19,FALSE)</f>
        <v>comptabilite63@hexcel.com</v>
      </c>
      <c r="AI114" s="26" t="s">
        <v>1233</v>
      </c>
      <c r="AJ114" s="26" t="str">
        <f>VLOOKUP($O114,'records (2)'!$A:$Z,14,FALSE)</f>
        <v>003IV000010tJZRYA2</v>
      </c>
      <c r="AK114" s="26" t="str">
        <f>VLOOKUP($O114,'records (2)'!$A:$Z,15,FALSE)</f>
        <v>Vincent FROEHLY</v>
      </c>
      <c r="AL114" s="26" t="str">
        <f>VLOOKUP($O114,'records (2)'!$A:$Z,10,FALSE)</f>
        <v>003IV000010tJZRYA2</v>
      </c>
      <c r="AM114" s="26" t="str">
        <f>VLOOKUP($O114,'records (2)'!$A:$Z,11,FALSE)</f>
        <v>Vincent FROEHLY</v>
      </c>
      <c r="AN114" s="18">
        <v>1</v>
      </c>
      <c r="AO114" s="4">
        <v>500</v>
      </c>
      <c r="AP114" s="4">
        <v>500</v>
      </c>
      <c r="AQ114" s="20">
        <v>0</v>
      </c>
      <c r="AR114" s="6">
        <v>0</v>
      </c>
    </row>
    <row r="115" spans="1:44">
      <c r="A115" s="18" t="s">
        <v>99</v>
      </c>
      <c r="B115" s="18" t="s">
        <v>100</v>
      </c>
      <c r="C115" s="18" t="s">
        <v>101</v>
      </c>
      <c r="D115" s="18" t="s">
        <v>102</v>
      </c>
      <c r="E115" s="18" t="s">
        <v>16</v>
      </c>
      <c r="F115" s="18" t="s">
        <v>17</v>
      </c>
      <c r="G115" s="18"/>
      <c r="H115" s="19" t="s">
        <v>1216</v>
      </c>
      <c r="I115" s="23" t="s">
        <v>1217</v>
      </c>
      <c r="J115" s="24">
        <v>46023</v>
      </c>
      <c r="K115" s="24">
        <v>46387</v>
      </c>
      <c r="L115" s="24" t="s">
        <v>1218</v>
      </c>
      <c r="M115" s="24" t="s">
        <v>1219</v>
      </c>
      <c r="N115" s="24">
        <v>46023</v>
      </c>
      <c r="O115" s="24" t="str">
        <f>VLOOKUP(D115,records!$A:$U,10,FALSE)</f>
        <v>0012p00004UHNJUAA5</v>
      </c>
      <c r="P115" s="24" t="str">
        <f>VLOOKUP(D115,records!$A:$V,20,FALSE)</f>
        <v>FR11390112886</v>
      </c>
      <c r="Q115" s="24" t="str">
        <f>VLOOKUP(D115,records!$A:$V,12,FALSE)</f>
        <v>39 011 288 600 085</v>
      </c>
      <c r="R115" s="24" t="s">
        <v>1220</v>
      </c>
      <c r="S115" s="24" t="str">
        <f>VLOOKUP(D115,records!$A:$U,19,FALSE)</f>
        <v>comptabilite-fournisseur@blanchon.com</v>
      </c>
      <c r="T115" s="26" t="s">
        <v>1221</v>
      </c>
      <c r="U115" s="26" t="s">
        <v>1222</v>
      </c>
      <c r="V115" s="26" t="str">
        <f>VLOOKUP($D115,records!$A:$V,3,FALSE)</f>
        <v>BLANCHON sas</v>
      </c>
      <c r="W115" s="26"/>
      <c r="X115" s="26" t="str">
        <f>VLOOKUP($D115,records!$A:$V,9,FALSE)</f>
        <v>50 8ème Rue - Cité Berliet</v>
      </c>
      <c r="Y115" s="26" t="str">
        <f>VLOOKUP($D115,records!$A:$V,4,FALSE)</f>
        <v>SAINT PRIEST</v>
      </c>
      <c r="Z115" s="26" t="str">
        <f>VLOOKUP($D115,records!$A:$V,7,FALSE)</f>
        <v>69800</v>
      </c>
      <c r="AA115" s="26" t="s">
        <v>1223</v>
      </c>
      <c r="AB115" s="26">
        <f>VLOOKUP(O115,'records (2)'!$A:$Z,8,FALSE)</f>
        <v>30</v>
      </c>
      <c r="AC115" s="26" t="b">
        <v>0</v>
      </c>
      <c r="AD115" s="26"/>
      <c r="AE115" s="26"/>
      <c r="AF115" s="26" t="str">
        <f>VLOOKUP($D115,records!$A:$V,13,FALSE)</f>
        <v>BLANCHON sas</v>
      </c>
      <c r="AG115" s="26" t="s">
        <v>1226</v>
      </c>
      <c r="AH115" s="26" t="str">
        <f>VLOOKUP($D115,records!$A:$V,19,FALSE)</f>
        <v>comptabilite-fournisseur@blanchon.com</v>
      </c>
      <c r="AI115" s="26" t="s">
        <v>1233</v>
      </c>
      <c r="AJ115" s="26" t="str">
        <f>VLOOKUP($O115,'records (2)'!$A:$Z,14,FALSE)</f>
        <v>003IV000010tQI7YAM</v>
      </c>
      <c r="AK115" s="26" t="str">
        <f>VLOOKUP($O115,'records (2)'!$A:$Z,15,FALSE)</f>
        <v>Christophe VIDON (compta.fourn)</v>
      </c>
      <c r="AL115" s="26" t="str">
        <f>VLOOKUP($O115,'records (2)'!$A:$Z,10,FALSE)</f>
        <v>003IV000010tQI7YAM</v>
      </c>
      <c r="AM115" s="26" t="str">
        <f>VLOOKUP($O115,'records (2)'!$A:$Z,11,FALSE)</f>
        <v>Christophe VIDON (compta.fourn)</v>
      </c>
      <c r="AN115" s="18">
        <v>1</v>
      </c>
      <c r="AO115" s="4">
        <v>3000</v>
      </c>
      <c r="AP115" s="4">
        <v>3000</v>
      </c>
      <c r="AQ115" s="20">
        <v>0</v>
      </c>
      <c r="AR115" s="6">
        <v>0</v>
      </c>
    </row>
    <row r="116" spans="1:44">
      <c r="A116" s="18" t="s">
        <v>144</v>
      </c>
      <c r="B116" s="18" t="s">
        <v>145</v>
      </c>
      <c r="C116" s="18" t="s">
        <v>145</v>
      </c>
      <c r="D116" s="18" t="s">
        <v>146</v>
      </c>
      <c r="E116" s="18" t="s">
        <v>23</v>
      </c>
      <c r="F116" s="18" t="s">
        <v>24</v>
      </c>
      <c r="G116" s="18"/>
      <c r="H116" s="19" t="s">
        <v>1216</v>
      </c>
      <c r="I116" s="23" t="s">
        <v>1217</v>
      </c>
      <c r="J116" s="24">
        <v>46023</v>
      </c>
      <c r="K116" s="24">
        <v>46387</v>
      </c>
      <c r="L116" s="24" t="s">
        <v>1218</v>
      </c>
      <c r="M116" s="24" t="s">
        <v>1219</v>
      </c>
      <c r="N116" s="24">
        <v>46023</v>
      </c>
      <c r="O116" s="24" t="str">
        <f>VLOOKUP(D116,records!$A:$U,10,FALSE)</f>
        <v>0012p00004MXS8cAAH</v>
      </c>
      <c r="P116" s="24" t="str">
        <f>VLOOKUP(D116,records!$A:$V,20,FALSE)</f>
        <v>FR85340685429</v>
      </c>
      <c r="Q116" s="24" t="str">
        <f>VLOOKUP(D116,records!$A:$V,12,FALSE)</f>
        <v>34 068 542 900 052</v>
      </c>
      <c r="R116" s="24" t="s">
        <v>1220</v>
      </c>
      <c r="S116" s="24" t="str">
        <f>VLOOKUP(D116,records!$A:$U,19,FALSE)</f>
        <v>comptabilitefournisseurs@doka.com</v>
      </c>
      <c r="T116" s="26" t="s">
        <v>1221</v>
      </c>
      <c r="U116" s="26" t="s">
        <v>1222</v>
      </c>
      <c r="V116" s="26" t="str">
        <f>VLOOKUP($D116,records!$A:$V,3,FALSE)</f>
        <v>DOKA FRANCE sasu</v>
      </c>
      <c r="W116" s="26"/>
      <c r="X116" s="26" t="str">
        <f>VLOOKUP($D116,records!$A:$V,9,FALSE)</f>
        <v>3 chemin des Iles</v>
      </c>
      <c r="Y116" s="26" t="str">
        <f>VLOOKUP($D116,records!$A:$V,4,FALSE)</f>
        <v>LE PERRAY EN YVELINES</v>
      </c>
      <c r="Z116" s="26" t="str">
        <f>VLOOKUP($D116,records!$A:$V,7,FALSE)</f>
        <v>78610</v>
      </c>
      <c r="AA116" s="26" t="s">
        <v>1223</v>
      </c>
      <c r="AB116" s="26">
        <f>VLOOKUP(O116,'records (2)'!$A:$Z,8,FALSE)</f>
        <v>30</v>
      </c>
      <c r="AC116" s="26" t="b">
        <v>0</v>
      </c>
      <c r="AD116" s="26"/>
      <c r="AE116" s="26"/>
      <c r="AF116" s="26" t="str">
        <f>VLOOKUP($D116,records!$A:$V,13,FALSE)</f>
        <v>DOKA FRANCE sasu</v>
      </c>
      <c r="AG116" s="26" t="s">
        <v>1226</v>
      </c>
      <c r="AH116" s="26" t="str">
        <f>VLOOKUP($D116,records!$A:$V,19,FALSE)</f>
        <v>comptabilitefournisseurs@doka.com</v>
      </c>
      <c r="AI116" s="26" t="s">
        <v>1233</v>
      </c>
      <c r="AJ116" s="26" t="str">
        <f>VLOOKUP($O116,'records (2)'!$A:$Z,14,FALSE)</f>
        <v>003IV000010tRTvYAM</v>
      </c>
      <c r="AK116" s="26" t="str">
        <f>VLOOKUP($O116,'records (2)'!$A:$Z,15,FALSE)</f>
        <v>Myriam CORDIER (Compta)</v>
      </c>
      <c r="AL116" s="26" t="str">
        <f>VLOOKUP($O116,'records (2)'!$A:$Z,10,FALSE)</f>
        <v>003IV000010tRTUYA2</v>
      </c>
      <c r="AM116" s="26" t="str">
        <f>VLOOKUP($O116,'records (2)'!$A:$Z,11,FALSE)</f>
        <v>Sophie DORANGE</v>
      </c>
      <c r="AN116" s="18">
        <v>1</v>
      </c>
      <c r="AO116" s="4">
        <v>2232</v>
      </c>
      <c r="AP116" s="4">
        <v>2232</v>
      </c>
      <c r="AQ116" s="20"/>
      <c r="AR116" s="6"/>
    </row>
    <row r="117" spans="1:44">
      <c r="A117" s="18" t="s">
        <v>184</v>
      </c>
      <c r="B117" s="18" t="s">
        <v>185</v>
      </c>
      <c r="C117" s="18" t="s">
        <v>186</v>
      </c>
      <c r="D117" s="18" t="s">
        <v>187</v>
      </c>
      <c r="E117" s="18" t="s">
        <v>52</v>
      </c>
      <c r="F117" s="18" t="s">
        <v>53</v>
      </c>
      <c r="G117" s="18"/>
      <c r="H117" s="19" t="s">
        <v>1216</v>
      </c>
      <c r="I117" s="23" t="s">
        <v>1217</v>
      </c>
      <c r="J117" s="24">
        <v>46023</v>
      </c>
      <c r="K117" s="24">
        <v>46387</v>
      </c>
      <c r="L117" s="24" t="s">
        <v>1218</v>
      </c>
      <c r="M117" s="24" t="s">
        <v>1219</v>
      </c>
      <c r="N117" s="24">
        <v>46023</v>
      </c>
      <c r="O117" s="24" t="str">
        <f>VLOOKUP(D117,records!$A:$U,10,FALSE)</f>
        <v>001SZ000005GLqRYAW</v>
      </c>
      <c r="P117" s="24" t="str">
        <f>VLOOKUP(D117,records!$A:$V,20,FALSE)</f>
        <v>FR79333500346</v>
      </c>
      <c r="Q117" s="24" t="str">
        <f>VLOOKUP(D117,records!$A:$V,12,FALSE)</f>
        <v>33 350 034 600 031</v>
      </c>
      <c r="R117" s="24" t="s">
        <v>1220</v>
      </c>
      <c r="S117" s="24" t="str">
        <f>VLOOKUP(D117,records!$A:$U,19,FALSE)</f>
        <v>comptabilite-fournisseurs@groupediffusionplus.fr</v>
      </c>
      <c r="T117" s="26" t="s">
        <v>1221</v>
      </c>
      <c r="U117" s="26" t="s">
        <v>1222</v>
      </c>
      <c r="V117" s="26" t="str">
        <f>VLOOKUP($D117,records!$A:$V,3,FALSE)</f>
        <v>GROUPE DIFFUSION PLUS sas</v>
      </c>
      <c r="W117" s="26"/>
      <c r="X117" s="26" t="str">
        <f>VLOOKUP($D117,records!$A:$V,9,FALSE)</f>
        <v>22 Rue des Ombres</v>
      </c>
      <c r="Y117" s="26" t="str">
        <f>VLOOKUP($D117,records!$A:$V,4,FALSE)</f>
        <v>NORMANVILLE</v>
      </c>
      <c r="Z117" s="26" t="str">
        <f>VLOOKUP($D117,records!$A:$V,7,FALSE)</f>
        <v>27930</v>
      </c>
      <c r="AA117" s="26" t="s">
        <v>1223</v>
      </c>
      <c r="AB117" s="26">
        <f>VLOOKUP(O117,'records (2)'!$A:$Z,8,FALSE)</f>
        <v>30</v>
      </c>
      <c r="AC117" s="26" t="b">
        <v>0</v>
      </c>
      <c r="AD117" s="26"/>
      <c r="AE117" s="26"/>
      <c r="AF117" s="26" t="str">
        <f>VLOOKUP($D117,records!$A:$V,13,FALSE)</f>
        <v>GROUPE DIFFUSION PLUS sas</v>
      </c>
      <c r="AG117" s="26" t="s">
        <v>1226</v>
      </c>
      <c r="AH117" s="26" t="str">
        <f>VLOOKUP($D117,records!$A:$V,19,FALSE)</f>
        <v>comptabilite-fournisseurs@groupediffusionplus.fr</v>
      </c>
      <c r="AI117" s="26" t="s">
        <v>1233</v>
      </c>
      <c r="AJ117" s="26" t="str">
        <f>VLOOKUP($O117,'records (2)'!$A:$Z,14,FALSE)</f>
        <v>003IV000010su8lYAA</v>
      </c>
      <c r="AK117" s="26" t="str">
        <f>VLOOKUP($O117,'records (2)'!$A:$Z,15,FALSE)</f>
        <v>Carine BEAUVOIS</v>
      </c>
      <c r="AL117" s="26" t="str">
        <f>VLOOKUP($O117,'records (2)'!$A:$Z,10,FALSE)</f>
        <v>003IV000010su8lYAA</v>
      </c>
      <c r="AM117" s="26" t="str">
        <f>VLOOKUP($O117,'records (2)'!$A:$Z,11,FALSE)</f>
        <v>Carine BEAUVOIS</v>
      </c>
      <c r="AN117" s="18">
        <v>1</v>
      </c>
      <c r="AO117" s="4">
        <v>2500</v>
      </c>
      <c r="AP117" s="4">
        <v>2500</v>
      </c>
      <c r="AQ117" s="20">
        <v>0</v>
      </c>
      <c r="AR117" s="6">
        <v>0</v>
      </c>
    </row>
    <row r="118" spans="1:44">
      <c r="A118" s="18" t="s">
        <v>199</v>
      </c>
      <c r="B118" s="18" t="s">
        <v>200</v>
      </c>
      <c r="C118" s="18" t="s">
        <v>201</v>
      </c>
      <c r="D118" s="18" t="s">
        <v>202</v>
      </c>
      <c r="E118" s="18" t="s">
        <v>16</v>
      </c>
      <c r="F118" s="18" t="s">
        <v>17</v>
      </c>
      <c r="G118" s="18"/>
      <c r="H118" s="19" t="s">
        <v>1216</v>
      </c>
      <c r="I118" s="23" t="s">
        <v>1217</v>
      </c>
      <c r="J118" s="24">
        <v>46023</v>
      </c>
      <c r="K118" s="24">
        <v>46387</v>
      </c>
      <c r="L118" s="24" t="s">
        <v>1218</v>
      </c>
      <c r="M118" s="24" t="s">
        <v>1219</v>
      </c>
      <c r="N118" s="24">
        <v>46023</v>
      </c>
      <c r="O118" s="24" t="str">
        <f>VLOOKUP(D118,records!$A:$U,10,FALSE)</f>
        <v>0012p00004Rep83AAB</v>
      </c>
      <c r="P118" s="24" t="str">
        <f>VLOOKUP(D118,records!$A:$V,20,FALSE)</f>
        <v>FR34394619449</v>
      </c>
      <c r="Q118" s="24" t="str">
        <f>VLOOKUP(D118,records!$A:$V,12,FALSE)</f>
        <v>39 461 944 900 041</v>
      </c>
      <c r="R118" s="24" t="s">
        <v>1220</v>
      </c>
      <c r="S118" s="24" t="str">
        <f>VLOOKUP(D118,records!$A:$U,19,FALSE)</f>
        <v>comptabilite-wasselonne@hansgrohe.fr</v>
      </c>
      <c r="T118" s="26" t="s">
        <v>1221</v>
      </c>
      <c r="U118" s="26" t="s">
        <v>1222</v>
      </c>
      <c r="V118" s="26" t="str">
        <f>VLOOKUP($D118,records!$A:$V,3,FALSE)</f>
        <v>HANSGROHE WASSELONNE sas</v>
      </c>
      <c r="W118" s="26"/>
      <c r="X118" s="26" t="str">
        <f>VLOOKUP($D118,records!$A:$V,9,FALSE)</f>
        <v>Parc d'Activités "les Pins"</v>
      </c>
      <c r="Y118" s="26" t="str">
        <f>VLOOKUP($D118,records!$A:$V,4,FALSE)</f>
        <v>WASSELONNE CEDEX</v>
      </c>
      <c r="Z118" s="26" t="str">
        <f>VLOOKUP($D118,records!$A:$V,7,FALSE)</f>
        <v>67319</v>
      </c>
      <c r="AA118" s="26" t="s">
        <v>1223</v>
      </c>
      <c r="AB118" s="26">
        <f>VLOOKUP(O118,'records (2)'!$A:$Z,8,FALSE)</f>
        <v>30</v>
      </c>
      <c r="AC118" s="26" t="b">
        <v>0</v>
      </c>
      <c r="AD118" s="26"/>
      <c r="AE118" s="26"/>
      <c r="AF118" s="26" t="str">
        <f>VLOOKUP($D118,records!$A:$V,13,FALSE)</f>
        <v>HANSGROHE WASSELONNE sas</v>
      </c>
      <c r="AG118" s="26" t="s">
        <v>1226</v>
      </c>
      <c r="AH118" s="26" t="str">
        <f>VLOOKUP($D118,records!$A:$V,19,FALSE)</f>
        <v>comptabilite-wasselonne@hansgrohe.fr</v>
      </c>
      <c r="AI118" s="26" t="s">
        <v>1233</v>
      </c>
      <c r="AJ118" s="26" t="str">
        <f>VLOOKUP($O118,'records (2)'!$A:$Z,14,FALSE)</f>
        <v>003IV000010tRViYAM</v>
      </c>
      <c r="AK118" s="26" t="str">
        <f>VLOOKUP($O118,'records (2)'!$A:$Z,15,FALSE)</f>
        <v>Sophie DANGELSER (comptabilite)</v>
      </c>
      <c r="AL118" s="26" t="str">
        <f>VLOOKUP($O118,'records (2)'!$A:$Z,10,FALSE)</f>
        <v>003IV000010tL9NYAU</v>
      </c>
      <c r="AM118" s="26" t="str">
        <f>VLOOKUP($O118,'records (2)'!$A:$Z,11,FALSE)</f>
        <v>Valerie PETELOT</v>
      </c>
      <c r="AN118" s="18">
        <v>1</v>
      </c>
      <c r="AO118" s="4">
        <v>3000</v>
      </c>
      <c r="AP118" s="4">
        <v>3000</v>
      </c>
      <c r="AQ118" s="20">
        <v>0</v>
      </c>
      <c r="AR118" s="6">
        <v>0</v>
      </c>
    </row>
    <row r="119" spans="1:44">
      <c r="A119" s="18" t="s">
        <v>322</v>
      </c>
      <c r="B119" s="18" t="s">
        <v>323</v>
      </c>
      <c r="C119" s="18" t="s">
        <v>323</v>
      </c>
      <c r="D119" s="18" t="s">
        <v>324</v>
      </c>
      <c r="E119" s="18" t="s">
        <v>16</v>
      </c>
      <c r="F119" s="18" t="s">
        <v>17</v>
      </c>
      <c r="G119" s="18"/>
      <c r="H119" s="19" t="s">
        <v>1216</v>
      </c>
      <c r="I119" s="23" t="s">
        <v>1217</v>
      </c>
      <c r="J119" s="24">
        <v>46023</v>
      </c>
      <c r="K119" s="24">
        <v>46387</v>
      </c>
      <c r="L119" s="24" t="s">
        <v>1218</v>
      </c>
      <c r="M119" s="24" t="s">
        <v>1219</v>
      </c>
      <c r="N119" s="24">
        <v>46023</v>
      </c>
      <c r="O119" s="24" t="str">
        <f>VLOOKUP(D119,records!$A:$U,10,FALSE)</f>
        <v>0012p00004RdvjLAAR</v>
      </c>
      <c r="P119" s="24" t="str">
        <f>VLOOKUP(D119,records!$A:$V,20,FALSE)</f>
        <v>FR96905720553</v>
      </c>
      <c r="Q119" s="24" t="str">
        <f>VLOOKUP(D119,records!$A:$V,12,FALSE)</f>
        <v>90 572 055 300 015</v>
      </c>
      <c r="R119" s="24" t="s">
        <v>1220</v>
      </c>
      <c r="S119" s="24" t="str">
        <f>VLOOKUP(D119,records!$A:$U,19,FALSE)</f>
        <v>compta-finance@oreco.fr</v>
      </c>
      <c r="T119" s="26" t="s">
        <v>1221</v>
      </c>
      <c r="U119" s="26" t="s">
        <v>1222</v>
      </c>
      <c r="V119" s="26" t="str">
        <f>VLOOKUP($D119,records!$A:$V,3,FALSE)</f>
        <v>ORGANISATION ECONOMIQUE DU COGNAC sa - ORECO</v>
      </c>
      <c r="W119" s="26"/>
      <c r="X119" s="26" t="str">
        <f>VLOOKUP($D119,records!$A:$V,9,FALSE)</f>
        <v>44 Boulevard Oscar Planat</v>
      </c>
      <c r="Y119" s="26" t="str">
        <f>VLOOKUP($D119,records!$A:$V,4,FALSE)</f>
        <v>COGNAC</v>
      </c>
      <c r="Z119" s="26" t="str">
        <f>VLOOKUP($D119,records!$A:$V,7,FALSE)</f>
        <v>16100</v>
      </c>
      <c r="AA119" s="26" t="s">
        <v>1223</v>
      </c>
      <c r="AB119" s="26">
        <f>VLOOKUP(O119,'records (2)'!$A:$Z,8,FALSE)</f>
        <v>30</v>
      </c>
      <c r="AC119" s="26" t="b">
        <v>0</v>
      </c>
      <c r="AD119" s="26"/>
      <c r="AE119" s="26"/>
      <c r="AF119" s="26" t="str">
        <f>VLOOKUP($D119,records!$A:$V,13,FALSE)</f>
        <v>ORGANISATION ECONOMIQUE DU COGNAC sa - ORECO</v>
      </c>
      <c r="AG119" s="26" t="s">
        <v>1226</v>
      </c>
      <c r="AH119" s="26" t="str">
        <f>VLOOKUP($D119,records!$A:$V,19,FALSE)</f>
        <v>compta-finance@oreco.fr</v>
      </c>
      <c r="AI119" s="26" t="s">
        <v>1233</v>
      </c>
      <c r="AJ119" s="26" t="str">
        <f>VLOOKUP($O119,'records (2)'!$A:$Z,14,FALSE)</f>
        <v>003IV000010s6QyYAI</v>
      </c>
      <c r="AK119" s="26" t="str">
        <f>VLOOKUP($O119,'records (2)'!$A:$Z,15,FALSE)</f>
        <v>Arnaud HUBERT (compta)</v>
      </c>
      <c r="AL119" s="26" t="str">
        <f>VLOOKUP($O119,'records (2)'!$A:$Z,10,FALSE)</f>
        <v>003IV000010s6QyYAI</v>
      </c>
      <c r="AM119" s="26" t="str">
        <f>VLOOKUP($O119,'records (2)'!$A:$Z,11,FALSE)</f>
        <v>Arnaud HUBERT (compta)</v>
      </c>
      <c r="AN119" s="18">
        <v>1</v>
      </c>
      <c r="AO119" s="4">
        <v>1000</v>
      </c>
      <c r="AP119" s="4">
        <v>1000</v>
      </c>
      <c r="AQ119" s="20">
        <v>0</v>
      </c>
      <c r="AR119" s="6">
        <v>0</v>
      </c>
    </row>
    <row r="120" spans="1:44">
      <c r="A120" s="18" t="s">
        <v>565</v>
      </c>
      <c r="B120" s="18" t="s">
        <v>566</v>
      </c>
      <c r="C120" s="18" t="s">
        <v>567</v>
      </c>
      <c r="D120" s="18" t="s">
        <v>568</v>
      </c>
      <c r="E120" s="18" t="s">
        <v>52</v>
      </c>
      <c r="F120" s="18" t="s">
        <v>53</v>
      </c>
      <c r="G120" s="18"/>
      <c r="H120" s="19" t="s">
        <v>1216</v>
      </c>
      <c r="I120" s="23" t="s">
        <v>1217</v>
      </c>
      <c r="J120" s="24">
        <v>46023</v>
      </c>
      <c r="K120" s="24">
        <v>46387</v>
      </c>
      <c r="L120" s="24" t="s">
        <v>1218</v>
      </c>
      <c r="M120" s="24" t="s">
        <v>1219</v>
      </c>
      <c r="N120" s="24">
        <v>46023</v>
      </c>
      <c r="O120" s="24" t="str">
        <f>VLOOKUP(D120,records!$A:$U,10,FALSE)</f>
        <v>0012p00004NhW3CAAV</v>
      </c>
      <c r="P120" s="24" t="str">
        <f>VLOOKUP(D120,records!$A:$V,20,FALSE)</f>
        <v>FR52387879992</v>
      </c>
      <c r="Q120" s="24" t="str">
        <f>VLOOKUP(D120,records!$A:$V,12,FALSE)</f>
        <v>38 787 999 200 015</v>
      </c>
      <c r="R120" s="24" t="s">
        <v>1220</v>
      </c>
      <c r="S120" s="24" t="str">
        <f>VLOOKUP(D120,records!$A:$U,19,FALSE)</f>
        <v>comptafour.siege@euralis.com</v>
      </c>
      <c r="T120" s="26" t="s">
        <v>1221</v>
      </c>
      <c r="U120" s="26" t="s">
        <v>1222</v>
      </c>
      <c r="V120" s="26" t="str">
        <f>VLOOKUP($D120,records!$A:$V,3,FALSE)</f>
        <v>EURALIS HOLDING sa</v>
      </c>
      <c r="W120" s="26"/>
      <c r="X120" s="26" t="str">
        <f>VLOOKUP($D120,records!$A:$V,9,FALSE)</f>
        <v>Avenue Gaston Phoebus</v>
      </c>
      <c r="Y120" s="26" t="str">
        <f>VLOOKUP($D120,records!$A:$V,4,FALSE)</f>
        <v>LESCAR</v>
      </c>
      <c r="Z120" s="26" t="str">
        <f>VLOOKUP($D120,records!$A:$V,7,FALSE)</f>
        <v>64230</v>
      </c>
      <c r="AA120" s="26" t="s">
        <v>1223</v>
      </c>
      <c r="AB120" s="26">
        <f>VLOOKUP(O120,'records (2)'!$A:$Z,8,FALSE)</f>
        <v>45</v>
      </c>
      <c r="AC120" s="26" t="b">
        <v>0</v>
      </c>
      <c r="AD120" s="26"/>
      <c r="AE120" s="26"/>
      <c r="AF120" s="26" t="str">
        <f>VLOOKUP($D120,records!$A:$V,13,FALSE)</f>
        <v>EURALIS HOLDING sa</v>
      </c>
      <c r="AG120" s="26" t="s">
        <v>1226</v>
      </c>
      <c r="AH120" s="26" t="str">
        <f>VLOOKUP($D120,records!$A:$V,19,FALSE)</f>
        <v>comptafour.siege@euralis.com</v>
      </c>
      <c r="AI120" s="26" t="s">
        <v>1233</v>
      </c>
      <c r="AJ120" s="26" t="str">
        <f>VLOOKUP($O120,'records (2)'!$A:$Z,14,FALSE)</f>
        <v>003IV000010su8yYAA</v>
      </c>
      <c r="AK120" s="26" t="str">
        <f>VLOOKUP($O120,'records (2)'!$A:$Z,15,FALSE)</f>
        <v>Françoise LACOSTE BESINAU - (factures.siege)</v>
      </c>
      <c r="AL120" s="26" t="str">
        <f>VLOOKUP($O120,'records (2)'!$A:$Z,10,FALSE)</f>
        <v>003IV000010tTxvYAE</v>
      </c>
      <c r="AM120" s="26" t="str">
        <f>VLOOKUP($O120,'records (2)'!$A:$Z,11,FALSE)</f>
        <v>Compta EURALIS</v>
      </c>
      <c r="AN120" s="18">
        <v>1</v>
      </c>
      <c r="AO120" s="4">
        <v>4000</v>
      </c>
      <c r="AP120" s="4">
        <v>4000</v>
      </c>
      <c r="AQ120" s="20">
        <v>0</v>
      </c>
      <c r="AR120" s="6">
        <v>0</v>
      </c>
    </row>
    <row r="121" spans="1:44">
      <c r="A121" s="18" t="s">
        <v>349</v>
      </c>
      <c r="B121" s="18" t="s">
        <v>350</v>
      </c>
      <c r="C121" s="18" t="s">
        <v>351</v>
      </c>
      <c r="D121" s="18" t="s">
        <v>352</v>
      </c>
      <c r="E121" s="18" t="s">
        <v>16</v>
      </c>
      <c r="F121" s="18" t="s">
        <v>17</v>
      </c>
      <c r="G121" s="18"/>
      <c r="H121" s="19" t="s">
        <v>1216</v>
      </c>
      <c r="I121" s="23" t="s">
        <v>1217</v>
      </c>
      <c r="J121" s="24">
        <v>46023</v>
      </c>
      <c r="K121" s="24">
        <v>46387</v>
      </c>
      <c r="L121" s="24" t="s">
        <v>1218</v>
      </c>
      <c r="M121" s="24" t="s">
        <v>1219</v>
      </c>
      <c r="N121" s="24">
        <v>46023</v>
      </c>
      <c r="O121" s="24" t="str">
        <f>VLOOKUP(D121,records!$A:$U,10,FALSE)</f>
        <v>0012p00004UqvMeAAJ</v>
      </c>
      <c r="P121" s="24" t="str">
        <f>VLOOKUP(D121,records!$A:$V,20,FALSE)</f>
        <v>FR55578504102</v>
      </c>
      <c r="Q121" s="24" t="str">
        <f>VLOOKUP(D121,records!$A:$V,12,FALSE)</f>
        <v>57 850 410 200 455</v>
      </c>
      <c r="R121" s="24" t="s">
        <v>1220</v>
      </c>
      <c r="S121" s="24" t="str">
        <f>VLOOKUP(D121,records!$A:$U,19,FALSE)</f>
        <v>compta-fournisseurs.fr@puma.com</v>
      </c>
      <c r="T121" s="26" t="s">
        <v>1221</v>
      </c>
      <c r="U121" s="26" t="s">
        <v>1222</v>
      </c>
      <c r="V121" s="26" t="str">
        <f>VLOOKUP($D121,records!$A:$V,3,FALSE)</f>
        <v>PUMA FRANCE SAS</v>
      </c>
      <c r="W121" s="26"/>
      <c r="X121" s="26" t="str">
        <f>VLOOKUP($D121,records!$A:$V,9,FALSE)</f>
        <v>4A Place Adrien Zeller</v>
      </c>
      <c r="Y121" s="26" t="str">
        <f>VLOOKUP($D121,records!$A:$V,4,FALSE)</f>
        <v>STRASBOURG</v>
      </c>
      <c r="Z121" s="26" t="str">
        <f>VLOOKUP($D121,records!$A:$V,7,FALSE)</f>
        <v>67000</v>
      </c>
      <c r="AA121" s="26" t="s">
        <v>1223</v>
      </c>
      <c r="AB121" s="26">
        <f>VLOOKUP(O121,'records (2)'!$A:$Z,8,FALSE)</f>
        <v>30</v>
      </c>
      <c r="AC121" s="26" t="b">
        <v>0</v>
      </c>
      <c r="AD121" s="26"/>
      <c r="AE121" s="26"/>
      <c r="AF121" s="26" t="str">
        <f>VLOOKUP($D121,records!$A:$V,13,FALSE)</f>
        <v>PUMA FRANCE SAS</v>
      </c>
      <c r="AG121" s="26" t="s">
        <v>1226</v>
      </c>
      <c r="AH121" s="26" t="str">
        <f>VLOOKUP($D121,records!$A:$V,19,FALSE)</f>
        <v>compta-fournisseurs.fr@puma.com</v>
      </c>
      <c r="AI121" s="26" t="s">
        <v>1233</v>
      </c>
      <c r="AJ121" s="26" t="str">
        <f>VLOOKUP($O121,'records (2)'!$A:$Z,14,FALSE)</f>
        <v>003IV000010su8LYAQ</v>
      </c>
      <c r="AK121" s="26" t="str">
        <f>VLOOKUP($O121,'records (2)'!$A:$Z,15,FALSE)</f>
        <v>Mathieu LEFEBURE</v>
      </c>
      <c r="AL121" s="26" t="str">
        <f>VLOOKUP($O121,'records (2)'!$A:$Z,10,FALSE)</f>
        <v>003IV000010su8LYAQ</v>
      </c>
      <c r="AM121" s="26" t="str">
        <f>VLOOKUP($O121,'records (2)'!$A:$Z,11,FALSE)</f>
        <v>Mathieu LEFEBURE</v>
      </c>
      <c r="AN121" s="18">
        <v>1</v>
      </c>
      <c r="AO121" s="4">
        <v>1000</v>
      </c>
      <c r="AP121" s="4">
        <v>1000</v>
      </c>
      <c r="AQ121" s="20">
        <v>0</v>
      </c>
      <c r="AR121" s="6">
        <v>0</v>
      </c>
    </row>
    <row r="122" spans="1:44">
      <c r="A122" s="18" t="s">
        <v>491</v>
      </c>
      <c r="B122" s="18" t="s">
        <v>492</v>
      </c>
      <c r="C122" s="18" t="s">
        <v>492</v>
      </c>
      <c r="D122" s="18" t="s">
        <v>493</v>
      </c>
      <c r="E122" s="18" t="s">
        <v>52</v>
      </c>
      <c r="F122" s="18" t="s">
        <v>53</v>
      </c>
      <c r="G122" s="18"/>
      <c r="H122" s="19" t="s">
        <v>1216</v>
      </c>
      <c r="I122" s="23" t="s">
        <v>1217</v>
      </c>
      <c r="J122" s="24">
        <v>46023</v>
      </c>
      <c r="K122" s="24">
        <v>46387</v>
      </c>
      <c r="L122" s="24" t="s">
        <v>1218</v>
      </c>
      <c r="M122" s="24" t="s">
        <v>1219</v>
      </c>
      <c r="N122" s="24">
        <v>46023</v>
      </c>
      <c r="O122" s="24" t="str">
        <f>VLOOKUP(D122,records!$A:$U,10,FALSE)</f>
        <v>0012p00004NuB2PAAV</v>
      </c>
      <c r="P122" s="24" t="str">
        <f>VLOOKUP(D122,records!$A:$V,20,FALSE)</f>
        <v>FR26421971474</v>
      </c>
      <c r="Q122" s="24" t="str">
        <f>VLOOKUP(D122,records!$A:$V,12,FALSE)</f>
        <v>42 197 147 400 018</v>
      </c>
      <c r="R122" s="24" t="s">
        <v>1220</v>
      </c>
      <c r="S122" s="24" t="str">
        <f>VLOOKUP(D122,records!$A:$U,19,FALSE)</f>
        <v>compta-fournisseurs@chabanne.com</v>
      </c>
      <c r="T122" s="26" t="s">
        <v>1221</v>
      </c>
      <c r="U122" s="26" t="s">
        <v>1222</v>
      </c>
      <c r="V122" s="26" t="str">
        <f>VLOOKUP($D122,records!$A:$V,3,FALSE)</f>
        <v>CHABANNE sas</v>
      </c>
      <c r="W122" s="26"/>
      <c r="X122" s="26" t="str">
        <f>VLOOKUP($D122,records!$A:$V,9,FALSE)</f>
        <v>La Grange - Route de Rivas</v>
      </c>
      <c r="Y122" s="26" t="str">
        <f>VLOOKUP($D122,records!$A:$V,4,FALSE)</f>
        <v>CHAMBOEUF</v>
      </c>
      <c r="Z122" s="26" t="str">
        <f>VLOOKUP($D122,records!$A:$V,7,FALSE)</f>
        <v>42330</v>
      </c>
      <c r="AA122" s="26" t="s">
        <v>1223</v>
      </c>
      <c r="AB122" s="26">
        <f>VLOOKUP(O122,'records (2)'!$A:$Z,8,FALSE)</f>
        <v>30</v>
      </c>
      <c r="AC122" s="26" t="b">
        <v>0</v>
      </c>
      <c r="AD122" s="26"/>
      <c r="AE122" s="26"/>
      <c r="AF122" s="26" t="str">
        <f>VLOOKUP($D122,records!$A:$V,13,FALSE)</f>
        <v>CHABANNE sas</v>
      </c>
      <c r="AG122" s="26" t="s">
        <v>1226</v>
      </c>
      <c r="AH122" s="26" t="str">
        <f>VLOOKUP($D122,records!$A:$V,19,FALSE)</f>
        <v>compta-fournisseurs@chabanne.com</v>
      </c>
      <c r="AI122" s="26" t="s">
        <v>1233</v>
      </c>
      <c r="AJ122" s="26" t="str">
        <f>VLOOKUP($O122,'records (2)'!$A:$Z,14,FALSE)</f>
        <v>003IV000010tWSKYA2</v>
      </c>
      <c r="AK122" s="26" t="str">
        <f>VLOOKUP($O122,'records (2)'!$A:$Z,15,FALSE)</f>
        <v>Zinab DURANCON (Compta Fourn))</v>
      </c>
      <c r="AL122" s="26" t="str">
        <f>VLOOKUP($O122,'records (2)'!$A:$Z,10,FALSE)</f>
        <v>003IV000010tWSLYA2</v>
      </c>
      <c r="AM122" s="26" t="str">
        <f>VLOOKUP($O122,'records (2)'!$A:$Z,11,FALSE)</f>
        <v>Zinab DURANCON</v>
      </c>
      <c r="AN122" s="18">
        <v>1</v>
      </c>
      <c r="AO122" s="4">
        <v>500</v>
      </c>
      <c r="AP122" s="4">
        <v>500</v>
      </c>
      <c r="AQ122" s="20">
        <v>0</v>
      </c>
      <c r="AR122" s="6">
        <v>0</v>
      </c>
    </row>
    <row r="123" spans="1:44">
      <c r="A123" s="18" t="s">
        <v>656</v>
      </c>
      <c r="B123" s="18" t="s">
        <v>657</v>
      </c>
      <c r="C123" s="18" t="s">
        <v>657</v>
      </c>
      <c r="D123" s="18" t="s">
        <v>658</v>
      </c>
      <c r="E123" s="18" t="s">
        <v>52</v>
      </c>
      <c r="F123" s="18" t="s">
        <v>53</v>
      </c>
      <c r="G123" s="18"/>
      <c r="H123" s="19" t="s">
        <v>1216</v>
      </c>
      <c r="I123" s="23" t="s">
        <v>1217</v>
      </c>
      <c r="J123" s="24">
        <v>46023</v>
      </c>
      <c r="K123" s="24">
        <v>46387</v>
      </c>
      <c r="L123" s="24" t="s">
        <v>1218</v>
      </c>
      <c r="M123" s="24" t="s">
        <v>1219</v>
      </c>
      <c r="N123" s="24">
        <v>46023</v>
      </c>
      <c r="O123" s="24" t="str">
        <f>VLOOKUP(D123,records!$A:$U,10,FALSE)</f>
        <v>001SZ000003pR9PYAU</v>
      </c>
      <c r="P123" s="24" t="str">
        <f>VLOOKUP(D123,records!$A:$V,20,FALSE)</f>
        <v>FR89515520526</v>
      </c>
      <c r="Q123" s="24" t="str">
        <f>VLOOKUP(D123,records!$A:$V,12,FALSE)</f>
        <v>51 552 052 600 010</v>
      </c>
      <c r="R123" s="24" t="s">
        <v>1220</v>
      </c>
      <c r="S123" s="24" t="str">
        <f>VLOOKUP(D123,records!$A:$U,19,FALSE)</f>
        <v>comptafournisseurs@rolot.com</v>
      </c>
      <c r="T123" s="26" t="s">
        <v>1221</v>
      </c>
      <c r="U123" s="26" t="s">
        <v>1222</v>
      </c>
      <c r="V123" s="26" t="str">
        <f>VLOOKUP($D123,records!$A:$V,3,FALSE)</f>
        <v>ETABLISSEMENTS ROLOT ET LEMASSON sasu</v>
      </c>
      <c r="W123" s="26"/>
      <c r="X123" s="26" t="str">
        <f>VLOOKUP($D123,records!$A:$V,9,FALSE)</f>
        <v>156 Route de Dijon</v>
      </c>
      <c r="Y123" s="26" t="str">
        <f>VLOOKUP($D123,records!$A:$V,4,FALSE)</f>
        <v>BEAUNE</v>
      </c>
      <c r="Z123" s="26" t="str">
        <f>VLOOKUP($D123,records!$A:$V,7,FALSE)</f>
        <v>21200</v>
      </c>
      <c r="AA123" s="26" t="s">
        <v>1223</v>
      </c>
      <c r="AB123" s="26">
        <f>VLOOKUP(O123,'records (2)'!$A:$Z,8,FALSE)</f>
        <v>30</v>
      </c>
      <c r="AC123" s="26" t="b">
        <v>0</v>
      </c>
      <c r="AD123" s="26"/>
      <c r="AE123" s="26"/>
      <c r="AF123" s="26" t="str">
        <f>VLOOKUP($D123,records!$A:$V,13,FALSE)</f>
        <v>ETABLISSEMENTS ROLOT ET LEMASSON sasu</v>
      </c>
      <c r="AG123" s="26" t="s">
        <v>1226</v>
      </c>
      <c r="AH123" s="26" t="str">
        <f>VLOOKUP($D123,records!$A:$V,19,FALSE)</f>
        <v>comptafournisseurs@rolot.com</v>
      </c>
      <c r="AI123" s="26" t="s">
        <v>1233</v>
      </c>
      <c r="AJ123" s="26" t="str">
        <f>VLOOKUP($O123,'records (2)'!$A:$Z,14,FALSE)</f>
        <v>003IV000010tSnSYAU</v>
      </c>
      <c r="AK123" s="26" t="str">
        <f>VLOOKUP($O123,'records (2)'!$A:$Z,15,FALSE)</f>
        <v>Compta Fourn ETS ROLOT ET LEMASSON</v>
      </c>
      <c r="AL123" s="26" t="str">
        <f>VLOOKUP($O123,'records (2)'!$A:$Z,10,FALSE)</f>
        <v>003IV000010tSnSYAU</v>
      </c>
      <c r="AM123" s="26" t="str">
        <f>VLOOKUP($O123,'records (2)'!$A:$Z,11,FALSE)</f>
        <v>Compta Fourn ETS ROLOT ET LEMASSON</v>
      </c>
      <c r="AN123" s="18">
        <v>1</v>
      </c>
      <c r="AO123" s="4">
        <v>500</v>
      </c>
      <c r="AP123" s="4">
        <v>500</v>
      </c>
      <c r="AQ123" s="20">
        <v>0</v>
      </c>
      <c r="AR123" s="6">
        <v>0</v>
      </c>
    </row>
    <row r="124" spans="1:44">
      <c r="A124" s="18" t="s">
        <v>629</v>
      </c>
      <c r="B124" s="18" t="s">
        <v>630</v>
      </c>
      <c r="C124" s="18" t="s">
        <v>631</v>
      </c>
      <c r="D124" s="18" t="s">
        <v>632</v>
      </c>
      <c r="E124" s="18" t="s">
        <v>52</v>
      </c>
      <c r="F124" s="18" t="s">
        <v>53</v>
      </c>
      <c r="G124" s="18"/>
      <c r="H124" s="19" t="s">
        <v>1216</v>
      </c>
      <c r="I124" s="23" t="s">
        <v>1217</v>
      </c>
      <c r="J124" s="24">
        <v>46023</v>
      </c>
      <c r="K124" s="24">
        <v>46387</v>
      </c>
      <c r="L124" s="24" t="s">
        <v>1218</v>
      </c>
      <c r="M124" s="24" t="s">
        <v>1219</v>
      </c>
      <c r="N124" s="24">
        <v>46023</v>
      </c>
      <c r="O124" s="24" t="str">
        <f>VLOOKUP(D124,records!$A:$U,10,FALSE)</f>
        <v>0012p00004QxSMFAA3</v>
      </c>
      <c r="P124" s="24" t="str">
        <f>VLOOKUP(D124,records!$A:$V,20,FALSE)</f>
        <v>FR02573721370</v>
      </c>
      <c r="Q124" s="24" t="str">
        <f>VLOOKUP(D124,records!$A:$V,12,FALSE)</f>
        <v>57 372 137 000 050</v>
      </c>
      <c r="R124" s="24" t="s">
        <v>1220</v>
      </c>
      <c r="S124" s="24" t="str">
        <f>VLOOKUP(D124,records!$A:$U,19,FALSE)</f>
        <v>compta-frais2@monin.com</v>
      </c>
      <c r="T124" s="26" t="s">
        <v>1221</v>
      </c>
      <c r="U124" s="26" t="s">
        <v>1222</v>
      </c>
      <c r="V124" s="26" t="str">
        <f>VLOOKUP($D124,records!$A:$V,3,FALSE)</f>
        <v>GEORGES MONIN SAS</v>
      </c>
      <c r="W124" s="26"/>
      <c r="X124" s="26" t="str">
        <f>VLOOKUP($D124,records!$A:$V,9,FALSE)</f>
        <v>5 rue Ferdinand de Lesseps</v>
      </c>
      <c r="Y124" s="26" t="str">
        <f>VLOOKUP($D124,records!$A:$V,4,FALSE)</f>
        <v>BOURGES</v>
      </c>
      <c r="Z124" s="26" t="str">
        <f>VLOOKUP($D124,records!$A:$V,7,FALSE)</f>
        <v>18000</v>
      </c>
      <c r="AA124" s="26" t="s">
        <v>1223</v>
      </c>
      <c r="AB124" s="26">
        <f>VLOOKUP(O124,'records (2)'!$A:$Z,8,FALSE)</f>
        <v>30</v>
      </c>
      <c r="AC124" s="26" t="b">
        <v>0</v>
      </c>
      <c r="AD124" s="26"/>
      <c r="AE124" s="26"/>
      <c r="AF124" s="26" t="str">
        <f>VLOOKUP($D124,records!$A:$V,13,FALSE)</f>
        <v>GEORGES MONIN SAS</v>
      </c>
      <c r="AG124" s="26" t="s">
        <v>1226</v>
      </c>
      <c r="AH124" s="26" t="str">
        <f>VLOOKUP($D124,records!$A:$V,19,FALSE)</f>
        <v>compta-frais2@monin.com</v>
      </c>
      <c r="AI124" s="26" t="s">
        <v>1233</v>
      </c>
      <c r="AJ124" s="26" t="str">
        <f>VLOOKUP($O124,'records (2)'!$A:$Z,14,FALSE)</f>
        <v>003IV000010t3eLYAQ</v>
      </c>
      <c r="AK124" s="26" t="str">
        <f>VLOOKUP($O124,'records (2)'!$A:$Z,15,FALSE)</f>
        <v>Envoi FACTURES - Georges MONIN</v>
      </c>
      <c r="AL124" s="26" t="str">
        <f>VLOOKUP($O124,'records (2)'!$A:$Z,10,FALSE)</f>
        <v>003IV000010t3eLYAQ</v>
      </c>
      <c r="AM124" s="26" t="str">
        <f>VLOOKUP($O124,'records (2)'!$A:$Z,11,FALSE)</f>
        <v>Envoi FACTURES - Georges MONIN</v>
      </c>
      <c r="AN124" s="18">
        <v>1</v>
      </c>
      <c r="AO124" s="4">
        <v>500</v>
      </c>
      <c r="AP124" s="4">
        <v>500</v>
      </c>
      <c r="AQ124" s="20">
        <v>0</v>
      </c>
      <c r="AR124" s="6">
        <v>0</v>
      </c>
    </row>
    <row r="125" spans="1:44">
      <c r="A125" s="18" t="s">
        <v>340</v>
      </c>
      <c r="B125" s="18" t="s">
        <v>341</v>
      </c>
      <c r="C125" s="18" t="s">
        <v>341</v>
      </c>
      <c r="D125" s="18" t="s">
        <v>342</v>
      </c>
      <c r="E125" s="18" t="s">
        <v>16</v>
      </c>
      <c r="F125" s="18" t="s">
        <v>17</v>
      </c>
      <c r="G125" s="18"/>
      <c r="H125" s="19" t="s">
        <v>1216</v>
      </c>
      <c r="I125" s="23" t="s">
        <v>1217</v>
      </c>
      <c r="J125" s="24">
        <v>46023</v>
      </c>
      <c r="K125" s="24">
        <v>46387</v>
      </c>
      <c r="L125" s="24" t="s">
        <v>1218</v>
      </c>
      <c r="M125" s="24" t="s">
        <v>1219</v>
      </c>
      <c r="N125" s="24">
        <v>46023</v>
      </c>
      <c r="O125" s="24" t="str">
        <f>VLOOKUP(D125,records!$A:$U,10,FALSE)</f>
        <v>0012p00004Q6XHUAA3</v>
      </c>
      <c r="P125" s="24" t="str">
        <f>VLOOKUP(D125,records!$A:$V,20,FALSE)</f>
        <v>FR90384169108</v>
      </c>
      <c r="Q125" s="24" t="str">
        <f>VLOOKUP(D125,records!$A:$V,12,FALSE)</f>
        <v>38 416 910 800 022</v>
      </c>
      <c r="R125" s="24" t="s">
        <v>1220</v>
      </c>
      <c r="S125" s="24" t="str">
        <f>VLOOKUP(D125,records!$A:$U,19,FALSE)</f>
        <v>comptafrs@pileje-industrie.com</v>
      </c>
      <c r="T125" s="26" t="s">
        <v>1221</v>
      </c>
      <c r="U125" s="26" t="s">
        <v>1222</v>
      </c>
      <c r="V125" s="26" t="str">
        <f>VLOOKUP($D125,records!$A:$V,3,FALSE)</f>
        <v>PILEJE INDUSTRIE sas</v>
      </c>
      <c r="W125" s="26" t="str">
        <f>IFERROR(VLOOKUP($D125,records!$A:$V,6,FALSE),)</f>
        <v>Comptabilité Fournisseurs</v>
      </c>
      <c r="X125" s="26" t="str">
        <f>VLOOKUP($D125,records!$A:$V,9,FALSE)</f>
        <v>Les chemins des Ttiolans</v>
      </c>
      <c r="Y125" s="26" t="str">
        <f>VLOOKUP($D125,records!$A:$V,4,FALSE)</f>
        <v>SAINT BONNET DE ROCHEFORT</v>
      </c>
      <c r="Z125" s="26" t="str">
        <f>VLOOKUP($D125,records!$A:$V,7,FALSE)</f>
        <v>3800</v>
      </c>
      <c r="AA125" s="26" t="s">
        <v>1223</v>
      </c>
      <c r="AB125" s="26">
        <f>VLOOKUP(O125,'records (2)'!$A:$Z,8,FALSE)</f>
        <v>30</v>
      </c>
      <c r="AC125" s="26" t="b">
        <v>0</v>
      </c>
      <c r="AD125" s="26"/>
      <c r="AE125" s="26"/>
      <c r="AF125" s="26" t="str">
        <f>VLOOKUP($D125,records!$A:$V,13,FALSE)</f>
        <v>PILEJE INDUSTRIE sas</v>
      </c>
      <c r="AG125" s="26" t="s">
        <v>1226</v>
      </c>
      <c r="AH125" s="26" t="str">
        <f>VLOOKUP($D125,records!$A:$V,19,FALSE)</f>
        <v>comptafrs@pileje-industrie.com</v>
      </c>
      <c r="AI125" s="26" t="s">
        <v>1233</v>
      </c>
      <c r="AJ125" s="26" t="str">
        <f>VLOOKUP($O125,'records (2)'!$A:$Z,14,FALSE)</f>
        <v>003IV000010tSkMYAU</v>
      </c>
      <c r="AK125" s="26" t="str">
        <f>VLOOKUP($O125,'records (2)'!$A:$Z,15,FALSE)</f>
        <v>GOUYET-CIAIS Clémentine</v>
      </c>
      <c r="AL125" s="26" t="str">
        <f>VLOOKUP($O125,'records (2)'!$A:$Z,10,FALSE)</f>
        <v>003IV000010s6QXYAY</v>
      </c>
      <c r="AM125" s="26" t="str">
        <f>VLOOKUP($O125,'records (2)'!$A:$Z,11,FALSE)</f>
        <v>Nathalie DA CUNHA</v>
      </c>
      <c r="AN125" s="18">
        <v>1</v>
      </c>
      <c r="AO125" s="4">
        <v>1000</v>
      </c>
      <c r="AP125" s="4">
        <v>1000</v>
      </c>
      <c r="AQ125" s="20">
        <v>0</v>
      </c>
      <c r="AR125" s="6">
        <v>0</v>
      </c>
    </row>
    <row r="126" spans="1:44">
      <c r="A126" s="18" t="s">
        <v>1047</v>
      </c>
      <c r="B126" s="18" t="s">
        <v>1048</v>
      </c>
      <c r="C126" s="18" t="s">
        <v>1049</v>
      </c>
      <c r="D126" s="18" t="s">
        <v>1050</v>
      </c>
      <c r="E126" s="18" t="s">
        <v>16</v>
      </c>
      <c r="F126" s="18" t="s">
        <v>17</v>
      </c>
      <c r="G126" s="18"/>
      <c r="H126" s="19" t="s">
        <v>1216</v>
      </c>
      <c r="I126" s="23" t="s">
        <v>1217</v>
      </c>
      <c r="J126" s="24">
        <v>46023</v>
      </c>
      <c r="K126" s="24">
        <v>46387</v>
      </c>
      <c r="L126" s="24" t="s">
        <v>1218</v>
      </c>
      <c r="M126" s="24" t="s">
        <v>1219</v>
      </c>
      <c r="N126" s="24">
        <v>46023</v>
      </c>
      <c r="O126" s="24" t="str">
        <f>VLOOKUP(D126,records!$A:$U,10,FALSE)</f>
        <v>001SZ00000IY37lYAD</v>
      </c>
      <c r="P126" s="24" t="str">
        <f>VLOOKUP(D126,records!$A:$V,20,FALSE)</f>
        <v>FR79542076633</v>
      </c>
      <c r="Q126" s="24" t="str">
        <f>VLOOKUP(D126,records!$A:$V,12,FALSE)</f>
        <v>54 207 663 300 123</v>
      </c>
      <c r="R126" s="24" t="s">
        <v>1220</v>
      </c>
      <c r="S126" s="24" t="str">
        <f>VLOOKUP(D126,records!$A:$U,19,FALSE)</f>
        <v>comptagenerale@cofigeo.fr</v>
      </c>
      <c r="T126" s="26" t="s">
        <v>1221</v>
      </c>
      <c r="U126" s="26" t="s">
        <v>1222</v>
      </c>
      <c r="V126" s="26" t="str">
        <f>VLOOKUP($D126,records!$A:$V,3,FALSE)</f>
        <v>COFIGEO sas</v>
      </c>
      <c r="W126" s="26"/>
      <c r="X126" s="26" t="str">
        <f>VLOOKUP($D126,records!$A:$V,9,FALSE)</f>
        <v>2 Rue du Docteur Lombard</v>
      </c>
      <c r="Y126" s="26" t="str">
        <f>VLOOKUP($D126,records!$A:$V,4,FALSE)</f>
        <v>ISSY-LES-MOULINEAUX</v>
      </c>
      <c r="Z126" s="26" t="str">
        <f>VLOOKUP($D126,records!$A:$V,7,FALSE)</f>
        <v>92130</v>
      </c>
      <c r="AA126" s="26" t="s">
        <v>1223</v>
      </c>
      <c r="AB126" s="26">
        <f>VLOOKUP(O126,'records (2)'!$A:$Z,8,FALSE)</f>
        <v>45</v>
      </c>
      <c r="AC126" s="26" t="b">
        <v>0</v>
      </c>
      <c r="AD126" s="26"/>
      <c r="AE126" s="26"/>
      <c r="AF126" s="26" t="str">
        <f>VLOOKUP($D126,records!$A:$V,13,FALSE)</f>
        <v>COFIGEO sas</v>
      </c>
      <c r="AG126" s="26" t="s">
        <v>1226</v>
      </c>
      <c r="AH126" s="26" t="str">
        <f>VLOOKUP($D126,records!$A:$V,19,FALSE)</f>
        <v>comptagenerale@cofigeo.fr</v>
      </c>
      <c r="AI126" s="26" t="s">
        <v>1233</v>
      </c>
      <c r="AJ126" s="26" t="str">
        <f>VLOOKUP($O126,'records (2)'!$A:$Z,14,FALSE)</f>
        <v>003IV000010tJZsYAM</v>
      </c>
      <c r="AK126" s="26" t="str">
        <f>VLOOKUP($O126,'records (2)'!$A:$Z,15,FALSE)</f>
        <v>Cécile PUECH</v>
      </c>
      <c r="AL126" s="26" t="str">
        <f>VLOOKUP($O126,'records (2)'!$A:$Z,10,FALSE)</f>
        <v>003IV000010tJZsYAM</v>
      </c>
      <c r="AM126" s="26" t="str">
        <f>VLOOKUP($O126,'records (2)'!$A:$Z,11,FALSE)</f>
        <v>Cécile PUECH</v>
      </c>
      <c r="AN126" s="18">
        <v>1</v>
      </c>
      <c r="AO126" s="4">
        <v>6000</v>
      </c>
      <c r="AP126" s="4">
        <v>6000</v>
      </c>
      <c r="AQ126" s="20">
        <v>0</v>
      </c>
      <c r="AR126" s="6">
        <v>0</v>
      </c>
    </row>
    <row r="127" spans="1:44">
      <c r="A127" s="18" t="s">
        <v>732</v>
      </c>
      <c r="B127" s="18" t="s">
        <v>733</v>
      </c>
      <c r="C127" s="18" t="s">
        <v>734</v>
      </c>
      <c r="D127" s="18" t="s">
        <v>735</v>
      </c>
      <c r="E127" s="18" t="s">
        <v>52</v>
      </c>
      <c r="F127" s="18" t="s">
        <v>53</v>
      </c>
      <c r="G127" s="18"/>
      <c r="H127" s="19" t="s">
        <v>1216</v>
      </c>
      <c r="I127" s="23" t="s">
        <v>1217</v>
      </c>
      <c r="J127" s="24">
        <v>46023</v>
      </c>
      <c r="K127" s="24">
        <v>46387</v>
      </c>
      <c r="L127" s="24" t="s">
        <v>1218</v>
      </c>
      <c r="M127" s="24" t="s">
        <v>1219</v>
      </c>
      <c r="N127" s="24">
        <v>46023</v>
      </c>
      <c r="O127" s="24" t="str">
        <f>VLOOKUP(D127,records!$A:$U,10,FALSE)</f>
        <v>0012p00004RKFI5AAP</v>
      </c>
      <c r="P127" s="24" t="str">
        <f>VLOOKUP(D127,records!$A:$V,20,FALSE)</f>
        <v>FR58798689253</v>
      </c>
      <c r="Q127" s="24" t="str">
        <f>VLOOKUP(D127,records!$A:$V,12,FALSE)</f>
        <v>79 868 925 300 010</v>
      </c>
      <c r="R127" s="24" t="s">
        <v>1220</v>
      </c>
      <c r="S127" s="24" t="str">
        <f>VLOOKUP(D127,records!$A:$U,19,FALSE)</f>
        <v>comptamob-frs@lafuma-mobilier.fr</v>
      </c>
      <c r="T127" s="26" t="s">
        <v>1221</v>
      </c>
      <c r="U127" s="26" t="s">
        <v>1222</v>
      </c>
      <c r="V127" s="26" t="str">
        <f>VLOOKUP($D127,records!$A:$V,3,FALSE)</f>
        <v>LAFUMA MOBILIER S.A.S</v>
      </c>
      <c r="W127" s="26"/>
      <c r="X127" s="26" t="str">
        <f>VLOOKUP($D127,records!$A:$V,9,FALSE)</f>
        <v>6 rue Victoria Lafuma</v>
      </c>
      <c r="Y127" s="26" t="str">
        <f>VLOOKUP($D127,records!$A:$V,4,FALSE)</f>
        <v>ANNEYRON</v>
      </c>
      <c r="Z127" s="26" t="str">
        <f>VLOOKUP($D127,records!$A:$V,7,FALSE)</f>
        <v>26140</v>
      </c>
      <c r="AA127" s="26" t="s">
        <v>1223</v>
      </c>
      <c r="AB127" s="26">
        <f>VLOOKUP(O127,'records (2)'!$A:$Z,8,FALSE)</f>
        <v>30</v>
      </c>
      <c r="AC127" s="26" t="b">
        <v>0</v>
      </c>
      <c r="AD127" s="26"/>
      <c r="AE127" s="26"/>
      <c r="AF127" s="26" t="str">
        <f>VLOOKUP($D127,records!$A:$V,13,FALSE)</f>
        <v>LAFUMA MOBILIER S.A.S</v>
      </c>
      <c r="AG127" s="26" t="s">
        <v>1226</v>
      </c>
      <c r="AH127" s="26" t="str">
        <f>VLOOKUP($D127,records!$A:$V,19,FALSE)</f>
        <v>comptamob-frs@lafuma-mobilier.fr</v>
      </c>
      <c r="AI127" s="26" t="s">
        <v>1233</v>
      </c>
      <c r="AJ127" s="26" t="str">
        <f>VLOOKUP($O127,'records (2)'!$A:$Z,14,FALSE)</f>
        <v>003IV000010tQIIYA2</v>
      </c>
      <c r="AK127" s="26" t="str">
        <f>VLOOKUP($O127,'records (2)'!$A:$Z,15,FALSE)</f>
        <v>Annie ROCHET (comptamob-frs)</v>
      </c>
      <c r="AL127" s="26" t="str">
        <f>VLOOKUP($O127,'records (2)'!$A:$Z,10,FALSE)</f>
        <v>003IV000010tQIIYA2</v>
      </c>
      <c r="AM127" s="26" t="str">
        <f>VLOOKUP($O127,'records (2)'!$A:$Z,11,FALSE)</f>
        <v>Annie ROCHET (comptamob-frs)</v>
      </c>
      <c r="AN127" s="18">
        <v>1</v>
      </c>
      <c r="AO127" s="4">
        <v>500</v>
      </c>
      <c r="AP127" s="4">
        <v>500</v>
      </c>
      <c r="AQ127" s="20">
        <v>0</v>
      </c>
      <c r="AR127" s="6">
        <v>0</v>
      </c>
    </row>
    <row r="128" spans="1:44">
      <c r="A128" s="18" t="s">
        <v>1083</v>
      </c>
      <c r="B128" s="18" t="s">
        <v>1084</v>
      </c>
      <c r="C128" s="18" t="s">
        <v>1084</v>
      </c>
      <c r="D128" s="18" t="s">
        <v>1085</v>
      </c>
      <c r="E128" s="18" t="s">
        <v>23</v>
      </c>
      <c r="F128" s="18" t="s">
        <v>24</v>
      </c>
      <c r="G128" s="18"/>
      <c r="H128" s="19" t="s">
        <v>1216</v>
      </c>
      <c r="I128" s="23" t="s">
        <v>1217</v>
      </c>
      <c r="J128" s="24">
        <v>46023</v>
      </c>
      <c r="K128" s="24">
        <v>46387</v>
      </c>
      <c r="L128" s="24" t="s">
        <v>1218</v>
      </c>
      <c r="M128" s="24" t="s">
        <v>1219</v>
      </c>
      <c r="N128" s="24">
        <v>46023</v>
      </c>
      <c r="O128" s="24" t="str">
        <f>VLOOKUP(D128,records!$A:$U,10,FALSE)</f>
        <v>001SZ00000LN8X6YAL</v>
      </c>
      <c r="P128" s="24" t="str">
        <f>VLOOKUP(D128,records!$A:$V,20,FALSE)</f>
        <v>FR16323438515</v>
      </c>
      <c r="Q128" s="24" t="str">
        <f>VLOOKUP(D128,records!$A:$V,12,FALSE)</f>
        <v>32 343 851 500 021</v>
      </c>
      <c r="R128" s="24" t="s">
        <v>1220</v>
      </c>
      <c r="S128" s="24" t="str">
        <f>VLOOKUP(D128,records!$A:$U,19,FALSE)</f>
        <v>compta-tiers.efi@efiautomotive.com</v>
      </c>
      <c r="T128" s="26" t="s">
        <v>1221</v>
      </c>
      <c r="U128" s="26" t="s">
        <v>1222</v>
      </c>
      <c r="V128" s="26" t="str">
        <f>VLOOKUP($D128,records!$A:$V,3,FALSE)</f>
        <v>ELECTRIFIL AUTOMOTIVE sas</v>
      </c>
      <c r="W128" s="26"/>
      <c r="X128" s="26" t="str">
        <f>VLOOKUP($D128,records!$A:$V,9,FALSE)</f>
        <v>ZI Ouest Beynost -
 77 allée des Grandes Combes</v>
      </c>
      <c r="Y128" s="26" t="str">
        <f>VLOOKUP($D128,records!$A:$V,4,FALSE)</f>
        <v>MIRIBEL CEDEX</v>
      </c>
      <c r="Z128" s="26" t="str">
        <f>VLOOKUP($D128,records!$A:$V,7,FALSE)</f>
        <v>1708</v>
      </c>
      <c r="AA128" s="26" t="s">
        <v>1223</v>
      </c>
      <c r="AB128" s="26">
        <f>VLOOKUP(O128,'records (2)'!$A:$Z,8,FALSE)</f>
        <v>45</v>
      </c>
      <c r="AC128" s="26" t="b">
        <f>VLOOKUP(O128,'records (4)'!$A:$C,3,FALSE)</f>
        <v>1</v>
      </c>
      <c r="AD128" s="26" t="s">
        <v>1225</v>
      </c>
      <c r="AE128" s="24">
        <v>46023</v>
      </c>
      <c r="AF128" s="26" t="str">
        <f>VLOOKUP($D128,records!$A:$V,13,FALSE)</f>
        <v>ELECTRIFIL AUTOMOTIVE sas</v>
      </c>
      <c r="AG128" s="26" t="s">
        <v>1226</v>
      </c>
      <c r="AH128" s="26" t="str">
        <f>VLOOKUP($D128,records!$A:$V,19,FALSE)</f>
        <v>compta-tiers.efi@efiautomotive.com</v>
      </c>
      <c r="AI128" s="26" t="s">
        <v>1233</v>
      </c>
      <c r="AJ128" s="26" t="str">
        <f>VLOOKUP($O128,'records (2)'!$A:$Z,14,FALSE)</f>
        <v>003IV000010tJa8YAE</v>
      </c>
      <c r="AK128" s="26" t="str">
        <f>VLOOKUP($O128,'records (2)'!$A:$Z,15,FALSE)</f>
        <v>Patricia COQUAZ</v>
      </c>
      <c r="AL128" s="26" t="str">
        <f>VLOOKUP($O128,'records (2)'!$A:$Z,10,FALSE)</f>
        <v>003IV000010tJa8YAE</v>
      </c>
      <c r="AM128" s="26" t="str">
        <f>VLOOKUP($O128,'records (2)'!$A:$Z,11,FALSE)</f>
        <v>Patricia COQUAZ</v>
      </c>
      <c r="AN128" s="18">
        <v>1</v>
      </c>
      <c r="AO128" s="4">
        <v>5000</v>
      </c>
      <c r="AP128" s="4">
        <v>5000</v>
      </c>
      <c r="AQ128" s="20">
        <v>0</v>
      </c>
      <c r="AR128" s="6">
        <v>0</v>
      </c>
    </row>
    <row r="129" spans="1:44">
      <c r="A129" s="18" t="s">
        <v>29</v>
      </c>
      <c r="B129" s="18" t="s">
        <v>30</v>
      </c>
      <c r="C129" s="18" t="s">
        <v>31</v>
      </c>
      <c r="D129" s="18" t="s">
        <v>32</v>
      </c>
      <c r="E129" s="18" t="s">
        <v>23</v>
      </c>
      <c r="F129" s="18" t="s">
        <v>24</v>
      </c>
      <c r="G129" s="18"/>
      <c r="H129" s="19" t="s">
        <v>1216</v>
      </c>
      <c r="I129" s="23" t="s">
        <v>1217</v>
      </c>
      <c r="J129" s="24">
        <v>46023</v>
      </c>
      <c r="K129" s="24">
        <v>46387</v>
      </c>
      <c r="L129" s="24" t="s">
        <v>1218</v>
      </c>
      <c r="M129" s="24" t="s">
        <v>1219</v>
      </c>
      <c r="N129" s="24">
        <v>46023</v>
      </c>
      <c r="O129" s="24" t="str">
        <f>VLOOKUP(D129,records!$A:$U,10,FALSE)</f>
        <v>0012p00004O5X1OAAV</v>
      </c>
      <c r="P129" s="24" t="str">
        <f>VLOOKUP(D129,records!$A:$V,20,FALSE)</f>
        <v>FR57353726714</v>
      </c>
      <c r="Q129" s="24" t="str">
        <f>VLOOKUP(D129,records!$A:$V,12,FALSE)</f>
        <v>35 372 671 400 028</v>
      </c>
      <c r="R129" s="24" t="s">
        <v>1220</v>
      </c>
      <c r="S129" s="24" t="str">
        <f>VLOOKUP(D129,records!$A:$U,19,FALSE)</f>
        <v>coralie.rouye@verallia.com</v>
      </c>
      <c r="T129" s="26" t="s">
        <v>1221</v>
      </c>
      <c r="U129" s="26" t="s">
        <v>1222</v>
      </c>
      <c r="V129" s="26" t="str">
        <f>VLOOKUP($D129,records!$A:$V,3,FALSE)</f>
        <v>SOCIETE CHARENTAISE DE DECOR sasu</v>
      </c>
      <c r="W129" s="26"/>
      <c r="X129" s="26" t="str">
        <f>VLOOKUP($D129,records!$A:$V,9,FALSE)</f>
        <v>1 route des Grands Champs</v>
      </c>
      <c r="Y129" s="26" t="str">
        <f>VLOOKUP($D129,records!$A:$V,4,FALSE)</f>
        <v>GENSAC LA PALLUE</v>
      </c>
      <c r="Z129" s="26" t="str">
        <f>VLOOKUP($D129,records!$A:$V,7,FALSE)</f>
        <v>16130</v>
      </c>
      <c r="AA129" s="26" t="s">
        <v>1223</v>
      </c>
      <c r="AB129" s="26">
        <f>VLOOKUP(O129,'records (2)'!$A:$Z,8,FALSE)</f>
        <v>45</v>
      </c>
      <c r="AC129" s="26" t="b">
        <v>0</v>
      </c>
      <c r="AD129" s="26"/>
      <c r="AE129" s="26"/>
      <c r="AF129" s="26" t="str">
        <f>VLOOKUP($D129,records!$A:$V,13,FALSE)</f>
        <v>SOCIETE CHARENTAISE DE DECOR sasu</v>
      </c>
      <c r="AG129" s="26" t="s">
        <v>1226</v>
      </c>
      <c r="AH129" s="26" t="str">
        <f>VLOOKUP($D129,records!$A:$V,19,FALSE)</f>
        <v>coralie.rouye@verallia.com</v>
      </c>
      <c r="AI129" s="26" t="s">
        <v>1233</v>
      </c>
      <c r="AJ129" s="26" t="str">
        <f>VLOOKUP($O129,'records (2)'!$A:$Z,14,FALSE)</f>
        <v>003IV000010sxGpYAI</v>
      </c>
      <c r="AK129" s="26" t="str">
        <f>VLOOKUP($O129,'records (2)'!$A:$Z,15,FALSE)</f>
        <v>Coralie ROUYE</v>
      </c>
      <c r="AL129" s="26" t="str">
        <f>VLOOKUP($O129,'records (2)'!$A:$Z,10,FALSE)</f>
        <v>003IV000010sxGJYAY</v>
      </c>
      <c r="AM129" s="26" t="str">
        <f>VLOOKUP($O129,'records (2)'!$A:$Z,11,FALSE)</f>
        <v>Morgane YZABEL</v>
      </c>
      <c r="AN129" s="18">
        <v>1</v>
      </c>
      <c r="AO129" s="4">
        <v>1000</v>
      </c>
      <c r="AP129" s="4">
        <v>1000</v>
      </c>
      <c r="AQ129" s="20">
        <v>0</v>
      </c>
      <c r="AR129" s="6">
        <v>0</v>
      </c>
    </row>
    <row r="130" spans="1:44">
      <c r="A130" s="18" t="s">
        <v>905</v>
      </c>
      <c r="B130" s="18" t="s">
        <v>906</v>
      </c>
      <c r="C130" s="18" t="s">
        <v>907</v>
      </c>
      <c r="D130" s="18" t="s">
        <v>908</v>
      </c>
      <c r="E130" s="18" t="s">
        <v>52</v>
      </c>
      <c r="F130" s="18" t="s">
        <v>53</v>
      </c>
      <c r="G130" s="18"/>
      <c r="H130" s="19" t="s">
        <v>1216</v>
      </c>
      <c r="I130" s="23" t="s">
        <v>1217</v>
      </c>
      <c r="J130" s="24">
        <v>46023</v>
      </c>
      <c r="K130" s="24">
        <v>46387</v>
      </c>
      <c r="L130" s="24" t="s">
        <v>1218</v>
      </c>
      <c r="M130" s="24" t="s">
        <v>1219</v>
      </c>
      <c r="N130" s="24">
        <v>46023</v>
      </c>
      <c r="O130" s="24" t="str">
        <f>VLOOKUP(D130,records!$A:$U,10,FALSE)</f>
        <v>001SZ000006LuzpYAC</v>
      </c>
      <c r="P130" s="24" t="str">
        <f>VLOOKUP(D130,records!$A:$V,20,FALSE)</f>
        <v>FR11702044710</v>
      </c>
      <c r="Q130" s="24" t="str">
        <f>VLOOKUP(D130,records!$A:$V,12,FALSE)</f>
        <v>70 204 471 000 029</v>
      </c>
      <c r="R130" s="24" t="s">
        <v>1220</v>
      </c>
      <c r="S130" s="24" t="str">
        <f>VLOOKUP(D130,records!$A:$U,19,FALSE)</f>
        <v>corinne.ponton@sodis.fr</v>
      </c>
      <c r="T130" s="26" t="s">
        <v>1221</v>
      </c>
      <c r="U130" s="26" t="s">
        <v>1222</v>
      </c>
      <c r="V130" s="26" t="str">
        <f>VLOOKUP($D130,records!$A:$V,3,FALSE)</f>
        <v>SOCIETE DE DISTRIBUTION DE PRODUITS DE L'EDITION sas</v>
      </c>
      <c r="W130" s="26" t="str">
        <f>IFERROR(VLOOKUP($D130,records!$A:$V,6,FALSE),)</f>
        <v>Ressources Humaines</v>
      </c>
      <c r="X130" s="26" t="str">
        <f>VLOOKUP($D130,records!$A:$V,9,FALSE)</f>
        <v>128 Avenue du Maréchal de Lattre de Tassigny</v>
      </c>
      <c r="Y130" s="26" t="str">
        <f>VLOOKUP($D130,records!$A:$V,4,FALSE)</f>
        <v>LAGNY-SUR-MARNE</v>
      </c>
      <c r="Z130" s="26" t="str">
        <f>VLOOKUP($D130,records!$A:$V,7,FALSE)</f>
        <v>77400</v>
      </c>
      <c r="AA130" s="26" t="s">
        <v>1223</v>
      </c>
      <c r="AB130" s="26">
        <f>VLOOKUP(O130,'records (2)'!$A:$Z,8,FALSE)</f>
        <v>30</v>
      </c>
      <c r="AC130" s="26" t="b">
        <v>0</v>
      </c>
      <c r="AD130" s="26"/>
      <c r="AE130" s="26"/>
      <c r="AF130" s="26" t="str">
        <f>VLOOKUP($D130,records!$A:$V,13,FALSE)</f>
        <v>SOCIETE DE DISTRIBUTION DE PRODUITS DE L'EDITION sas</v>
      </c>
      <c r="AG130" s="26" t="s">
        <v>1226</v>
      </c>
      <c r="AH130" s="26" t="str">
        <f>VLOOKUP($D130,records!$A:$V,19,FALSE)</f>
        <v>corinne.ponton@sodis.fr</v>
      </c>
      <c r="AI130" s="26" t="s">
        <v>1233</v>
      </c>
      <c r="AJ130" s="26" t="str">
        <f>VLOOKUP($O130,'records (2)'!$A:$Z,14,FALSE)</f>
        <v>003IV000010tKf9YAE</v>
      </c>
      <c r="AK130" s="26" t="str">
        <f>VLOOKUP($O130,'records (2)'!$A:$Z,15,FALSE)</f>
        <v>Anne DEVILLIERS</v>
      </c>
      <c r="AL130" s="26" t="str">
        <f>VLOOKUP($O130,'records (2)'!$A:$Z,10,FALSE)</f>
        <v>003IV000010su98YAA</v>
      </c>
      <c r="AM130" s="26" t="str">
        <f>VLOOKUP($O130,'records (2)'!$A:$Z,11,FALSE)</f>
        <v>Corinne PONTON</v>
      </c>
      <c r="AN130" s="18">
        <v>1</v>
      </c>
      <c r="AO130" s="4">
        <v>1500</v>
      </c>
      <c r="AP130" s="4">
        <v>1500</v>
      </c>
      <c r="AQ130" s="20">
        <v>0</v>
      </c>
      <c r="AR130" s="6">
        <v>0</v>
      </c>
    </row>
    <row r="131" spans="1:44">
      <c r="A131" s="18" t="s">
        <v>124</v>
      </c>
      <c r="B131" s="18" t="s">
        <v>125</v>
      </c>
      <c r="C131" s="18" t="s">
        <v>126</v>
      </c>
      <c r="D131" s="18" t="s">
        <v>127</v>
      </c>
      <c r="E131" s="18" t="s">
        <v>16</v>
      </c>
      <c r="F131" s="18" t="s">
        <v>17</v>
      </c>
      <c r="G131" s="18"/>
      <c r="H131" s="19" t="s">
        <v>1216</v>
      </c>
      <c r="I131" s="23" t="s">
        <v>1217</v>
      </c>
      <c r="J131" s="24">
        <v>46023</v>
      </c>
      <c r="K131" s="24">
        <v>46387</v>
      </c>
      <c r="L131" s="24" t="s">
        <v>1218</v>
      </c>
      <c r="M131" s="24" t="s">
        <v>1219</v>
      </c>
      <c r="N131" s="24">
        <v>46023</v>
      </c>
      <c r="O131" s="24" t="str">
        <f>VLOOKUP(D131,records!$A:$U,10,FALSE)</f>
        <v>0012p00004Qu5XhAAJ</v>
      </c>
      <c r="P131" s="24" t="str">
        <f>VLOOKUP(D131,records!$A:$V,20,FALSE)</f>
        <v>FR49562061630</v>
      </c>
      <c r="Q131" s="24" t="str">
        <f>VLOOKUP(D131,records!$A:$V,12,FALSE)</f>
        <v>56 206 163 000 025</v>
      </c>
      <c r="R131" s="24" t="s">
        <v>1220</v>
      </c>
      <c r="S131" s="24" t="str">
        <f>VLOOKUP(D131,records!$A:$U,19,FALSE)</f>
        <v>cosasaccountspayable@chevron.com</v>
      </c>
      <c r="T131" s="26" t="s">
        <v>1221</v>
      </c>
      <c r="U131" s="26" t="s">
        <v>1222</v>
      </c>
      <c r="V131" s="26" t="str">
        <f>VLOOKUP($D131,records!$A:$V,3,FALSE)</f>
        <v>CHEVRON ORONITE sasu</v>
      </c>
      <c r="W131" s="26" t="str">
        <f>IFERROR(VLOOKUP($D131,records!$A:$V,6,FALSE),)</f>
        <v>Usine de Gonfreville l'Orcher</v>
      </c>
      <c r="X131" s="26" t="str">
        <f>VLOOKUP($D131,records!$A:$V,9,FALSE)</f>
        <v>Route du Pont 8</v>
      </c>
      <c r="Y131" s="26" t="str">
        <f>VLOOKUP($D131,records!$A:$V,4,FALSE)</f>
        <v>LE HAVRE</v>
      </c>
      <c r="Z131" s="26" t="str">
        <f>VLOOKUP($D131,records!$A:$V,7,FALSE)</f>
        <v>76600</v>
      </c>
      <c r="AA131" s="26" t="s">
        <v>1223</v>
      </c>
      <c r="AB131" s="26">
        <f>VLOOKUP(O131,'records (2)'!$A:$Z,8,FALSE)</f>
        <v>30</v>
      </c>
      <c r="AC131" s="26" t="b">
        <v>0</v>
      </c>
      <c r="AD131" s="26"/>
      <c r="AE131" s="26"/>
      <c r="AF131" s="26" t="str">
        <f>VLOOKUP($D131,records!$A:$V,13,FALSE)</f>
        <v>CHEVRON ORONITE sasu</v>
      </c>
      <c r="AG131" s="26" t="s">
        <v>1226</v>
      </c>
      <c r="AH131" s="26" t="str">
        <f>VLOOKUP($D131,records!$A:$V,19,FALSE)</f>
        <v>cosasaccountspayable@chevron.com</v>
      </c>
      <c r="AI131" s="26" t="s">
        <v>1233</v>
      </c>
      <c r="AJ131" s="26" t="str">
        <f>VLOOKUP($O131,'records (2)'!$A:$Z,14,FALSE)</f>
        <v>003IV000010tJXdYAM</v>
      </c>
      <c r="AK131" s="26" t="str">
        <f>VLOOKUP($O131,'records (2)'!$A:$Z,15,FALSE)</f>
        <v>Service Comptabilité</v>
      </c>
      <c r="AL131" s="26" t="str">
        <f>VLOOKUP($O131,'records (2)'!$A:$Z,10,FALSE)</f>
        <v>003IV000010tJXdYAM</v>
      </c>
      <c r="AM131" s="26" t="str">
        <f>VLOOKUP($O131,'records (2)'!$A:$Z,11,FALSE)</f>
        <v>Service Comptabilité</v>
      </c>
      <c r="AN131" s="18">
        <v>1</v>
      </c>
      <c r="AO131" s="4">
        <v>3000</v>
      </c>
      <c r="AP131" s="4">
        <v>3000</v>
      </c>
      <c r="AQ131" s="20">
        <v>0</v>
      </c>
      <c r="AR131" s="6">
        <v>0</v>
      </c>
    </row>
    <row r="132" spans="1:44">
      <c r="A132" s="18" t="s">
        <v>113</v>
      </c>
      <c r="B132" s="18" t="s">
        <v>114</v>
      </c>
      <c r="C132" s="18" t="s">
        <v>114</v>
      </c>
      <c r="D132" s="18" t="s">
        <v>115</v>
      </c>
      <c r="E132" s="18" t="s">
        <v>16</v>
      </c>
      <c r="F132" s="18" t="s">
        <v>17</v>
      </c>
      <c r="G132" s="18"/>
      <c r="H132" s="19" t="s">
        <v>1216</v>
      </c>
      <c r="I132" s="23" t="s">
        <v>1217</v>
      </c>
      <c r="J132" s="24">
        <v>46023</v>
      </c>
      <c r="K132" s="24">
        <v>46387</v>
      </c>
      <c r="L132" s="24" t="s">
        <v>1218</v>
      </c>
      <c r="M132" s="24" t="s">
        <v>1219</v>
      </c>
      <c r="N132" s="24">
        <v>46023</v>
      </c>
      <c r="O132" s="24" t="str">
        <f>VLOOKUP(D132,records!$A:$U,10,FALSE)</f>
        <v>0012p00004SgjmsAAB</v>
      </c>
      <c r="P132" s="24" t="str">
        <f>VLOOKUP(D132,records!$A:$V,20,FALSE)</f>
        <v>FR80552075749</v>
      </c>
      <c r="Q132" s="24" t="str">
        <f>VLOOKUP(D132,records!$A:$V,12,FALSE)</f>
        <v>55 207 574 900 101</v>
      </c>
      <c r="R132" s="24" t="s">
        <v>1220</v>
      </c>
      <c r="S132" s="24" t="str">
        <f>VLOOKUP(D132,records!$A:$U,19,FALSE)</f>
        <v>cphilibert@caillau.com</v>
      </c>
      <c r="T132" s="26" t="s">
        <v>1221</v>
      </c>
      <c r="U132" s="26" t="s">
        <v>1222</v>
      </c>
      <c r="V132" s="26" t="str">
        <f>VLOOKUP($D132,records!$A:$V,3,FALSE)</f>
        <v>CAILLAU sas</v>
      </c>
      <c r="W132" s="26" t="str">
        <f>IFERROR(VLOOKUP($D132,records!$A:$V,6,FALSE),)</f>
        <v>Direction des Ressources Humaines</v>
      </c>
      <c r="X132" s="26" t="str">
        <f>VLOOKUP($D132,records!$A:$V,9,FALSE)</f>
        <v>1 Avenue Gustave Eiffel</v>
      </c>
      <c r="Y132" s="26" t="str">
        <f>VLOOKUP($D132,records!$A:$V,4,FALSE)</f>
        <v>ROMORANTIN-LANTHENAY</v>
      </c>
      <c r="Z132" s="26" t="str">
        <f>VLOOKUP($D132,records!$A:$V,7,FALSE)</f>
        <v>41200</v>
      </c>
      <c r="AA132" s="26" t="s">
        <v>1223</v>
      </c>
      <c r="AB132" s="26">
        <f>VLOOKUP(O132,'records (2)'!$A:$Z,8,FALSE)</f>
        <v>30</v>
      </c>
      <c r="AC132" s="26" t="b">
        <v>0</v>
      </c>
      <c r="AD132" s="26"/>
      <c r="AE132" s="26"/>
      <c r="AF132" s="26" t="str">
        <f>VLOOKUP($D132,records!$A:$V,13,FALSE)</f>
        <v>CAILLAU sas</v>
      </c>
      <c r="AG132" s="26" t="s">
        <v>1226</v>
      </c>
      <c r="AH132" s="26" t="str">
        <f>VLOOKUP($D132,records!$A:$V,19,FALSE)</f>
        <v>cphilibert@caillau.com</v>
      </c>
      <c r="AI132" s="26" t="s">
        <v>1233</v>
      </c>
      <c r="AJ132" s="26" t="str">
        <f>VLOOKUP($O132,'records (2)'!$A:$Z,14,FALSE)</f>
        <v>003IV000010tIeBYAU</v>
      </c>
      <c r="AK132" s="26" t="str">
        <f>VLOOKUP($O132,'records (2)'!$A:$Z,15,FALSE)</f>
        <v>Mathieu TARDY</v>
      </c>
      <c r="AL132" s="26" t="str">
        <f>VLOOKUP($O132,'records (2)'!$A:$Z,10,FALSE)</f>
        <v>003IV000010tIeBYAU</v>
      </c>
      <c r="AM132" s="26" t="str">
        <f>VLOOKUP($O132,'records (2)'!$A:$Z,11,FALSE)</f>
        <v>Mathieu TARDY</v>
      </c>
      <c r="AN132" s="18">
        <v>1</v>
      </c>
      <c r="AO132" s="4">
        <v>5000</v>
      </c>
      <c r="AP132" s="4">
        <v>5000</v>
      </c>
      <c r="AQ132" s="20">
        <v>0</v>
      </c>
      <c r="AR132" s="6">
        <v>0</v>
      </c>
    </row>
    <row r="133" spans="1:44">
      <c r="A133" s="18" t="s">
        <v>652</v>
      </c>
      <c r="B133" s="18" t="s">
        <v>653</v>
      </c>
      <c r="C133" s="18" t="s">
        <v>654</v>
      </c>
      <c r="D133" s="18" t="s">
        <v>655</v>
      </c>
      <c r="E133" s="18" t="s">
        <v>52</v>
      </c>
      <c r="F133" s="18" t="s">
        <v>53</v>
      </c>
      <c r="G133" s="18"/>
      <c r="H133" s="19" t="s">
        <v>1216</v>
      </c>
      <c r="I133" s="23" t="s">
        <v>1217</v>
      </c>
      <c r="J133" s="24">
        <v>46023</v>
      </c>
      <c r="K133" s="24">
        <v>46387</v>
      </c>
      <c r="L133" s="24" t="s">
        <v>1218</v>
      </c>
      <c r="M133" s="24" t="s">
        <v>1219</v>
      </c>
      <c r="N133" s="24">
        <v>46023</v>
      </c>
      <c r="O133" s="24" t="str">
        <f>VLOOKUP(D133,records!$A:$U,10,FALSE)</f>
        <v>001SZ000009KynfYAC</v>
      </c>
      <c r="P133" s="24" t="str">
        <f>VLOOKUP(D133,records!$A:$V,20,FALSE)</f>
        <v>FR77799403050</v>
      </c>
      <c r="Q133" s="24" t="str">
        <f>VLOOKUP(D133,records!$A:$V,12,FALSE)</f>
        <v>79 940 305 000 013</v>
      </c>
      <c r="R133" s="24" t="s">
        <v>1220</v>
      </c>
      <c r="S133" s="24" t="str">
        <f>VLOOKUP(D133,records!$A:$U,19,FALSE)</f>
        <v>csp-fournisseurs@groupeavril.com</v>
      </c>
      <c r="T133" s="26" t="s">
        <v>1221</v>
      </c>
      <c r="U133" s="26" t="s">
        <v>1222</v>
      </c>
      <c r="V133" s="26" t="str">
        <f>VLOOKUP($D133,records!$A:$V,3,FALSE)</f>
        <v>AVRIL sca</v>
      </c>
      <c r="W133" s="26"/>
      <c r="X133" s="26" t="str">
        <f>VLOOKUP($D133,records!$A:$V,9,FALSE)</f>
        <v>11 rue de Monceau</v>
      </c>
      <c r="Y133" s="26" t="str">
        <f>VLOOKUP($D133,records!$A:$V,4,FALSE)</f>
        <v>PARIS</v>
      </c>
      <c r="Z133" s="26" t="str">
        <f>VLOOKUP($D133,records!$A:$V,7,FALSE)</f>
        <v>75008</v>
      </c>
      <c r="AA133" s="26" t="s">
        <v>1223</v>
      </c>
      <c r="AB133" s="26">
        <f>VLOOKUP(O133,'records (2)'!$A:$Z,8,FALSE)</f>
        <v>30</v>
      </c>
      <c r="AC133" s="26" t="b">
        <f>VLOOKUP(O133,'records (4)'!$A:$C,3,FALSE)</f>
        <v>1</v>
      </c>
      <c r="AD133" s="26" t="s">
        <v>1225</v>
      </c>
      <c r="AE133" s="24">
        <v>46023</v>
      </c>
      <c r="AF133" s="26" t="str">
        <f>VLOOKUP($D133,records!$A:$V,13,FALSE)</f>
        <v>AVRIL sca</v>
      </c>
      <c r="AG133" s="26" t="s">
        <v>1226</v>
      </c>
      <c r="AH133" s="26" t="str">
        <f>VLOOKUP($D133,records!$A:$V,19,FALSE)</f>
        <v>csp-fournisseurs@groupeavril.com</v>
      </c>
      <c r="AI133" s="26" t="s">
        <v>1233</v>
      </c>
      <c r="AJ133" s="26" t="str">
        <f>VLOOKUP($O133,'records (2)'!$A:$Z,14,FALSE)</f>
        <v>003IV000010su9LYAQ</v>
      </c>
      <c r="AK133" s="26" t="str">
        <f>VLOOKUP($O133,'records (2)'!$A:$Z,15,FALSE)</f>
        <v>Tiphaine BOHUON</v>
      </c>
      <c r="AL133" s="26" t="str">
        <f>VLOOKUP($O133,'records (2)'!$A:$Z,10,FALSE)</f>
        <v>003IV000010su9LYAQ</v>
      </c>
      <c r="AM133" s="26" t="str">
        <f>VLOOKUP($O133,'records (2)'!$A:$Z,11,FALSE)</f>
        <v>Tiphaine BOHUON</v>
      </c>
      <c r="AN133" s="18">
        <v>1</v>
      </c>
      <c r="AO133" s="4">
        <v>3000</v>
      </c>
      <c r="AP133" s="4">
        <v>3000</v>
      </c>
      <c r="AQ133" s="20">
        <v>0</v>
      </c>
      <c r="AR133" s="6">
        <v>0</v>
      </c>
    </row>
    <row r="134" spans="1:44">
      <c r="A134" s="18" t="s">
        <v>244</v>
      </c>
      <c r="B134" s="18" t="s">
        <v>245</v>
      </c>
      <c r="C134" s="18" t="s">
        <v>245</v>
      </c>
      <c r="D134" s="18" t="s">
        <v>246</v>
      </c>
      <c r="E134" s="18" t="s">
        <v>16</v>
      </c>
      <c r="F134" s="18" t="s">
        <v>17</v>
      </c>
      <c r="G134" s="18"/>
      <c r="H134" s="19" t="s">
        <v>1216</v>
      </c>
      <c r="I134" s="23" t="s">
        <v>1217</v>
      </c>
      <c r="J134" s="24">
        <v>46023</v>
      </c>
      <c r="K134" s="24">
        <v>46387</v>
      </c>
      <c r="L134" s="24" t="s">
        <v>1218</v>
      </c>
      <c r="M134" s="24" t="s">
        <v>1219</v>
      </c>
      <c r="N134" s="24">
        <v>46023</v>
      </c>
      <c r="O134" s="24" t="str">
        <f>VLOOKUP(D134,records!$A:$U,10,FALSE)</f>
        <v>0012p00004MzXeGAAV</v>
      </c>
      <c r="P134" s="24" t="str">
        <f>VLOOKUP(D134,records!$A:$V,20,FALSE)</f>
        <v>FR40720803097</v>
      </c>
      <c r="Q134" s="24" t="str">
        <f>VLOOKUP(D134,records!$A:$V,12,FALSE)</f>
        <v>72 080 309 700 016</v>
      </c>
      <c r="R134" s="24" t="s">
        <v>1220</v>
      </c>
      <c r="S134" s="24" t="str">
        <f>VLOOKUP(D134,records!$A:$U,19,FALSE)</f>
        <v>cspli.lagrange@lapeyre.fr</v>
      </c>
      <c r="T134" s="26" t="s">
        <v>1221</v>
      </c>
      <c r="U134" s="26" t="s">
        <v>1222</v>
      </c>
      <c r="V134" s="26" t="str">
        <f>VLOOKUP($D134,records!$A:$V,3,FALSE)</f>
        <v>LAGRANGE PRODUCTION sasu</v>
      </c>
      <c r="W134" s="26"/>
      <c r="X134" s="26" t="str">
        <f>VLOOKUP($D134,records!$A:$V,9,FALSE)</f>
        <v>2 route de Montauban</v>
      </c>
      <c r="Y134" s="26" t="str">
        <f>VLOOKUP($D134,records!$A:$V,4,FALSE)</f>
        <v>LA MAGDELAINE SUR TARN</v>
      </c>
      <c r="Z134" s="26" t="str">
        <f>VLOOKUP($D134,records!$A:$V,7,FALSE)</f>
        <v>31340</v>
      </c>
      <c r="AA134" s="26" t="s">
        <v>1223</v>
      </c>
      <c r="AB134" s="26">
        <f>VLOOKUP(O134,'records (2)'!$A:$Z,8,FALSE)</f>
        <v>30</v>
      </c>
      <c r="AC134" s="26" t="b">
        <v>0</v>
      </c>
      <c r="AD134" s="26"/>
      <c r="AE134" s="26"/>
      <c r="AF134" s="26" t="str">
        <f>VLOOKUP($D134,records!$A:$V,13,FALSE)</f>
        <v>LAGRANGE PRODUCTION sasu</v>
      </c>
      <c r="AG134" s="26" t="s">
        <v>1226</v>
      </c>
      <c r="AH134" s="26" t="str">
        <f>VLOOKUP($D134,records!$A:$V,19,FALSE)</f>
        <v>cspli.lagrange@lapeyre.fr</v>
      </c>
      <c r="AI134" s="26" t="s">
        <v>1233</v>
      </c>
      <c r="AJ134" s="26" t="str">
        <f>VLOOKUP($O134,'records (2)'!$A:$Z,14,FALSE)</f>
        <v>003IV000010t2AqYAI</v>
      </c>
      <c r="AK134" s="26" t="str">
        <f>VLOOKUP($O134,'records (2)'!$A:$Z,15,FALSE)</f>
        <v>CSPLI LAGRANGE</v>
      </c>
      <c r="AL134" s="26" t="str">
        <f>VLOOKUP($O134,'records (2)'!$A:$Z,10,FALSE)</f>
        <v>003IV000010t2AqYAI</v>
      </c>
      <c r="AM134" s="26" t="str">
        <f>VLOOKUP($O134,'records (2)'!$A:$Z,11,FALSE)</f>
        <v>CSPLI LAGRANGE</v>
      </c>
      <c r="AN134" s="18">
        <v>1</v>
      </c>
      <c r="AO134" s="4">
        <v>1000</v>
      </c>
      <c r="AP134" s="4">
        <v>1000</v>
      </c>
      <c r="AQ134" s="20">
        <v>0</v>
      </c>
      <c r="AR134" s="6">
        <v>0</v>
      </c>
    </row>
    <row r="135" spans="1:44">
      <c r="A135" s="18" t="s">
        <v>1018</v>
      </c>
      <c r="B135" s="18" t="s">
        <v>1019</v>
      </c>
      <c r="C135" s="18" t="s">
        <v>1020</v>
      </c>
      <c r="D135" s="18" t="s">
        <v>1021</v>
      </c>
      <c r="E135" s="18" t="s">
        <v>52</v>
      </c>
      <c r="F135" s="18" t="s">
        <v>53</v>
      </c>
      <c r="G135" s="18"/>
      <c r="H135" s="19" t="s">
        <v>1216</v>
      </c>
      <c r="I135" s="23" t="s">
        <v>1217</v>
      </c>
      <c r="J135" s="24">
        <v>46023</v>
      </c>
      <c r="K135" s="24">
        <v>46387</v>
      </c>
      <c r="L135" s="24" t="s">
        <v>1218</v>
      </c>
      <c r="M135" s="24" t="s">
        <v>1219</v>
      </c>
      <c r="N135" s="24">
        <v>46023</v>
      </c>
      <c r="O135" s="24" t="str">
        <f>VLOOKUP(D135,records!$A:$U,10,FALSE)</f>
        <v>0012p00004QupPeAAJ</v>
      </c>
      <c r="P135" s="24" t="str">
        <f>VLOOKUP(D135,records!$A:$V,20,FALSE)</f>
        <v>FR19335339446</v>
      </c>
      <c r="Q135" s="24" t="str">
        <f>VLOOKUP(D135,records!$A:$V,12,FALSE)</f>
        <v>33 533 944 600 015</v>
      </c>
      <c r="R135" s="24" t="s">
        <v>1220</v>
      </c>
      <c r="S135" s="24" t="str">
        <f>VLOOKUP(D135,records!$A:$U,19,FALSE)</f>
        <v>dany.incardona@cummins.com</v>
      </c>
      <c r="T135" s="26" t="s">
        <v>1221</v>
      </c>
      <c r="U135" s="26" t="s">
        <v>1222</v>
      </c>
      <c r="V135" s="26" t="str">
        <f>VLOOKUP($D135,records!$A:$V,3,FALSE)</f>
        <v>MERITOR INDUSTRIAL PRODUCTS SAINT-ETIENNE sasu</v>
      </c>
      <c r="W135" s="26"/>
      <c r="X135" s="26" t="str">
        <f>VLOOKUP($D135,records!$A:$V,9,FALSE)</f>
        <v>4 rue Jean Servanton</v>
      </c>
      <c r="Y135" s="26" t="str">
        <f>VLOOKUP($D135,records!$A:$V,4,FALSE)</f>
        <v>SAINT-ETIENNE</v>
      </c>
      <c r="Z135" s="26" t="str">
        <f>VLOOKUP($D135,records!$A:$V,7,FALSE)</f>
        <v>42000</v>
      </c>
      <c r="AA135" s="26" t="s">
        <v>1223</v>
      </c>
      <c r="AB135" s="26">
        <f>VLOOKUP(O135,'records (2)'!$A:$Z,8,FALSE)</f>
        <v>30</v>
      </c>
      <c r="AC135" s="26" t="b">
        <v>0</v>
      </c>
      <c r="AD135" s="26"/>
      <c r="AE135" s="26"/>
      <c r="AF135" s="26" t="str">
        <f>VLOOKUP($D135,records!$A:$V,13,FALSE)</f>
        <v>MERITOR INDUSTRIAL PRODUCTS SAINT-ETIENNE sasu</v>
      </c>
      <c r="AG135" s="26" t="s">
        <v>1226</v>
      </c>
      <c r="AH135" s="26" t="str">
        <f>VLOOKUP($D135,records!$A:$V,19,FALSE)</f>
        <v>dany.incardona@cummins.com</v>
      </c>
      <c r="AI135" s="26" t="s">
        <v>1233</v>
      </c>
      <c r="AJ135" s="26" t="str">
        <f>VLOOKUP($O135,'records (2)'!$A:$Z,14,FALSE)</f>
        <v>003IV000010tQHfYAM</v>
      </c>
      <c r="AK135" s="26" t="str">
        <f>VLOOKUP($O135,'records (2)'!$A:$Z,15,FALSE)</f>
        <v>Dany INCARDONA</v>
      </c>
      <c r="AL135" s="26" t="str">
        <f>VLOOKUP($O135,'records (2)'!$A:$Z,10,FALSE)</f>
        <v>003IV000010tQHfYAM</v>
      </c>
      <c r="AM135" s="26" t="str">
        <f>VLOOKUP($O135,'records (2)'!$A:$Z,11,FALSE)</f>
        <v>Dany INCARDONA</v>
      </c>
      <c r="AN135" s="18">
        <v>1</v>
      </c>
      <c r="AO135" s="4">
        <v>1500</v>
      </c>
      <c r="AP135" s="4">
        <v>1500</v>
      </c>
      <c r="AQ135" s="20">
        <v>0</v>
      </c>
      <c r="AR135" s="6">
        <v>0</v>
      </c>
    </row>
    <row r="136" spans="1:44">
      <c r="A136" s="18" t="s">
        <v>814</v>
      </c>
      <c r="B136" s="18" t="s">
        <v>815</v>
      </c>
      <c r="C136" s="18" t="s">
        <v>816</v>
      </c>
      <c r="D136" s="18" t="s">
        <v>817</v>
      </c>
      <c r="E136" s="18" t="s">
        <v>52</v>
      </c>
      <c r="F136" s="18" t="s">
        <v>53</v>
      </c>
      <c r="G136" s="18"/>
      <c r="H136" s="19" t="s">
        <v>1216</v>
      </c>
      <c r="I136" s="23" t="s">
        <v>1217</v>
      </c>
      <c r="J136" s="24">
        <v>46023</v>
      </c>
      <c r="K136" s="24">
        <v>46387</v>
      </c>
      <c r="L136" s="24" t="s">
        <v>1218</v>
      </c>
      <c r="M136" s="24" t="s">
        <v>1219</v>
      </c>
      <c r="N136" s="24">
        <v>46023</v>
      </c>
      <c r="O136" s="24" t="str">
        <f>VLOOKUP(D136,records!$A:$U,10,FALSE)</f>
        <v>0012p00004PZeRuAAL</v>
      </c>
      <c r="P136" s="24" t="str">
        <f>VLOOKUP(D136,records!$A:$V,20,FALSE)</f>
        <v>FR76844856021</v>
      </c>
      <c r="Q136" s="24" t="str">
        <f>VLOOKUP(D136,records!$A:$V,12,FALSE)</f>
        <v>84 485 602 100 010</v>
      </c>
      <c r="R136" s="24" t="s">
        <v>1220</v>
      </c>
      <c r="S136" s="24" t="str">
        <f>VLOOKUP(D136,records!$A:$U,19,FALSE)</f>
        <v>delphine.bannier@snapon.com</v>
      </c>
      <c r="T136" s="26" t="s">
        <v>1221</v>
      </c>
      <c r="U136" s="26" t="s">
        <v>1222</v>
      </c>
      <c r="V136" s="26" t="str">
        <f>VLOOKUP($D136,records!$A:$V,3,FALSE)</f>
        <v>SECATEURS PRADINES sasu</v>
      </c>
      <c r="W136" s="26"/>
      <c r="X136" s="26" t="str">
        <f>VLOOKUP($D136,records!$A:$V,9,FALSE)</f>
        <v>1 rue Roger Deville</v>
      </c>
      <c r="Y136" s="26" t="str">
        <f>VLOOKUP($D136,records!$A:$V,4,FALSE)</f>
        <v>BAUGE EN ANJOU</v>
      </c>
      <c r="Z136" s="26" t="str">
        <f>VLOOKUP($D136,records!$A:$V,7,FALSE)</f>
        <v>49150</v>
      </c>
      <c r="AA136" s="26" t="s">
        <v>1223</v>
      </c>
      <c r="AB136" s="26">
        <f>VLOOKUP(O136,'records (2)'!$A:$Z,8,FALSE)</f>
        <v>30</v>
      </c>
      <c r="AC136" s="26" t="b">
        <v>0</v>
      </c>
      <c r="AD136" s="26"/>
      <c r="AE136" s="26"/>
      <c r="AF136" s="26" t="str">
        <f>VLOOKUP($D136,records!$A:$V,13,FALSE)</f>
        <v>SECATEURS PRADINES sasu</v>
      </c>
      <c r="AG136" s="26" t="s">
        <v>1226</v>
      </c>
      <c r="AH136" s="26" t="str">
        <f>VLOOKUP($D136,records!$A:$V,19,FALSE)</f>
        <v>delphine.bannier@snapon.com</v>
      </c>
      <c r="AI136" s="26" t="s">
        <v>1233</v>
      </c>
      <c r="AJ136" s="26" t="str">
        <f>VLOOKUP($O136,'records (2)'!$A:$Z,14,FALSE)</f>
        <v>003IV000010tQHuYAM</v>
      </c>
      <c r="AK136" s="26" t="str">
        <f>VLOOKUP($O136,'records (2)'!$A:$Z,15,FALSE)</f>
        <v>DELPHINE BANNIER</v>
      </c>
      <c r="AL136" s="26" t="str">
        <f>VLOOKUP($O136,'records (2)'!$A:$Z,10,FALSE)</f>
        <v>003IV000010tQHuYAM</v>
      </c>
      <c r="AM136" s="26" t="str">
        <f>VLOOKUP($O136,'records (2)'!$A:$Z,11,FALSE)</f>
        <v>DELPHINE BANNIER</v>
      </c>
      <c r="AN136" s="18">
        <v>1</v>
      </c>
      <c r="AO136" s="4">
        <v>500</v>
      </c>
      <c r="AP136" s="4">
        <v>500</v>
      </c>
      <c r="AQ136" s="20">
        <v>0</v>
      </c>
      <c r="AR136" s="6">
        <v>0</v>
      </c>
    </row>
    <row r="137" spans="1:44">
      <c r="A137" s="18" t="s">
        <v>811</v>
      </c>
      <c r="B137" s="18" t="s">
        <v>812</v>
      </c>
      <c r="C137" s="18" t="s">
        <v>812</v>
      </c>
      <c r="D137" s="18" t="s">
        <v>813</v>
      </c>
      <c r="E137" s="18" t="s">
        <v>52</v>
      </c>
      <c r="F137" s="18" t="s">
        <v>53</v>
      </c>
      <c r="G137" s="18"/>
      <c r="H137" s="19" t="s">
        <v>1216</v>
      </c>
      <c r="I137" s="23" t="s">
        <v>1217</v>
      </c>
      <c r="J137" s="24">
        <v>46023</v>
      </c>
      <c r="K137" s="24">
        <v>46387</v>
      </c>
      <c r="L137" s="24" t="s">
        <v>1218</v>
      </c>
      <c r="M137" s="24" t="s">
        <v>1219</v>
      </c>
      <c r="N137" s="24">
        <v>46023</v>
      </c>
      <c r="O137" s="24" t="str">
        <f>VLOOKUP(D137,records!$A:$U,10,FALSE)</f>
        <v>001SZ000001Z3IcYAK</v>
      </c>
      <c r="P137" s="24" t="str">
        <f>VLOOKUP(D137,records!$A:$V,20,FALSE)</f>
        <v>FR58577250087</v>
      </c>
      <c r="Q137" s="24" t="str">
        <f>VLOOKUP(D137,records!$A:$V,12,FALSE)</f>
        <v>57 725 008 700 035</v>
      </c>
      <c r="R137" s="24" t="s">
        <v>1220</v>
      </c>
      <c r="S137" s="24" t="str">
        <f>VLOOKUP(D137,records!$A:$U,19,FALSE)</f>
        <v>demat@posson.fr</v>
      </c>
      <c r="T137" s="26" t="s">
        <v>1221</v>
      </c>
      <c r="U137" s="26" t="s">
        <v>1222</v>
      </c>
      <c r="V137" s="26" t="str">
        <f>VLOOKUP($D137,records!$A:$V,3,FALSE)</f>
        <v>POSSON PACKAGING sasu</v>
      </c>
      <c r="W137" s="26"/>
      <c r="X137" s="26" t="str">
        <f>VLOOKUP($D137,records!$A:$V,9,FALSE)</f>
        <v>134 Rue d'Italie</v>
      </c>
      <c r="Y137" s="26" t="str">
        <f>VLOOKUP($D137,records!$A:$V,4,FALSE)</f>
        <v>LOUAILLES</v>
      </c>
      <c r="Z137" s="26" t="str">
        <f>VLOOKUP($D137,records!$A:$V,7,FALSE)</f>
        <v>72300</v>
      </c>
      <c r="AA137" s="26" t="s">
        <v>1223</v>
      </c>
      <c r="AB137" s="26">
        <f>VLOOKUP(O137,'records (2)'!$A:$Z,8,FALSE)</f>
        <v>30</v>
      </c>
      <c r="AC137" s="26" t="b">
        <v>0</v>
      </c>
      <c r="AD137" s="26"/>
      <c r="AE137" s="26"/>
      <c r="AF137" s="26" t="str">
        <f>VLOOKUP($D137,records!$A:$V,13,FALSE)</f>
        <v>POSSON PACKAGING sasu</v>
      </c>
      <c r="AG137" s="26" t="s">
        <v>1226</v>
      </c>
      <c r="AH137" s="26" t="str">
        <f>VLOOKUP($D137,records!$A:$V,19,FALSE)</f>
        <v>demat@posson.fr</v>
      </c>
      <c r="AI137" s="26" t="s">
        <v>1233</v>
      </c>
      <c r="AJ137" s="26" t="str">
        <f>VLOOKUP($O137,'records (2)'!$A:$Z,14,FALSE)</f>
        <v>003IV000010tIdQYAU</v>
      </c>
      <c r="AK137" s="26" t="str">
        <f>VLOOKUP($O137,'records (2)'!$A:$Z,15,FALSE)</f>
        <v>Marine PREZELIN</v>
      </c>
      <c r="AL137" s="26" t="str">
        <f>VLOOKUP($O137,'records (2)'!$A:$Z,10,FALSE)</f>
        <v>003IV000010tIdQYAU</v>
      </c>
      <c r="AM137" s="26" t="str">
        <f>VLOOKUP($O137,'records (2)'!$A:$Z,11,FALSE)</f>
        <v>Marine PREZELIN</v>
      </c>
      <c r="AN137" s="18">
        <v>1</v>
      </c>
      <c r="AO137" s="4">
        <v>500</v>
      </c>
      <c r="AP137" s="4">
        <v>500</v>
      </c>
      <c r="AQ137" s="20">
        <v>0</v>
      </c>
      <c r="AR137" s="6">
        <v>0</v>
      </c>
    </row>
    <row r="138" spans="1:44">
      <c r="A138" s="18" t="s">
        <v>515</v>
      </c>
      <c r="B138" s="18" t="s">
        <v>516</v>
      </c>
      <c r="C138" s="18" t="s">
        <v>517</v>
      </c>
      <c r="D138" s="18" t="s">
        <v>518</v>
      </c>
      <c r="E138" s="18" t="s">
        <v>52</v>
      </c>
      <c r="F138" s="18" t="s">
        <v>53</v>
      </c>
      <c r="G138" s="18"/>
      <c r="H138" s="19" t="s">
        <v>1216</v>
      </c>
      <c r="I138" s="23" t="s">
        <v>1217</v>
      </c>
      <c r="J138" s="24">
        <v>46023</v>
      </c>
      <c r="K138" s="24">
        <v>46387</v>
      </c>
      <c r="L138" s="24" t="s">
        <v>1218</v>
      </c>
      <c r="M138" s="24" t="s">
        <v>1219</v>
      </c>
      <c r="N138" s="24">
        <v>46023</v>
      </c>
      <c r="O138" s="24" t="str">
        <f>VLOOKUP(D138,records!$A:$U,10,FALSE)</f>
        <v>001SZ000001uLsPYAU</v>
      </c>
      <c r="P138" s="24" t="str">
        <f>VLOOKUP(D138,records!$A:$V,20,FALSE)</f>
        <v>FR56950417493</v>
      </c>
      <c r="Q138" s="24" t="str">
        <f>VLOOKUP(D138,records!$A:$V,12,FALSE)</f>
        <v>95 041 749 300 273</v>
      </c>
      <c r="R138" s="24" t="s">
        <v>1220</v>
      </c>
      <c r="S138" s="24" t="str">
        <f>VLOOKUP(D138,records!$A:$U,19,FALSE)</f>
        <v>denise.m.feder@corteva.com</v>
      </c>
      <c r="T138" s="26" t="s">
        <v>1221</v>
      </c>
      <c r="U138" s="26" t="s">
        <v>1222</v>
      </c>
      <c r="V138" s="26" t="str">
        <f>VLOOKUP($D138,records!$A:$V,3,FALSE)</f>
        <v>CORTEVA AGRISCIENCE FRANCE SAS</v>
      </c>
      <c r="W138" s="26"/>
      <c r="X138" s="26" t="str">
        <f>VLOOKUP($D138,records!$A:$V,9,FALSE)</f>
        <v>1 bis Avenue du 8 Mai 1945</v>
      </c>
      <c r="Y138" s="26" t="str">
        <f>VLOOKUP($D138,records!$A:$V,4,FALSE)</f>
        <v>GUYANCOURT</v>
      </c>
      <c r="Z138" s="26" t="str">
        <f>VLOOKUP($D138,records!$A:$V,7,FALSE)</f>
        <v>78280</v>
      </c>
      <c r="AA138" s="26" t="s">
        <v>1223</v>
      </c>
      <c r="AB138" s="26">
        <f>VLOOKUP(O138,'records (2)'!$A:$Z,8,FALSE)</f>
        <v>30</v>
      </c>
      <c r="AC138" s="26" t="b">
        <v>0</v>
      </c>
      <c r="AD138" s="26"/>
      <c r="AE138" s="26"/>
      <c r="AF138" s="26" t="str">
        <f>VLOOKUP($D138,records!$A:$V,13,FALSE)</f>
        <v>CORTEVA AGRISCIENCE FRANCE SAS</v>
      </c>
      <c r="AG138" s="26" t="s">
        <v>1226</v>
      </c>
      <c r="AH138" s="26" t="str">
        <f>VLOOKUP($D138,records!$A:$V,19,FALSE)</f>
        <v>denise.m.feder@corteva.com</v>
      </c>
      <c r="AI138" s="26" t="s">
        <v>1233</v>
      </c>
      <c r="AJ138" s="26" t="str">
        <f>VLOOKUP($O138,'records (2)'!$A:$Z,14,FALSE)</f>
        <v>003IV000010tTsjYAE</v>
      </c>
      <c r="AK138" s="26" t="str">
        <f>VLOOKUP($O138,'records (2)'!$A:$Z,15,FALSE)</f>
        <v>Denise FEDER</v>
      </c>
      <c r="AL138" s="26" t="str">
        <f>VLOOKUP($O138,'records (2)'!$A:$Z,10,FALSE)</f>
        <v>003IV000010tTsjYAE</v>
      </c>
      <c r="AM138" s="26" t="str">
        <f>VLOOKUP($O138,'records (2)'!$A:$Z,11,FALSE)</f>
        <v>Denise FEDER</v>
      </c>
      <c r="AN138" s="18">
        <v>1</v>
      </c>
      <c r="AO138" s="4">
        <v>2000</v>
      </c>
      <c r="AP138" s="4">
        <v>2000</v>
      </c>
      <c r="AQ138" s="20">
        <v>0</v>
      </c>
      <c r="AR138" s="6">
        <v>0</v>
      </c>
    </row>
    <row r="139" spans="1:44">
      <c r="A139" s="18" t="s">
        <v>140</v>
      </c>
      <c r="B139" s="18" t="s">
        <v>141</v>
      </c>
      <c r="C139" s="18" t="s">
        <v>142</v>
      </c>
      <c r="D139" s="18" t="s">
        <v>143</v>
      </c>
      <c r="E139" s="18" t="s">
        <v>23</v>
      </c>
      <c r="F139" s="18" t="s">
        <v>24</v>
      </c>
      <c r="G139" s="18"/>
      <c r="H139" s="19" t="s">
        <v>1216</v>
      </c>
      <c r="I139" s="23" t="s">
        <v>1217</v>
      </c>
      <c r="J139" s="24">
        <v>46023</v>
      </c>
      <c r="K139" s="24">
        <v>46387</v>
      </c>
      <c r="L139" s="24" t="s">
        <v>1218</v>
      </c>
      <c r="M139" s="24" t="s">
        <v>1219</v>
      </c>
      <c r="N139" s="24">
        <v>46023</v>
      </c>
      <c r="O139" s="24" t="str">
        <f>VLOOKUP(D139,records!$A:$U,10,FALSE)</f>
        <v>001SZ000003ZYbbYAG</v>
      </c>
      <c r="P139" s="24" t="str">
        <f>VLOOKUP(D139,records!$A:$V,20,FALSE)</f>
        <v>FR26498419308</v>
      </c>
      <c r="Q139" s="24" t="str">
        <f>VLOOKUP(D139,records!$A:$V,12,FALSE)</f>
        <v>49 841 930 800 024</v>
      </c>
      <c r="R139" s="24" t="s">
        <v>1220</v>
      </c>
      <c r="S139" s="24" t="str">
        <f>VLOOKUP(D139,records!$A:$U,19,FALSE)</f>
        <v>dianasas.accounting@symrise.com</v>
      </c>
      <c r="T139" s="26" t="s">
        <v>1221</v>
      </c>
      <c r="U139" s="26" t="s">
        <v>1222</v>
      </c>
      <c r="V139" s="26" t="str">
        <f>VLOOKUP($D139,records!$A:$V,3,FALSE)</f>
        <v>DIANA sasu</v>
      </c>
      <c r="W139" s="26"/>
      <c r="X139" s="26" t="str">
        <f>VLOOKUP($D139,records!$A:$V,9,FALSE)</f>
        <v>10 Rue de la Ferme de Talhouet</v>
      </c>
      <c r="Y139" s="26" t="str">
        <f>VLOOKUP($D139,records!$A:$V,4,FALSE)</f>
        <v>SAINT NOLFF</v>
      </c>
      <c r="Z139" s="26" t="str">
        <f>VLOOKUP($D139,records!$A:$V,7,FALSE)</f>
        <v>56250</v>
      </c>
      <c r="AA139" s="26" t="s">
        <v>1223</v>
      </c>
      <c r="AB139" s="26">
        <f>VLOOKUP(O139,'records (2)'!$A:$Z,8,FALSE)</f>
        <v>30</v>
      </c>
      <c r="AC139" s="26" t="b">
        <v>0</v>
      </c>
      <c r="AD139" s="26"/>
      <c r="AE139" s="26"/>
      <c r="AF139" s="26" t="str">
        <f>VLOOKUP($D139,records!$A:$V,13,FALSE)</f>
        <v>DIANA sasu</v>
      </c>
      <c r="AG139" s="26" t="s">
        <v>1226</v>
      </c>
      <c r="AH139" s="26" t="str">
        <f>VLOOKUP($D139,records!$A:$V,19,FALSE)</f>
        <v>dianasas.accounting@symrise.com</v>
      </c>
      <c r="AI139" s="26" t="s">
        <v>1233</v>
      </c>
      <c r="AJ139" s="26" t="str">
        <f>VLOOKUP($O139,'records (2)'!$A:$Z,14,FALSE)</f>
        <v>003IV000010su8TYAQ</v>
      </c>
      <c r="AK139" s="26" t="str">
        <f>VLOOKUP($O139,'records (2)'!$A:$Z,15,FALSE)</f>
        <v>Agathe CORBIN</v>
      </c>
      <c r="AL139" s="26" t="str">
        <f>VLOOKUP($O139,'records (2)'!$A:$Z,10,FALSE)</f>
        <v>003IV000010su8TYAQ</v>
      </c>
      <c r="AM139" s="26" t="str">
        <f>VLOOKUP($O139,'records (2)'!$A:$Z,11,FALSE)</f>
        <v>Agathe CORBIN</v>
      </c>
      <c r="AN139" s="18">
        <v>1</v>
      </c>
      <c r="AO139" s="4">
        <v>3840</v>
      </c>
      <c r="AP139" s="4">
        <v>3840</v>
      </c>
      <c r="AQ139" s="20">
        <v>0</v>
      </c>
      <c r="AR139" s="6">
        <v>0</v>
      </c>
    </row>
    <row r="140" spans="1:44">
      <c r="A140" s="18" t="s">
        <v>932</v>
      </c>
      <c r="B140" s="18" t="s">
        <v>933</v>
      </c>
      <c r="C140" s="18" t="s">
        <v>934</v>
      </c>
      <c r="D140" s="18" t="s">
        <v>935</v>
      </c>
      <c r="E140" s="18" t="s">
        <v>52</v>
      </c>
      <c r="F140" s="18" t="s">
        <v>53</v>
      </c>
      <c r="G140" s="18"/>
      <c r="H140" s="19" t="s">
        <v>1216</v>
      </c>
      <c r="I140" s="23" t="s">
        <v>1217</v>
      </c>
      <c r="J140" s="24">
        <v>46023</v>
      </c>
      <c r="K140" s="24">
        <v>46387</v>
      </c>
      <c r="L140" s="24" t="s">
        <v>1218</v>
      </c>
      <c r="M140" s="24" t="s">
        <v>1219</v>
      </c>
      <c r="N140" s="24">
        <v>46023</v>
      </c>
      <c r="O140" s="24" t="str">
        <f>VLOOKUP(D140,records!$A:$U,10,FALSE)</f>
        <v>001SZ000006AiVvYAK</v>
      </c>
      <c r="P140" s="24" t="str">
        <f>VLOOKUP(D140,records!$A:$V,20,FALSE)</f>
        <v>FR89502454044</v>
      </c>
      <c r="Q140" s="24" t="str">
        <f>VLOOKUP(D140,records!$A:$V,12,FALSE)</f>
        <v>50 245 404 400 012</v>
      </c>
      <c r="R140" s="24" t="s">
        <v>1220</v>
      </c>
      <c r="S140" s="24" t="str">
        <f>VLOOKUP(D140,records!$A:$U,19,FALSE)</f>
        <v>e.supplierinvoice@torayfilms.eu</v>
      </c>
      <c r="T140" s="26" t="s">
        <v>1221</v>
      </c>
      <c r="U140" s="26" t="s">
        <v>1222</v>
      </c>
      <c r="V140" s="26" t="str">
        <f>VLOOKUP($D140,records!$A:$V,3,FALSE)</f>
        <v>TORAY FILMS EUROPE sasu</v>
      </c>
      <c r="W140" s="26"/>
      <c r="X140" s="26" t="str">
        <f>VLOOKUP($D140,records!$A:$V,9,FALSE)</f>
        <v>Place d’Arménie</v>
      </c>
      <c r="Y140" s="26" t="str">
        <f>VLOOKUP($D140,records!$A:$V,4,FALSE)</f>
        <v>SAINT-MAURICE-DE-BEYNOST</v>
      </c>
      <c r="Z140" s="26" t="str">
        <f>VLOOKUP($D140,records!$A:$V,7,FALSE)</f>
        <v>1700</v>
      </c>
      <c r="AA140" s="26" t="s">
        <v>1223</v>
      </c>
      <c r="AB140" s="26">
        <f>VLOOKUP(O140,'records (2)'!$A:$Z,8,FALSE)</f>
        <v>30</v>
      </c>
      <c r="AC140" s="26" t="b">
        <f>VLOOKUP(O140,'records (4)'!$A:$C,3,FALSE)</f>
        <v>1</v>
      </c>
      <c r="AD140" s="26" t="s">
        <v>1225</v>
      </c>
      <c r="AE140" s="24">
        <v>46023</v>
      </c>
      <c r="AF140" s="26" t="str">
        <f>VLOOKUP($D140,records!$A:$V,13,FALSE)</f>
        <v>TORAY FILMS EUROPE sasu</v>
      </c>
      <c r="AG140" s="26" t="s">
        <v>1226</v>
      </c>
      <c r="AH140" s="26" t="str">
        <f>VLOOKUP($D140,records!$A:$V,19,FALSE)</f>
        <v>e.supplierinvoice@torayfilms.eu</v>
      </c>
      <c r="AI140" s="26" t="s">
        <v>1233</v>
      </c>
      <c r="AJ140" s="26" t="str">
        <f>VLOOKUP($O140,'records (2)'!$A:$Z,14,FALSE)</f>
        <v>003IV000010tSnAYAU</v>
      </c>
      <c r="AK140" s="26" t="str">
        <f>VLOOKUP($O140,'records (2)'!$A:$Z,15,FALSE)</f>
        <v>Laurence DROMBY</v>
      </c>
      <c r="AL140" s="26" t="str">
        <f>VLOOKUP($O140,'records (2)'!$A:$Z,10,FALSE)</f>
        <v>003IV000010tSnAYAU</v>
      </c>
      <c r="AM140" s="26" t="str">
        <f>VLOOKUP($O140,'records (2)'!$A:$Z,11,FALSE)</f>
        <v>Laurence DROMBY</v>
      </c>
      <c r="AN140" s="18">
        <v>1</v>
      </c>
      <c r="AO140" s="4">
        <v>1000</v>
      </c>
      <c r="AP140" s="4">
        <v>1000</v>
      </c>
      <c r="AQ140" s="20">
        <v>0</v>
      </c>
      <c r="AR140" s="6">
        <v>0</v>
      </c>
    </row>
    <row r="141" spans="1:44">
      <c r="A141" s="18" t="s">
        <v>550</v>
      </c>
      <c r="B141" s="18" t="s">
        <v>551</v>
      </c>
      <c r="C141" s="18" t="s">
        <v>551</v>
      </c>
      <c r="D141" s="18" t="s">
        <v>552</v>
      </c>
      <c r="E141" s="18" t="s">
        <v>52</v>
      </c>
      <c r="F141" s="18" t="s">
        <v>53</v>
      </c>
      <c r="G141" s="18"/>
      <c r="H141" s="19" t="s">
        <v>1216</v>
      </c>
      <c r="I141" s="23" t="s">
        <v>1217</v>
      </c>
      <c r="J141" s="24">
        <v>46023</v>
      </c>
      <c r="K141" s="24">
        <v>46387</v>
      </c>
      <c r="L141" s="24" t="s">
        <v>1218</v>
      </c>
      <c r="M141" s="24" t="s">
        <v>1219</v>
      </c>
      <c r="N141" s="24">
        <v>46023</v>
      </c>
      <c r="O141" s="24" t="str">
        <f>VLOOKUP(D141,records!$A:$U,10,FALSE)</f>
        <v>001SZ000003m67wYAA</v>
      </c>
      <c r="P141" s="24" t="str">
        <f>VLOOKUP(D141,records!$A:$V,20,FALSE)</f>
        <v>FR68394882104</v>
      </c>
      <c r="Q141" s="24" t="str">
        <f>VLOOKUP(D141,records!$A:$V,12,FALSE)</f>
        <v>39 488 210 400 026</v>
      </c>
      <c r="R141" s="24" t="s">
        <v>1220</v>
      </c>
      <c r="S141" s="24" t="str">
        <f>VLOOKUP(D141,records!$A:$U,19,FALSE)</f>
        <v>ec.invoice@maxim-gruppe.de</v>
      </c>
      <c r="T141" s="26" t="s">
        <v>1221</v>
      </c>
      <c r="U141" s="26" t="s">
        <v>1222</v>
      </c>
      <c r="V141" s="26" t="str">
        <f>VLOOKUP($D141,records!$A:$V,3,FALSE)</f>
        <v>ELYSEE COSMETIQUES sasu</v>
      </c>
      <c r="W141" s="26"/>
      <c r="X141" s="26" t="str">
        <f>VLOOKUP($D141,records!$A:$V,9,FALSE)</f>
        <v>Zac Technopole Sud</v>
      </c>
      <c r="Y141" s="26" t="str">
        <f>VLOOKUP($D141,records!$A:$V,4,FALSE)</f>
        <v>FORBACH</v>
      </c>
      <c r="Z141" s="26" t="str">
        <f>VLOOKUP($D141,records!$A:$V,7,FALSE)</f>
        <v>57600</v>
      </c>
      <c r="AA141" s="26" t="s">
        <v>1223</v>
      </c>
      <c r="AB141" s="26">
        <f>VLOOKUP(O141,'records (2)'!$A:$Z,8,FALSE)</f>
        <v>30</v>
      </c>
      <c r="AC141" s="26" t="b">
        <v>0</v>
      </c>
      <c r="AD141" s="26"/>
      <c r="AE141" s="26"/>
      <c r="AF141" s="26" t="str">
        <f>VLOOKUP($D141,records!$A:$V,13,FALSE)</f>
        <v>ELYSEE COSMETIQUES sasu</v>
      </c>
      <c r="AG141" s="26" t="s">
        <v>1226</v>
      </c>
      <c r="AH141" s="26" t="str">
        <f>VLOOKUP($D141,records!$A:$V,19,FALSE)</f>
        <v>ec.invoice@maxim-gruppe.de</v>
      </c>
      <c r="AI141" s="26" t="s">
        <v>1233</v>
      </c>
      <c r="AJ141" s="26" t="str">
        <f>VLOOKUP($O141,'records (2)'!$A:$Z,14,FALSE)</f>
        <v>003IV000010t698YAA</v>
      </c>
      <c r="AK141" s="26" t="str">
        <f>VLOOKUP($O141,'records (2)'!$A:$Z,15,FALSE)</f>
        <v>Virginie REBMANN (cc.invoice)</v>
      </c>
      <c r="AL141" s="26" t="str">
        <f>VLOOKUP($O141,'records (2)'!$A:$Z,10,FALSE)</f>
        <v>003IV000010t698YAA</v>
      </c>
      <c r="AM141" s="26" t="str">
        <f>VLOOKUP($O141,'records (2)'!$A:$Z,11,FALSE)</f>
        <v>Virginie REBMANN (cc.invoice)</v>
      </c>
      <c r="AN141" s="18">
        <v>1</v>
      </c>
      <c r="AO141" s="4">
        <v>1500</v>
      </c>
      <c r="AP141" s="4">
        <v>1500</v>
      </c>
      <c r="AQ141" s="20">
        <v>0</v>
      </c>
      <c r="AR141" s="6">
        <v>0</v>
      </c>
    </row>
    <row r="142" spans="1:44">
      <c r="A142" s="18" t="s">
        <v>61</v>
      </c>
      <c r="B142" s="18" t="s">
        <v>62</v>
      </c>
      <c r="C142" s="18" t="s">
        <v>62</v>
      </c>
      <c r="D142" s="18" t="s">
        <v>63</v>
      </c>
      <c r="E142" s="18" t="s">
        <v>16</v>
      </c>
      <c r="F142" s="18" t="s">
        <v>17</v>
      </c>
      <c r="G142" s="18"/>
      <c r="H142" s="19" t="s">
        <v>1216</v>
      </c>
      <c r="I142" s="23" t="s">
        <v>1217</v>
      </c>
      <c r="J142" s="24">
        <v>46023</v>
      </c>
      <c r="K142" s="24">
        <v>46387</v>
      </c>
      <c r="L142" s="24" t="s">
        <v>1218</v>
      </c>
      <c r="M142" s="24" t="s">
        <v>1219</v>
      </c>
      <c r="N142" s="24">
        <v>46023</v>
      </c>
      <c r="O142" s="24" t="str">
        <f>VLOOKUP(D142,records!$A:$U,10,FALSE)</f>
        <v>0012p00004Tmp63AAB</v>
      </c>
      <c r="P142" s="24" t="str">
        <f>VLOOKUP(D142,records!$A:$V,20,FALSE)</f>
        <v>FR36595820374</v>
      </c>
      <c r="Q142" s="24" t="str">
        <f>VLOOKUP(D142,records!$A:$V,12,FALSE)</f>
        <v>59 582 037 400 014</v>
      </c>
      <c r="R142" s="24" t="s">
        <v>1220</v>
      </c>
      <c r="S142" s="24" t="str">
        <f>VLOOKUP(D142,records!$A:$U,19,FALSE)</f>
        <v>efact.fournisseur@acial.com</v>
      </c>
      <c r="T142" s="26" t="s">
        <v>1221</v>
      </c>
      <c r="U142" s="26" t="s">
        <v>1222</v>
      </c>
      <c r="V142" s="26" t="str">
        <f>VLOOKUP($D142,records!$A:$V,3,FALSE)</f>
        <v>ACIAL sas</v>
      </c>
      <c r="W142" s="26"/>
      <c r="X142" s="26" t="str">
        <f>VLOOKUP($D142,records!$A:$V,9,FALSE)</f>
        <v>14 avenue du Blanc</v>
      </c>
      <c r="Y142" s="26" t="str">
        <f>VLOOKUP($D142,records!$A:$V,4,FALSE)</f>
        <v>SAINT AIGNAN</v>
      </c>
      <c r="Z142" s="26" t="str">
        <f>VLOOKUP($D142,records!$A:$V,7,FALSE)</f>
        <v>41110</v>
      </c>
      <c r="AA142" s="26" t="s">
        <v>1223</v>
      </c>
      <c r="AB142" s="26">
        <f>VLOOKUP(O142,'records (2)'!$A:$Z,8,FALSE)</f>
        <v>30</v>
      </c>
      <c r="AC142" s="26" t="b">
        <v>0</v>
      </c>
      <c r="AD142" s="26"/>
      <c r="AE142" s="26"/>
      <c r="AF142" s="26" t="str">
        <f>VLOOKUP($D142,records!$A:$V,13,FALSE)</f>
        <v>ACIAL sas</v>
      </c>
      <c r="AG142" s="26" t="s">
        <v>1226</v>
      </c>
      <c r="AH142" s="26" t="str">
        <f>VLOOKUP($D142,records!$A:$V,19,FALSE)</f>
        <v>efact.fournisseur@acial.com</v>
      </c>
      <c r="AI142" s="26" t="s">
        <v>1233</v>
      </c>
      <c r="AJ142" s="26" t="str">
        <f>VLOOKUP($O142,'records (2)'!$A:$Z,14,FALSE)</f>
        <v>003IV000010t3szYAA</v>
      </c>
      <c r="AK142" s="26" t="str">
        <f>VLOOKUP($O142,'records (2)'!$A:$Z,15,FALSE)</f>
        <v>Delphine BUSSEREAU-VALTEL</v>
      </c>
      <c r="AL142" s="26" t="str">
        <f>VLOOKUP($O142,'records (2)'!$A:$Z,10,FALSE)</f>
        <v>003IV000010tRdWYAU</v>
      </c>
      <c r="AM142" s="26" t="str">
        <f>VLOOKUP($O142,'records (2)'!$A:$Z,11,FALSE)</f>
        <v>Caroline LIMOUSIN</v>
      </c>
      <c r="AN142" s="18">
        <v>1</v>
      </c>
      <c r="AO142" s="4">
        <v>1000</v>
      </c>
      <c r="AP142" s="4">
        <v>1000</v>
      </c>
      <c r="AQ142" s="20">
        <v>0</v>
      </c>
      <c r="AR142" s="6">
        <v>0</v>
      </c>
    </row>
    <row r="143" spans="1:44">
      <c r="A143" s="18" t="s">
        <v>1089</v>
      </c>
      <c r="B143" s="18" t="s">
        <v>1090</v>
      </c>
      <c r="C143" s="18" t="s">
        <v>1091</v>
      </c>
      <c r="D143" s="18" t="s">
        <v>1092</v>
      </c>
      <c r="E143" s="18" t="s">
        <v>16</v>
      </c>
      <c r="F143" s="18" t="s">
        <v>17</v>
      </c>
      <c r="G143" s="18"/>
      <c r="H143" s="19" t="s">
        <v>1216</v>
      </c>
      <c r="I143" s="23" t="s">
        <v>1217</v>
      </c>
      <c r="J143" s="24">
        <v>46023</v>
      </c>
      <c r="K143" s="24">
        <v>46387</v>
      </c>
      <c r="L143" s="24" t="s">
        <v>1218</v>
      </c>
      <c r="M143" s="24" t="s">
        <v>1219</v>
      </c>
      <c r="N143" s="24">
        <v>46023</v>
      </c>
      <c r="O143" s="24" t="str">
        <f>VLOOKUP(D143,records!$A:$U,10,FALSE)</f>
        <v>0012p00004NKtd3AAD</v>
      </c>
      <c r="P143" s="24" t="str">
        <f>VLOOKUP(D143,records!$A:$V,20,FALSE)</f>
        <v>FR54425122884</v>
      </c>
      <c r="Q143" s="24" t="str">
        <f>VLOOKUP(D143,records!$A:$V,12,FALSE)</f>
        <v>42 512 288 400 025</v>
      </c>
      <c r="R143" s="24" t="s">
        <v>1220</v>
      </c>
      <c r="S143" s="24" t="str">
        <f>VLOOKUP(D143,records!$A:$U,19,FALSE)</f>
        <v>eggstaett-ssc_ap_fr_invoices@fossil.com</v>
      </c>
      <c r="T143" s="26" t="s">
        <v>1221</v>
      </c>
      <c r="U143" s="26" t="s">
        <v>1222</v>
      </c>
      <c r="V143" s="26" t="str">
        <f>VLOOKUP($D143,records!$A:$V,3,FALSE)</f>
        <v>FOSSIL FRANCE sas</v>
      </c>
      <c r="W143" s="26"/>
      <c r="X143" s="26" t="str">
        <f>VLOOKUP($D143,records!$A:$V,9,FALSE)</f>
        <v>Rue du Martelberg</v>
      </c>
      <c r="Y143" s="26" t="str">
        <f>VLOOKUP($D143,records!$A:$V,4,FALSE)</f>
        <v>MONSWILLER</v>
      </c>
      <c r="Z143" s="26" t="str">
        <f>VLOOKUP($D143,records!$A:$V,7,FALSE)</f>
        <v>67700</v>
      </c>
      <c r="AA143" s="26" t="s">
        <v>1223</v>
      </c>
      <c r="AB143" s="26">
        <f>VLOOKUP(O143,'records (2)'!$A:$Z,8,FALSE)</f>
        <v>30</v>
      </c>
      <c r="AC143" s="26" t="b">
        <v>0</v>
      </c>
      <c r="AD143" s="26"/>
      <c r="AE143" s="26"/>
      <c r="AF143" s="26" t="str">
        <f>VLOOKUP($D143,records!$A:$V,13,FALSE)</f>
        <v>FOSSIL FRANCE sas</v>
      </c>
      <c r="AG143" s="26" t="s">
        <v>1226</v>
      </c>
      <c r="AH143" s="26" t="str">
        <f>VLOOKUP($D143,records!$A:$V,19,FALSE)</f>
        <v>eggstaett-ssc_ap_fr_invoices@fossil.com</v>
      </c>
      <c r="AI143" s="26" t="s">
        <v>1233</v>
      </c>
      <c r="AJ143" s="26" t="str">
        <f>VLOOKUP($O143,'records (2)'!$A:$Z,14,FALSE)</f>
        <v>003IV000010rvHOYAY</v>
      </c>
      <c r="AK143" s="26" t="str">
        <f>VLOOKUP($O143,'records (2)'!$A:$Z,15,FALSE)</f>
        <v>Fanny ANTOLINI (Fact)</v>
      </c>
      <c r="AL143" s="26" t="str">
        <f>VLOOKUP($O143,'records (2)'!$A:$Z,10,FALSE)</f>
        <v>003IV000010tQHsYAM</v>
      </c>
      <c r="AM143" s="26" t="str">
        <f>VLOOKUP($O143,'records (2)'!$A:$Z,11,FALSE)</f>
        <v>Brigitte BIECHLER</v>
      </c>
      <c r="AN143" s="18">
        <v>1</v>
      </c>
      <c r="AO143" s="4">
        <v>1000</v>
      </c>
      <c r="AP143" s="4">
        <v>1000</v>
      </c>
      <c r="AQ143" s="20"/>
      <c r="AR143" s="6"/>
    </row>
    <row r="144" spans="1:44">
      <c r="A144" s="18" t="s">
        <v>19</v>
      </c>
      <c r="B144" s="18" t="s">
        <v>20</v>
      </c>
      <c r="C144" s="18" t="s">
        <v>21</v>
      </c>
      <c r="D144" s="18" t="s">
        <v>22</v>
      </c>
      <c r="E144" s="18" t="s">
        <v>23</v>
      </c>
      <c r="F144" s="18" t="s">
        <v>24</v>
      </c>
      <c r="G144" s="18"/>
      <c r="H144" s="19" t="s">
        <v>1216</v>
      </c>
      <c r="I144" s="23" t="s">
        <v>1217</v>
      </c>
      <c r="J144" s="24">
        <v>46023</v>
      </c>
      <c r="K144" s="24">
        <v>46387</v>
      </c>
      <c r="L144" s="24" t="s">
        <v>1218</v>
      </c>
      <c r="M144" s="24" t="s">
        <v>1219</v>
      </c>
      <c r="N144" s="24">
        <v>46023</v>
      </c>
      <c r="O144" s="24" t="str">
        <f>VLOOKUP(D144,records!$A:$U,10,FALSE)</f>
        <v>0012p00004Q7pIGAAZ</v>
      </c>
      <c r="P144" s="24" t="str">
        <f>VLOOKUP(D144,records!$A:$V,20,FALSE)</f>
        <v>FR80312730674</v>
      </c>
      <c r="Q144" s="24" t="str">
        <f>VLOOKUP(D144,records!$A:$V,12,FALSE)</f>
        <v>31 273 067 400 016</v>
      </c>
      <c r="R144" s="24" t="s">
        <v>1220</v>
      </c>
      <c r="S144" s="24" t="str">
        <f>VLOOKUP(D144,records!$A:$U,19,FALSE)</f>
        <v>EICOMPTABILITE@e-i.com</v>
      </c>
      <c r="T144" s="26" t="s">
        <v>1221</v>
      </c>
      <c r="U144" s="26" t="s">
        <v>1222</v>
      </c>
      <c r="V144" s="26" t="str">
        <f>VLOOKUP($D144,records!$A:$V,3,FALSE)</f>
        <v>EURO-INFORMATION - Européenne de Traitement de l'Information sas</v>
      </c>
      <c r="W144" s="26" t="str">
        <f>IFERROR(VLOOKUP($D144,records!$A:$V,6,FALSE),)</f>
        <v>Service Comptabilité</v>
      </c>
      <c r="X144" s="26" t="str">
        <f>VLOOKUP($D144,records!$A:$V,9,FALSE)</f>
        <v>4 Rue Frédéric-Guillaume Raiffeisen</v>
      </c>
      <c r="Y144" s="26" t="str">
        <f>VLOOKUP($D144,records!$A:$V,4,FALSE)</f>
        <v>STRASBOURG</v>
      </c>
      <c r="Z144" s="26" t="str">
        <f>VLOOKUP($D144,records!$A:$V,7,FALSE)</f>
        <v>67000</v>
      </c>
      <c r="AA144" s="26" t="s">
        <v>1223</v>
      </c>
      <c r="AB144" s="26">
        <f>VLOOKUP(O144,'records (2)'!$A:$Z,8,FALSE)</f>
        <v>30</v>
      </c>
      <c r="AC144" s="26" t="b">
        <v>0</v>
      </c>
      <c r="AD144" s="26"/>
      <c r="AE144" s="26"/>
      <c r="AF144" s="26" t="str">
        <f>VLOOKUP($D144,records!$A:$V,13,FALSE)</f>
        <v>EURO-INFORMATION - Européenne de Traitement de l'Information sas</v>
      </c>
      <c r="AG144" s="26" t="s">
        <v>1226</v>
      </c>
      <c r="AH144" s="26" t="str">
        <f>VLOOKUP($D144,records!$A:$V,19,FALSE)</f>
        <v>EICOMPTABILITE@e-i.com</v>
      </c>
      <c r="AI144" s="26" t="s">
        <v>1233</v>
      </c>
      <c r="AJ144" s="26" t="str">
        <f>VLOOKUP($O144,'records (2)'!$A:$Z,14,FALSE)</f>
        <v>003IV000010su8rYAA</v>
      </c>
      <c r="AK144" s="26" t="str">
        <f>VLOOKUP($O144,'records (2)'!$A:$Z,15,FALSE)</f>
        <v>Magali HALTER - (eicomptabilite)</v>
      </c>
      <c r="AL144" s="26" t="str">
        <f>VLOOKUP($O144,'records (2)'!$A:$Z,10,FALSE)</f>
        <v>003IV000010su8rYAA</v>
      </c>
      <c r="AM144" s="26" t="str">
        <f>VLOOKUP($O144,'records (2)'!$A:$Z,11,FALSE)</f>
        <v>Magali HALTER - (eicomptabilite)</v>
      </c>
      <c r="AN144" s="18">
        <v>1</v>
      </c>
      <c r="AO144" s="4">
        <v>1080</v>
      </c>
      <c r="AP144" s="4">
        <v>1080</v>
      </c>
      <c r="AQ144" s="20">
        <v>0</v>
      </c>
      <c r="AR144" s="6">
        <v>0</v>
      </c>
    </row>
    <row r="145" spans="1:44">
      <c r="A145" s="18" t="s">
        <v>173</v>
      </c>
      <c r="B145" s="18" t="s">
        <v>174</v>
      </c>
      <c r="C145" s="18" t="s">
        <v>175</v>
      </c>
      <c r="D145" s="18" t="s">
        <v>176</v>
      </c>
      <c r="E145" s="18" t="s">
        <v>16</v>
      </c>
      <c r="F145" s="18" t="s">
        <v>17</v>
      </c>
      <c r="G145" s="18"/>
      <c r="H145" s="19" t="s">
        <v>1216</v>
      </c>
      <c r="I145" s="23" t="s">
        <v>1217</v>
      </c>
      <c r="J145" s="24">
        <v>46023</v>
      </c>
      <c r="K145" s="24">
        <v>46387</v>
      </c>
      <c r="L145" s="24" t="s">
        <v>1218</v>
      </c>
      <c r="M145" s="24" t="s">
        <v>1219</v>
      </c>
      <c r="N145" s="24">
        <v>46023</v>
      </c>
      <c r="O145" s="24" t="str">
        <f>VLOOKUP(D145,records!$A:$U,10,FALSE)</f>
        <v>001SZ000009X6hPYAS</v>
      </c>
      <c r="P145" s="24" t="str">
        <f>VLOOKUP(D145,records!$A:$V,20,FALSE)</f>
        <v>FR28759500564</v>
      </c>
      <c r="Q145" s="24" t="str">
        <f>VLOOKUP(D145,records!$A:$V,12,FALSE)</f>
        <v>75 950 056 400 043</v>
      </c>
      <c r="R145" s="24" t="s">
        <v>1220</v>
      </c>
      <c r="S145" s="24" t="str">
        <f>VLOOKUP(D145,records!$A:$U,19,FALSE)</f>
        <v>einvoice-fr@fst.com</v>
      </c>
      <c r="T145" s="26" t="s">
        <v>1221</v>
      </c>
      <c r="U145" s="26" t="s">
        <v>1222</v>
      </c>
      <c r="V145" s="26" t="str">
        <f>VLOOKUP($D145,records!$A:$V,3,FALSE)</f>
        <v>FREUDENBERG JOINTS PLATS sas</v>
      </c>
      <c r="W145" s="26"/>
      <c r="X145" s="26" t="str">
        <f>VLOOKUP($D145,records!$A:$V,9,FALSE)</f>
        <v>2 Route de Nantiat - Le Betout</v>
      </c>
      <c r="Y145" s="26" t="str">
        <f>VLOOKUP($D145,records!$A:$V,4,FALSE)</f>
        <v>CHAMBORET</v>
      </c>
      <c r="Z145" s="26" t="str">
        <f>VLOOKUP($D145,records!$A:$V,7,FALSE)</f>
        <v>87140</v>
      </c>
      <c r="AA145" s="26" t="s">
        <v>1223</v>
      </c>
      <c r="AB145" s="26">
        <f>VLOOKUP(O145,'records (2)'!$A:$Z,8,FALSE)</f>
        <v>30</v>
      </c>
      <c r="AC145" s="26" t="b">
        <v>0</v>
      </c>
      <c r="AD145" s="26"/>
      <c r="AE145" s="26"/>
      <c r="AF145" s="26" t="str">
        <f>VLOOKUP($D145,records!$A:$V,13,FALSE)</f>
        <v>FREUDENBERG JOINTS PLATS sas</v>
      </c>
      <c r="AG145" s="26" t="s">
        <v>1226</v>
      </c>
      <c r="AH145" s="26" t="str">
        <f>VLOOKUP($D145,records!$A:$V,19,FALSE)</f>
        <v>einvoice-fr@fst.com</v>
      </c>
      <c r="AI145" s="26" t="s">
        <v>1233</v>
      </c>
      <c r="AJ145" s="26" t="str">
        <f>VLOOKUP($O145,'records (2)'!$A:$Z,14,FALSE)</f>
        <v>003IV000010su9QYAQ</v>
      </c>
      <c r="AK145" s="26" t="str">
        <f>VLOOKUP($O145,'records (2)'!$A:$Z,15,FALSE)</f>
        <v>Frédérique LEYZAT</v>
      </c>
      <c r="AL145" s="26" t="str">
        <f>VLOOKUP($O145,'records (2)'!$A:$Z,10,FALSE)</f>
        <v>003IV000010su9QYAQ</v>
      </c>
      <c r="AM145" s="26" t="str">
        <f>VLOOKUP($O145,'records (2)'!$A:$Z,11,FALSE)</f>
        <v>Frédérique LEYZAT</v>
      </c>
      <c r="AN145" s="18">
        <v>1</v>
      </c>
      <c r="AO145" s="4">
        <v>1000</v>
      </c>
      <c r="AP145" s="4">
        <v>1000</v>
      </c>
      <c r="AQ145" s="20">
        <v>0</v>
      </c>
      <c r="AR145" s="6">
        <v>0</v>
      </c>
    </row>
    <row r="146" spans="1:44">
      <c r="A146" s="18" t="s">
        <v>756</v>
      </c>
      <c r="B146" s="18" t="s">
        <v>757</v>
      </c>
      <c r="C146" s="18" t="s">
        <v>758</v>
      </c>
      <c r="D146" s="18" t="s">
        <v>759</v>
      </c>
      <c r="E146" s="18" t="s">
        <v>52</v>
      </c>
      <c r="F146" s="18" t="s">
        <v>53</v>
      </c>
      <c r="G146" s="18"/>
      <c r="H146" s="19" t="s">
        <v>1216</v>
      </c>
      <c r="I146" s="23" t="s">
        <v>1217</v>
      </c>
      <c r="J146" s="24">
        <v>46023</v>
      </c>
      <c r="K146" s="24">
        <v>46387</v>
      </c>
      <c r="L146" s="24" t="s">
        <v>1218</v>
      </c>
      <c r="M146" s="24" t="s">
        <v>1219</v>
      </c>
      <c r="N146" s="24">
        <v>46023</v>
      </c>
      <c r="O146" s="24" t="str">
        <f>VLOOKUP(D146,records!$A:$U,10,FALSE)</f>
        <v>0012p00004MUNbhAAH</v>
      </c>
      <c r="P146" s="24" t="str">
        <f>VLOOKUP(D146,records!$A:$V,20,FALSE)</f>
        <v>FR26435580477</v>
      </c>
      <c r="Q146" s="24" t="str">
        <f>VLOOKUP(D146,records!$A:$V,12,FALSE)</f>
        <v>43 558 047 700 014</v>
      </c>
      <c r="R146" s="24" t="s">
        <v>1220</v>
      </c>
      <c r="S146" s="24" t="str">
        <f>VLOOKUP(D146,records!$A:$U,19,FALSE)</f>
        <v>ekasbarian@chapoutier.com</v>
      </c>
      <c r="T146" s="26" t="s">
        <v>1221</v>
      </c>
      <c r="U146" s="26" t="s">
        <v>1222</v>
      </c>
      <c r="V146" s="26" t="str">
        <f>VLOOKUP($D146,records!$A:$V,3,FALSE)</f>
        <v>M. CHAPOUTIER sa</v>
      </c>
      <c r="W146" s="26"/>
      <c r="X146" s="26" t="str">
        <f>VLOOKUP($D146,records!$A:$V,9,FALSE)</f>
        <v>18 Avenue du Docteur Paul Durand</v>
      </c>
      <c r="Y146" s="26" t="str">
        <f>VLOOKUP($D146,records!$A:$V,4,FALSE)</f>
        <v>TAIN L'HERMITAGE</v>
      </c>
      <c r="Z146" s="26" t="str">
        <f>VLOOKUP($D146,records!$A:$V,7,FALSE)</f>
        <v>26600</v>
      </c>
      <c r="AA146" s="26" t="s">
        <v>1223</v>
      </c>
      <c r="AB146" s="26">
        <f>VLOOKUP(O146,'records (2)'!$A:$Z,8,FALSE)</f>
        <v>30</v>
      </c>
      <c r="AC146" s="26" t="b">
        <v>0</v>
      </c>
      <c r="AD146" s="26"/>
      <c r="AE146" s="26"/>
      <c r="AF146" s="26" t="str">
        <f>VLOOKUP($D146,records!$A:$V,13,FALSE)</f>
        <v>M. CHAPOUTIER sa</v>
      </c>
      <c r="AG146" s="26" t="s">
        <v>1226</v>
      </c>
      <c r="AH146" s="26" t="str">
        <f>VLOOKUP($D146,records!$A:$V,19,FALSE)</f>
        <v>ekasbarian@chapoutier.com</v>
      </c>
      <c r="AI146" s="26" t="s">
        <v>1233</v>
      </c>
      <c r="AJ146" s="26" t="str">
        <f>VLOOKUP($O146,'records (2)'!$A:$Z,14,FALSE)</f>
        <v>003IV000010t22cYAA</v>
      </c>
      <c r="AK146" s="26" t="str">
        <f>VLOOKUP($O146,'records (2)'!$A:$Z,15,FALSE)</f>
        <v>Emma KASBARIAN</v>
      </c>
      <c r="AL146" s="26" t="str">
        <f>VLOOKUP($O146,'records (2)'!$A:$Z,10,FALSE)</f>
        <v>003IV000010t22cYAA</v>
      </c>
      <c r="AM146" s="26" t="str">
        <f>VLOOKUP($O146,'records (2)'!$A:$Z,11,FALSE)</f>
        <v>Emma KASBARIAN</v>
      </c>
      <c r="AN146" s="18">
        <v>1</v>
      </c>
      <c r="AO146" s="4">
        <v>500</v>
      </c>
      <c r="AP146" s="4">
        <v>500</v>
      </c>
      <c r="AQ146" s="20">
        <v>0</v>
      </c>
      <c r="AR146" s="6">
        <v>0</v>
      </c>
    </row>
    <row r="147" spans="1:44">
      <c r="A147" s="18" t="s">
        <v>93</v>
      </c>
      <c r="B147" s="18" t="s">
        <v>94</v>
      </c>
      <c r="C147" s="18" t="s">
        <v>94</v>
      </c>
      <c r="D147" s="18" t="s">
        <v>95</v>
      </c>
      <c r="E147" s="18" t="s">
        <v>16</v>
      </c>
      <c r="F147" s="18" t="s">
        <v>17</v>
      </c>
      <c r="G147" s="18"/>
      <c r="H147" s="19" t="s">
        <v>1216</v>
      </c>
      <c r="I147" s="23" t="s">
        <v>1217</v>
      </c>
      <c r="J147" s="24">
        <v>46023</v>
      </c>
      <c r="K147" s="24">
        <v>46387</v>
      </c>
      <c r="L147" s="24" t="s">
        <v>1218</v>
      </c>
      <c r="M147" s="24" t="s">
        <v>1219</v>
      </c>
      <c r="N147" s="24">
        <v>46023</v>
      </c>
      <c r="O147" s="24" t="str">
        <f>VLOOKUP(D147,records!$A:$U,10,FALSE)</f>
        <v>0012p00004PmyC7AAJ</v>
      </c>
      <c r="P147" s="24" t="str">
        <f>VLOOKUP(D147,records!$A:$V,20,FALSE)</f>
        <v>FR76925820078</v>
      </c>
      <c r="Q147" s="24" t="str">
        <f>VLOOKUP(D147,records!$A:$V,12,FALSE)</f>
        <v>92 582 007 800 010</v>
      </c>
      <c r="R147" s="24" t="s">
        <v>1220</v>
      </c>
      <c r="S147" s="24" t="str">
        <f>VLOOKUP(D147,records!$A:$U,19,FALSE)</f>
        <v>elodie.linet@bicworld.com</v>
      </c>
      <c r="T147" s="26" t="s">
        <v>1221</v>
      </c>
      <c r="U147" s="26" t="s">
        <v>1222</v>
      </c>
      <c r="V147" s="26" t="str">
        <f>VLOOKUP($D147,records!$A:$V,3,FALSE)</f>
        <v>BIC RASOIRS sasu</v>
      </c>
      <c r="W147" s="26"/>
      <c r="X147" s="26" t="str">
        <f>VLOOKUP($D147,records!$A:$V,9,FALSE)</f>
        <v>422 rue du Port Salut</v>
      </c>
      <c r="Y147" s="26" t="str">
        <f>VLOOKUP($D147,records!$A:$V,4,FALSE)</f>
        <v>LONGUEIL SAINTE MARIE</v>
      </c>
      <c r="Z147" s="26" t="str">
        <f>VLOOKUP($D147,records!$A:$V,7,FALSE)</f>
        <v>60126</v>
      </c>
      <c r="AA147" s="26" t="s">
        <v>1223</v>
      </c>
      <c r="AB147" s="26">
        <f>VLOOKUP(O147,'records (2)'!$A:$Z,8,FALSE)</f>
        <v>30</v>
      </c>
      <c r="AC147" s="26" t="b">
        <v>0</v>
      </c>
      <c r="AD147" s="26"/>
      <c r="AE147" s="26"/>
      <c r="AF147" s="26" t="str">
        <f>VLOOKUP($D147,records!$A:$V,13,FALSE)</f>
        <v>BIC RASOIRS sasu</v>
      </c>
      <c r="AG147" s="26" t="s">
        <v>1226</v>
      </c>
      <c r="AH147" s="26" t="str">
        <f>VLOOKUP($D147,records!$A:$V,19,FALSE)</f>
        <v>elodie.linet@bicworld.com</v>
      </c>
      <c r="AI147" s="26" t="s">
        <v>1233</v>
      </c>
      <c r="AJ147" s="26" t="str">
        <f>VLOOKUP($O147,'records (2)'!$A:$Z,14,FALSE)</f>
        <v>003IV000010tQHyYAM</v>
      </c>
      <c r="AK147" s="26" t="str">
        <f>VLOOKUP($O147,'records (2)'!$A:$Z,15,FALSE)</f>
        <v>Elodie LINET</v>
      </c>
      <c r="AL147" s="26" t="str">
        <f>VLOOKUP($O147,'records (2)'!$A:$Z,10,FALSE)</f>
        <v>003IV000010t68lYAA</v>
      </c>
      <c r="AM147" s="26" t="str">
        <f>VLOOKUP($O147,'records (2)'!$A:$Z,11,FALSE)</f>
        <v>Charlotte VILLEFROY</v>
      </c>
      <c r="AN147" s="18">
        <v>1</v>
      </c>
      <c r="AO147" s="4">
        <v>1000</v>
      </c>
      <c r="AP147" s="4">
        <v>1000</v>
      </c>
      <c r="AQ147" s="20">
        <v>0</v>
      </c>
      <c r="AR147" s="6">
        <v>0</v>
      </c>
    </row>
    <row r="148" spans="1:44">
      <c r="A148" s="18" t="s">
        <v>945</v>
      </c>
      <c r="B148" s="18" t="s">
        <v>946</v>
      </c>
      <c r="C148" s="18" t="s">
        <v>947</v>
      </c>
      <c r="D148" s="18" t="s">
        <v>948</v>
      </c>
      <c r="E148" s="18" t="s">
        <v>52</v>
      </c>
      <c r="F148" s="18" t="s">
        <v>53</v>
      </c>
      <c r="G148" s="18"/>
      <c r="H148" s="19" t="s">
        <v>1216</v>
      </c>
      <c r="I148" s="23" t="s">
        <v>1217</v>
      </c>
      <c r="J148" s="24">
        <v>46023</v>
      </c>
      <c r="K148" s="24">
        <v>46387</v>
      </c>
      <c r="L148" s="24" t="s">
        <v>1218</v>
      </c>
      <c r="M148" s="24" t="s">
        <v>1219</v>
      </c>
      <c r="N148" s="24">
        <v>46023</v>
      </c>
      <c r="O148" s="24" t="str">
        <f>VLOOKUP(D148,records!$A:$U,10,FALSE)</f>
        <v>0012p00004SyCoPAAV</v>
      </c>
      <c r="P148" s="24" t="str">
        <f>VLOOKUP(D148,records!$A:$V,20,FALSE)</f>
        <v>FR40542036850</v>
      </c>
      <c r="Q148" s="24" t="str">
        <f>VLOOKUP(D148,records!$A:$V,12,FALSE)</f>
        <v>54 203 685 000 056</v>
      </c>
      <c r="R148" s="24" t="s">
        <v>1220</v>
      </c>
      <c r="S148" s="24" t="str">
        <f>VLOOKUP(D148,records!$A:$U,19,FALSE)</f>
        <v>Elodie.martinerie@viskase.com</v>
      </c>
      <c r="T148" s="26" t="s">
        <v>1221</v>
      </c>
      <c r="U148" s="26" t="s">
        <v>1222</v>
      </c>
      <c r="V148" s="26" t="str">
        <f>VLOOKUP($D148,records!$A:$V,3,FALSE)</f>
        <v>VISKASE sas</v>
      </c>
      <c r="W148" s="26"/>
      <c r="X148" s="26" t="str">
        <f>VLOOKUP($D148,records!$A:$V,9,FALSE)</f>
        <v>9 Rue pierre de Coubertin</v>
      </c>
      <c r="Y148" s="26" t="str">
        <f>VLOOKUP($D148,records!$A:$V,4,FALSE)</f>
        <v>THAON-LES-VOSGES</v>
      </c>
      <c r="Z148" s="26" t="str">
        <f>VLOOKUP($D148,records!$A:$V,7,FALSE)</f>
        <v>88150</v>
      </c>
      <c r="AA148" s="26" t="s">
        <v>1223</v>
      </c>
      <c r="AB148" s="26">
        <f>VLOOKUP(O148,'records (2)'!$A:$Z,8,FALSE)</f>
        <v>30</v>
      </c>
      <c r="AC148" s="26" t="b">
        <v>0</v>
      </c>
      <c r="AD148" s="26"/>
      <c r="AE148" s="26"/>
      <c r="AF148" s="26" t="str">
        <f>VLOOKUP($D148,records!$A:$V,13,FALSE)</f>
        <v>VISKASE sas</v>
      </c>
      <c r="AG148" s="26" t="s">
        <v>1226</v>
      </c>
      <c r="AH148" s="26" t="str">
        <f>VLOOKUP($D148,records!$A:$V,19,FALSE)</f>
        <v>Elodie.martinerie@viskase.com</v>
      </c>
      <c r="AI148" s="26" t="s">
        <v>1233</v>
      </c>
      <c r="AJ148" s="26" t="str">
        <f>VLOOKUP($O148,'records (2)'!$A:$Z,14,FALSE)</f>
        <v>003IV000010tIeJYAU</v>
      </c>
      <c r="AK148" s="26" t="str">
        <f>VLOOKUP($O148,'records (2)'!$A:$Z,15,FALSE)</f>
        <v>Fabrice QUINET</v>
      </c>
      <c r="AL148" s="26" t="str">
        <f>VLOOKUP($O148,'records (2)'!$A:$Z,10,FALSE)</f>
        <v>003IV000010tIeJYAU</v>
      </c>
      <c r="AM148" s="26" t="str">
        <f>VLOOKUP($O148,'records (2)'!$A:$Z,11,FALSE)</f>
        <v>Fabrice QUINET</v>
      </c>
      <c r="AN148" s="18">
        <v>1</v>
      </c>
      <c r="AO148" s="4">
        <v>500</v>
      </c>
      <c r="AP148" s="4">
        <v>500</v>
      </c>
      <c r="AQ148" s="20">
        <v>0</v>
      </c>
      <c r="AR148" s="6">
        <v>0</v>
      </c>
    </row>
    <row r="149" spans="1:44">
      <c r="A149" s="18" t="s">
        <v>955</v>
      </c>
      <c r="B149" s="18" t="s">
        <v>956</v>
      </c>
      <c r="C149" s="18" t="s">
        <v>957</v>
      </c>
      <c r="D149" s="18" t="s">
        <v>958</v>
      </c>
      <c r="E149" s="18" t="s">
        <v>52</v>
      </c>
      <c r="F149" s="18" t="s">
        <v>53</v>
      </c>
      <c r="G149" s="18"/>
      <c r="H149" s="19" t="s">
        <v>1216</v>
      </c>
      <c r="I149" s="23" t="s">
        <v>1217</v>
      </c>
      <c r="J149" s="24">
        <v>46023</v>
      </c>
      <c r="K149" s="24">
        <v>46387</v>
      </c>
      <c r="L149" s="24" t="s">
        <v>1218</v>
      </c>
      <c r="M149" s="24" t="s">
        <v>1219</v>
      </c>
      <c r="N149" s="24">
        <v>46023</v>
      </c>
      <c r="O149" s="24" t="str">
        <f>VLOOKUP(D149,records!$A:$U,10,FALSE)</f>
        <v>0012p00004OY9eSAAT</v>
      </c>
      <c r="P149" s="24" t="str">
        <f>VLOOKUP(D149,records!$A:$V,20,FALSE)</f>
        <v>FR16322304197</v>
      </c>
      <c r="Q149" s="24" t="str">
        <f>VLOOKUP(D149,records!$A:$V,12,FALSE)</f>
        <v>32 230 419 700 021</v>
      </c>
      <c r="R149" s="24" t="s">
        <v>1220</v>
      </c>
      <c r="S149" s="24" t="str">
        <f>VLOOKUP(D149,records!$A:$U,19,FALSE)</f>
        <v>elodie.saudain@whatscooking.group</v>
      </c>
      <c r="T149" s="26" t="s">
        <v>1221</v>
      </c>
      <c r="U149" s="26" t="s">
        <v>1222</v>
      </c>
      <c r="V149" s="26" t="str">
        <f>VLOOKUP($D149,records!$A:$V,3,FALSE)</f>
        <v>WHAT'S COOKING FRANCE sas</v>
      </c>
      <c r="W149" s="26"/>
      <c r="X149" s="26" t="str">
        <f>VLOOKUP($D149,records!$A:$V,9,FALSE)</f>
        <v>ZI espace Zuckermann</v>
      </c>
      <c r="Y149" s="26" t="str">
        <f>VLOOKUP($D149,records!$A:$V,4,FALSE)</f>
        <v>MEZIDON VALLEE D'AUGE</v>
      </c>
      <c r="Z149" s="26" t="str">
        <f>VLOOKUP($D149,records!$A:$V,7,FALSE)</f>
        <v>14270</v>
      </c>
      <c r="AA149" s="26" t="s">
        <v>1223</v>
      </c>
      <c r="AB149" s="26">
        <f>VLOOKUP(O149,'records (2)'!$A:$Z,8,FALSE)</f>
        <v>30</v>
      </c>
      <c r="AC149" s="26" t="b">
        <v>0</v>
      </c>
      <c r="AD149" s="26"/>
      <c r="AE149" s="26"/>
      <c r="AF149" s="26" t="str">
        <f>VLOOKUP($D149,records!$A:$V,13,FALSE)</f>
        <v>WHAT'S COOKING FRANCE sas</v>
      </c>
      <c r="AG149" s="26" t="s">
        <v>1226</v>
      </c>
      <c r="AH149" s="26" t="str">
        <f>VLOOKUP($D149,records!$A:$V,19,FALSE)</f>
        <v>elodie.saudain@whatscooking.group</v>
      </c>
      <c r="AI149" s="26" t="s">
        <v>1233</v>
      </c>
      <c r="AJ149" s="26" t="str">
        <f>VLOOKUP($O149,'records (2)'!$A:$Z,14,FALSE)</f>
        <v>003IV000010t2ZhYAI</v>
      </c>
      <c r="AK149" s="26" t="str">
        <f>VLOOKUP($O149,'records (2)'!$A:$Z,15,FALSE)</f>
        <v>Elodie SAUDAIN</v>
      </c>
      <c r="AL149" s="26" t="str">
        <f>VLOOKUP($O149,'records (2)'!$A:$Z,10,FALSE)</f>
        <v>003IV000010t2ZhYAI</v>
      </c>
      <c r="AM149" s="26" t="str">
        <f>VLOOKUP($O149,'records (2)'!$A:$Z,11,FALSE)</f>
        <v>Elodie SAUDAIN</v>
      </c>
      <c r="AN149" s="18">
        <v>1</v>
      </c>
      <c r="AO149" s="4">
        <v>1000</v>
      </c>
      <c r="AP149" s="4">
        <v>1000</v>
      </c>
      <c r="AQ149" s="20">
        <v>0</v>
      </c>
      <c r="AR149" s="6">
        <v>0</v>
      </c>
    </row>
    <row r="150" spans="1:44">
      <c r="A150" s="18" t="s">
        <v>41</v>
      </c>
      <c r="B150" s="18" t="s">
        <v>42</v>
      </c>
      <c r="C150" s="18" t="s">
        <v>43</v>
      </c>
      <c r="D150" s="18" t="s">
        <v>44</v>
      </c>
      <c r="E150" s="18" t="s">
        <v>16</v>
      </c>
      <c r="F150" s="18" t="s">
        <v>17</v>
      </c>
      <c r="G150" s="18"/>
      <c r="H150" s="19" t="s">
        <v>1216</v>
      </c>
      <c r="I150" s="23" t="s">
        <v>1217</v>
      </c>
      <c r="J150" s="24">
        <v>46023</v>
      </c>
      <c r="K150" s="24">
        <v>46387</v>
      </c>
      <c r="L150" s="24" t="s">
        <v>1218</v>
      </c>
      <c r="M150" s="24" t="s">
        <v>1219</v>
      </c>
      <c r="N150" s="24">
        <v>46023</v>
      </c>
      <c r="O150" s="24" t="str">
        <f>VLOOKUP(D150,records!$A:$U,10,FALSE)</f>
        <v>0012p00004PIzW3AAL</v>
      </c>
      <c r="P150" s="24" t="str">
        <f>VLOOKUP(D150,records!$A:$V,20,FALSE)</f>
        <v>FR17841892037</v>
      </c>
      <c r="Q150" s="24" t="str">
        <f>VLOOKUP(D150,records!$A:$V,12,FALSE)</f>
        <v>84 189 203 700 018</v>
      </c>
      <c r="R150" s="24" t="s">
        <v>1220</v>
      </c>
      <c r="S150" s="24" t="str">
        <f>VLOOKUP(D150,records!$A:$U,19,FALSE)</f>
        <v>em-earlymakers@factures.epithete.com</v>
      </c>
      <c r="T150" s="26" t="s">
        <v>1221</v>
      </c>
      <c r="U150" s="26" t="s">
        <v>1222</v>
      </c>
      <c r="V150" s="26" t="str">
        <f>VLOOKUP($D150,records!$A:$V,3,FALSE)</f>
        <v>EARLY MAKERS GROUP sa</v>
      </c>
      <c r="W150" s="26"/>
      <c r="X150" s="26" t="str">
        <f>VLOOKUP($D150,records!$A:$V,9,FALSE)</f>
        <v>23 Avenue Guy de Collonge</v>
      </c>
      <c r="Y150" s="26" t="str">
        <f>VLOOKUP($D150,records!$A:$V,4,FALSE)</f>
        <v>ECULLY</v>
      </c>
      <c r="Z150" s="26" t="str">
        <f>VLOOKUP($D150,records!$A:$V,7,FALSE)</f>
        <v>69130</v>
      </c>
      <c r="AA150" s="26" t="s">
        <v>1223</v>
      </c>
      <c r="AB150" s="26">
        <f>VLOOKUP(O150,'records (2)'!$A:$Z,8,FALSE)</f>
        <v>30</v>
      </c>
      <c r="AC150" s="26" t="b">
        <f>VLOOKUP(O150,'records (4)'!$A:$C,3,FALSE)</f>
        <v>1</v>
      </c>
      <c r="AD150" s="26" t="s">
        <v>1225</v>
      </c>
      <c r="AE150" s="24">
        <v>46023</v>
      </c>
      <c r="AF150" s="26" t="str">
        <f>VLOOKUP($D150,records!$A:$V,13,FALSE)</f>
        <v>EARLY MAKERS GROUP sa</v>
      </c>
      <c r="AG150" s="26" t="s">
        <v>1226</v>
      </c>
      <c r="AH150" s="26" t="str">
        <f>VLOOKUP($D150,records!$A:$V,19,FALSE)</f>
        <v>em-earlymakers@factures.epithete.com</v>
      </c>
      <c r="AI150" s="26" t="s">
        <v>1233</v>
      </c>
      <c r="AJ150" s="26" t="str">
        <f>VLOOKUP($O150,'records (2)'!$A:$Z,14,FALSE)</f>
        <v>003IV000010rvHSYAY</v>
      </c>
      <c r="AK150" s="26" t="str">
        <f>VLOOKUP($O150,'records (2)'!$A:$Z,15,FALSE)</f>
        <v>Maurice SALIH</v>
      </c>
      <c r="AL150" s="26" t="str">
        <f>VLOOKUP($O150,'records (2)'!$A:$Z,10,FALSE)</f>
        <v>003IV000010rvHSYAY</v>
      </c>
      <c r="AM150" s="26" t="str">
        <f>VLOOKUP($O150,'records (2)'!$A:$Z,11,FALSE)</f>
        <v>Maurice SALIH</v>
      </c>
      <c r="AN150" s="18">
        <v>1</v>
      </c>
      <c r="AO150" s="4">
        <v>1000</v>
      </c>
      <c r="AP150" s="4">
        <v>1000</v>
      </c>
      <c r="AQ150" s="20"/>
      <c r="AR150" s="6"/>
    </row>
    <row r="151" spans="1:44">
      <c r="A151" s="18" t="s">
        <v>1055</v>
      </c>
      <c r="B151" s="18" t="s">
        <v>1056</v>
      </c>
      <c r="C151" s="18" t="s">
        <v>1056</v>
      </c>
      <c r="D151" s="18" t="s">
        <v>1057</v>
      </c>
      <c r="E151" s="18" t="s">
        <v>52</v>
      </c>
      <c r="F151" s="18" t="s">
        <v>53</v>
      </c>
      <c r="G151" s="18"/>
      <c r="H151" s="19" t="s">
        <v>1216</v>
      </c>
      <c r="I151" s="23" t="s">
        <v>1217</v>
      </c>
      <c r="J151" s="24">
        <v>46023</v>
      </c>
      <c r="K151" s="24">
        <v>46387</v>
      </c>
      <c r="L151" s="24" t="s">
        <v>1218</v>
      </c>
      <c r="M151" s="24" t="s">
        <v>1219</v>
      </c>
      <c r="N151" s="24">
        <v>46023</v>
      </c>
      <c r="O151" s="24" t="str">
        <f>VLOOKUP(D151,records!$A:$U,10,FALSE)</f>
        <v>001SZ000009sKnoYAE</v>
      </c>
      <c r="P151" s="24" t="str">
        <f>VLOOKUP(D151,records!$A:$V,20,FALSE)</f>
        <v>FR10642024343</v>
      </c>
      <c r="Q151" s="24" t="str">
        <f>VLOOKUP(D151,records!$A:$V,12,FALSE)</f>
        <v>62 202 434 300 047</v>
      </c>
      <c r="R151" s="24" t="s">
        <v>1220</v>
      </c>
      <c r="S151" s="24" t="str">
        <f>VLOOKUP(D151,records!$A:$U,19,FALSE)</f>
        <v>emeartpinv@corning.com</v>
      </c>
      <c r="T151" s="26" t="s">
        <v>1221</v>
      </c>
      <c r="U151" s="26" t="s">
        <v>1222</v>
      </c>
      <c r="V151" s="26" t="str">
        <f>VLOOKUP($D151,records!$A:$V,3,FALSE)</f>
        <v>CORNING POUYET SAS</v>
      </c>
      <c r="W151" s="26"/>
      <c r="X151" s="26" t="str">
        <f>VLOOKUP($D151,records!$A:$V,9,FALSE)</f>
        <v>1 Rue Gutenberg</v>
      </c>
      <c r="Y151" s="26" t="str">
        <f>VLOOKUP($D151,records!$A:$V,4,FALSE)</f>
        <v>PONTCHATEAU</v>
      </c>
      <c r="Z151" s="26" t="str">
        <f>VLOOKUP($D151,records!$A:$V,7,FALSE)</f>
        <v>44160</v>
      </c>
      <c r="AA151" s="26" t="s">
        <v>1223</v>
      </c>
      <c r="AB151" s="26">
        <f>VLOOKUP(O151,'records (2)'!$A:$Z,8,FALSE)</f>
        <v>30</v>
      </c>
      <c r="AC151" s="26" t="b">
        <f>VLOOKUP(O151,'records (4)'!$A:$C,3,FALSE)</f>
        <v>1</v>
      </c>
      <c r="AD151" s="26" t="s">
        <v>1225</v>
      </c>
      <c r="AE151" s="24">
        <v>46023</v>
      </c>
      <c r="AF151" s="26" t="str">
        <f>VLOOKUP($D151,records!$A:$V,13,FALSE)</f>
        <v>CORNING POUYET SAS</v>
      </c>
      <c r="AG151" s="26" t="s">
        <v>1226</v>
      </c>
      <c r="AH151" s="26" t="str">
        <f>VLOOKUP($D151,records!$A:$V,19,FALSE)</f>
        <v>emeartpinv@corning.com</v>
      </c>
      <c r="AI151" s="26" t="s">
        <v>1233</v>
      </c>
      <c r="AJ151" s="26" t="str">
        <f>VLOOKUP($O151,'records (2)'!$A:$Z,14,FALSE)</f>
        <v>003IV000010su9PYAQ</v>
      </c>
      <c r="AK151" s="26" t="str">
        <f>VLOOKUP($O151,'records (2)'!$A:$Z,15,FALSE)</f>
        <v>Service Comptabilité CORNING POUYET</v>
      </c>
      <c r="AL151" s="26" t="str">
        <f>VLOOKUP($O151,'records (2)'!$A:$Z,10,FALSE)</f>
        <v>003IV000010su9PYAQ</v>
      </c>
      <c r="AM151" s="26" t="str">
        <f>VLOOKUP($O151,'records (2)'!$A:$Z,11,FALSE)</f>
        <v>Service Comptabilité CORNING POUYET</v>
      </c>
      <c r="AN151" s="18">
        <v>1</v>
      </c>
      <c r="AO151" s="4">
        <v>500</v>
      </c>
      <c r="AP151" s="4">
        <v>500</v>
      </c>
      <c r="AQ151" s="20">
        <v>0</v>
      </c>
      <c r="AR151" s="6">
        <v>0</v>
      </c>
    </row>
    <row r="152" spans="1:44">
      <c r="A152" s="18" t="s">
        <v>359</v>
      </c>
      <c r="B152" s="18" t="s">
        <v>360</v>
      </c>
      <c r="C152" s="18" t="s">
        <v>361</v>
      </c>
      <c r="D152" s="18" t="s">
        <v>362</v>
      </c>
      <c r="E152" s="18" t="s">
        <v>16</v>
      </c>
      <c r="F152" s="18" t="s">
        <v>17</v>
      </c>
      <c r="G152" s="18"/>
      <c r="H152" s="19" t="s">
        <v>1216</v>
      </c>
      <c r="I152" s="23" t="s">
        <v>1217</v>
      </c>
      <c r="J152" s="24">
        <v>46023</v>
      </c>
      <c r="K152" s="24">
        <v>46387</v>
      </c>
      <c r="L152" s="24" t="s">
        <v>1218</v>
      </c>
      <c r="M152" s="24" t="s">
        <v>1219</v>
      </c>
      <c r="N152" s="24">
        <v>46023</v>
      </c>
      <c r="O152" s="24" t="str">
        <f>VLOOKUP(D152,records!$A:$U,10,FALSE)</f>
        <v>0012p00004RfghDAAR</v>
      </c>
      <c r="P152" s="24" t="str">
        <f>VLOOKUP(D152,records!$A:$V,20,FALSE)</f>
        <v>FR63342340759</v>
      </c>
      <c r="Q152" s="24" t="str">
        <f>VLOOKUP(D152,records!$A:$V,12,FALSE)</f>
        <v>34 234 075 900 030</v>
      </c>
      <c r="R152" s="24" t="s">
        <v>1220</v>
      </c>
      <c r="S152" s="24" t="str">
        <f>VLOOKUP(D152,records!$A:$U,19,FALSE)</f>
        <v>epique@roechling.com</v>
      </c>
      <c r="T152" s="26" t="s">
        <v>1221</v>
      </c>
      <c r="U152" s="26" t="s">
        <v>1222</v>
      </c>
      <c r="V152" s="26" t="str">
        <f>VLOOKUP($D152,records!$A:$V,3,FALSE)</f>
        <v>ROCHLING INDUSTRIAL NANCY sas</v>
      </c>
      <c r="W152" s="26"/>
      <c r="X152" s="26" t="str">
        <f>VLOOKUP($D152,records!$A:$V,9,FALSE)</f>
        <v>8 Rue André Fruchard</v>
      </c>
      <c r="Y152" s="26" t="str">
        <f>VLOOKUP($D152,records!$A:$V,4,FALSE)</f>
        <v>MAXEVILLE</v>
      </c>
      <c r="Z152" s="26" t="str">
        <f>VLOOKUP($D152,records!$A:$V,7,FALSE)</f>
        <v>54320</v>
      </c>
      <c r="AA152" s="26" t="s">
        <v>1223</v>
      </c>
      <c r="AB152" s="26">
        <f>VLOOKUP(O152,'records (2)'!$A:$Z,8,FALSE)</f>
        <v>30</v>
      </c>
      <c r="AC152" s="26" t="b">
        <v>0</v>
      </c>
      <c r="AD152" s="26"/>
      <c r="AE152" s="26"/>
      <c r="AF152" s="26" t="str">
        <f>VLOOKUP($D152,records!$A:$V,13,FALSE)</f>
        <v>ROCHLING INDUSTRIAL NANCY sas</v>
      </c>
      <c r="AG152" s="26" t="s">
        <v>1226</v>
      </c>
      <c r="AH152" s="26" t="str">
        <f>VLOOKUP($D152,records!$A:$V,19,FALSE)</f>
        <v>epique@roechling.com</v>
      </c>
      <c r="AI152" s="26" t="s">
        <v>1233</v>
      </c>
      <c r="AJ152" s="26" t="str">
        <f>VLOOKUP($O152,'records (2)'!$A:$Z,14,FALSE)</f>
        <v>003IV000010t4BOYAY</v>
      </c>
      <c r="AK152" s="26" t="str">
        <f>VLOOKUP($O152,'records (2)'!$A:$Z,15,FALSE)</f>
        <v>Emeline PIQUE</v>
      </c>
      <c r="AL152" s="26" t="str">
        <f>VLOOKUP($O152,'records (2)'!$A:$Z,10,FALSE)</f>
        <v>003IV000010t4BOYAY</v>
      </c>
      <c r="AM152" s="26" t="str">
        <f>VLOOKUP($O152,'records (2)'!$A:$Z,11,FALSE)</f>
        <v>Emeline PIQUE</v>
      </c>
      <c r="AN152" s="18">
        <v>1</v>
      </c>
      <c r="AO152" s="4">
        <v>1000</v>
      </c>
      <c r="AP152" s="4">
        <v>1000</v>
      </c>
      <c r="AQ152" s="20">
        <v>0</v>
      </c>
      <c r="AR152" s="6">
        <v>0</v>
      </c>
    </row>
    <row r="153" spans="1:44">
      <c r="A153" s="18" t="s">
        <v>1147</v>
      </c>
      <c r="B153" s="18" t="s">
        <v>1148</v>
      </c>
      <c r="C153" s="18" t="s">
        <v>1148</v>
      </c>
      <c r="D153" s="18" t="s">
        <v>1149</v>
      </c>
      <c r="E153" s="18" t="s">
        <v>52</v>
      </c>
      <c r="F153" s="18" t="s">
        <v>53</v>
      </c>
      <c r="G153" s="18"/>
      <c r="H153" s="19" t="s">
        <v>1239</v>
      </c>
      <c r="I153" s="23" t="s">
        <v>1217</v>
      </c>
      <c r="J153" s="24">
        <v>46023</v>
      </c>
      <c r="K153" s="24">
        <v>46387</v>
      </c>
      <c r="L153" s="24" t="s">
        <v>1218</v>
      </c>
      <c r="M153" s="24" t="s">
        <v>1219</v>
      </c>
      <c r="N153" s="24">
        <v>46023</v>
      </c>
      <c r="O153" s="24" t="str">
        <f>VLOOKUP(D153,records!$A:$U,10,FALSE)</f>
        <v>0012p00004NeCnVAAV</v>
      </c>
      <c r="P153" s="24" t="str">
        <f>VLOOKUP(D153,records!$A:$V,20,FALSE)</f>
        <v>FR95722045556</v>
      </c>
      <c r="Q153" s="24" t="str">
        <f>VLOOKUP(D153,records!$A:$V,12,FALSE)</f>
        <v>72 204 555 600 163</v>
      </c>
      <c r="R153" s="24" t="s">
        <v>1220</v>
      </c>
      <c r="S153" s="24" t="str">
        <f>VLOOKUP(D153,records!$A:$U,19,FALSE)</f>
        <v>etienne.outrequin@rdam.nestle.com</v>
      </c>
      <c r="T153" s="26" t="s">
        <v>1221</v>
      </c>
      <c r="U153" s="26" t="s">
        <v>1222</v>
      </c>
      <c r="V153" s="26" t="str">
        <f>VLOOKUP($D153,records!$A:$V,3,FALSE)</f>
        <v>CENTRES DE RECHERCHE ET DEVELOPPEMENT NESTLE sas</v>
      </c>
      <c r="W153" s="26"/>
      <c r="X153" s="26" t="str">
        <f>VLOOKUP($D153,records!$A:$V,9,FALSE)</f>
        <v>Rue de l'Europe - BP 47</v>
      </c>
      <c r="Y153" s="26" t="str">
        <f>VLOOKUP($D153,records!$A:$V,4,FALSE)</f>
        <v>AUBIGNY</v>
      </c>
      <c r="Z153" s="26" t="str">
        <f>VLOOKUP($D153,records!$A:$V,7,FALSE)</f>
        <v>80800</v>
      </c>
      <c r="AA153" s="26" t="s">
        <v>1223</v>
      </c>
      <c r="AB153" s="26">
        <f>VLOOKUP(O153,'records (2)'!$A:$Z,8,FALSE)</f>
        <v>60</v>
      </c>
      <c r="AC153" s="26" t="b">
        <f>VLOOKUP(O153,'records (4)'!$A:$C,3,FALSE)</f>
        <v>1</v>
      </c>
      <c r="AD153" s="26" t="s">
        <v>1225</v>
      </c>
      <c r="AE153" s="24">
        <v>46023</v>
      </c>
      <c r="AF153" s="26" t="str">
        <f>VLOOKUP($D153,records!$A:$V,13,FALSE)</f>
        <v>CENTRES DE RECHERCHE ET DEVELOPPEMENT NESTLE sas</v>
      </c>
      <c r="AG153" s="26" t="s">
        <v>1226</v>
      </c>
      <c r="AH153" s="26" t="str">
        <f>VLOOKUP($D153,records!$A:$V,19,FALSE)</f>
        <v>etienne.outrequin@rdam.nestle.com</v>
      </c>
      <c r="AI153" s="26" t="s">
        <v>1233</v>
      </c>
      <c r="AJ153" s="26" t="str">
        <f>VLOOKUP($O153,'records (2)'!$A:$Z,14,FALSE)</f>
        <v>003IV000010tJacYAE</v>
      </c>
      <c r="AK153" s="26" t="str">
        <f>VLOOKUP($O153,'records (2)'!$A:$Z,15,FALSE)</f>
        <v>Fanny CARON</v>
      </c>
      <c r="AL153" s="26" t="str">
        <f>VLOOKUP($O153,'records (2)'!$A:$Z,10,FALSE)</f>
        <v>003IV000010tJacYAE</v>
      </c>
      <c r="AM153" s="26" t="str">
        <f>VLOOKUP($O153,'records (2)'!$A:$Z,11,FALSE)</f>
        <v>Fanny CARON</v>
      </c>
      <c r="AN153" s="18">
        <v>1</v>
      </c>
      <c r="AO153" s="4">
        <v>500</v>
      </c>
      <c r="AP153" s="4">
        <v>500</v>
      </c>
      <c r="AQ153" s="20"/>
      <c r="AR153" s="6"/>
    </row>
    <row r="154" spans="1:44">
      <c r="A154" s="18" t="s">
        <v>573</v>
      </c>
      <c r="B154" s="18" t="s">
        <v>574</v>
      </c>
      <c r="C154" s="18" t="s">
        <v>574</v>
      </c>
      <c r="D154" s="18" t="s">
        <v>575</v>
      </c>
      <c r="E154" s="18" t="s">
        <v>52</v>
      </c>
      <c r="F154" s="18" t="s">
        <v>53</v>
      </c>
      <c r="G154" s="18"/>
      <c r="H154" s="19" t="s">
        <v>1216</v>
      </c>
      <c r="I154" s="23" t="s">
        <v>1217</v>
      </c>
      <c r="J154" s="24">
        <v>46023</v>
      </c>
      <c r="K154" s="24">
        <v>46387</v>
      </c>
      <c r="L154" s="24" t="s">
        <v>1218</v>
      </c>
      <c r="M154" s="24" t="s">
        <v>1219</v>
      </c>
      <c r="N154" s="24">
        <v>46023</v>
      </c>
      <c r="O154" s="24" t="str">
        <f>VLOOKUP(D154,records!$A:$U,10,FALSE)</f>
        <v>001SZ000004oTSjYAM</v>
      </c>
      <c r="P154" s="24" t="str">
        <f>VLOOKUP(D154,records!$A:$V,20,FALSE)</f>
        <v>FR67891090680</v>
      </c>
      <c r="Q154" s="24" t="str">
        <f>VLOOKUP(D154,records!$A:$V,12,FALSE)</f>
        <v>89 109 068 000 028</v>
      </c>
      <c r="R154" s="24" t="s">
        <v>1220</v>
      </c>
      <c r="S154" s="24" t="str">
        <f>VLOOKUP(D154,records!$A:$U,19,FALSE)</f>
        <v>euroapi_ap_fr@bpopen.capgemini.com</v>
      </c>
      <c r="T154" s="26" t="s">
        <v>1221</v>
      </c>
      <c r="U154" s="26" t="s">
        <v>1222</v>
      </c>
      <c r="V154" s="26" t="str">
        <f>VLOOKUP($D154,records!$A:$V,3,FALSE)</f>
        <v>EUROAPI FRANCE sasu</v>
      </c>
      <c r="W154" s="26"/>
      <c r="X154" s="26" t="str">
        <f>VLOOKUP($D154,records!$A:$V,9,FALSE)</f>
        <v>32 Rue de Verdun BP 80125</v>
      </c>
      <c r="Y154" s="26" t="str">
        <f>VLOOKUP($D154,records!$A:$V,4,FALSE)</f>
        <v>SAINT-AUBIN-LES-ELBEUF</v>
      </c>
      <c r="Z154" s="26" t="str">
        <f>VLOOKUP($D154,records!$A:$V,7,FALSE)</f>
        <v>76410</v>
      </c>
      <c r="AA154" s="26" t="s">
        <v>1223</v>
      </c>
      <c r="AB154" s="26">
        <f>VLOOKUP(O154,'records (2)'!$A:$Z,8,FALSE)</f>
        <v>30</v>
      </c>
      <c r="AC154" s="26" t="b">
        <f>VLOOKUP(O154,'records (4)'!$A:$C,3,FALSE)</f>
        <v>1</v>
      </c>
      <c r="AD154" s="26" t="s">
        <v>1225</v>
      </c>
      <c r="AE154" s="24">
        <v>46023</v>
      </c>
      <c r="AF154" s="26" t="str">
        <f>VLOOKUP($D154,records!$A:$V,13,FALSE)</f>
        <v>EUROAPI FRANCE sasu</v>
      </c>
      <c r="AG154" s="26" t="s">
        <v>1226</v>
      </c>
      <c r="AH154" s="26" t="str">
        <f>VLOOKUP($D154,records!$A:$V,19,FALSE)</f>
        <v>euroapi_ap_fr@bpopen.capgemini.com</v>
      </c>
      <c r="AI154" s="26" t="s">
        <v>1233</v>
      </c>
      <c r="AJ154" s="26" t="str">
        <f>VLOOKUP($O154,'records (2)'!$A:$Z,14,FALSE)</f>
        <v>003IV000010t0uxYAA</v>
      </c>
      <c r="AK154" s="26" t="str">
        <f>VLOOKUP($O154,'records (2)'!$A:$Z,15,FALSE)</f>
        <v>Amalia GASULL</v>
      </c>
      <c r="AL154" s="26" t="str">
        <f>VLOOKUP($O154,'records (2)'!$A:$Z,10,FALSE)</f>
        <v>003IV000010t0uxYAA</v>
      </c>
      <c r="AM154" s="26" t="str">
        <f>VLOOKUP($O154,'records (2)'!$A:$Z,11,FALSE)</f>
        <v>Amalia GASULL</v>
      </c>
      <c r="AN154" s="18">
        <v>1</v>
      </c>
      <c r="AO154" s="4">
        <v>500</v>
      </c>
      <c r="AP154" s="4">
        <v>500</v>
      </c>
      <c r="AQ154" s="20">
        <v>0</v>
      </c>
      <c r="AR154" s="6">
        <v>0</v>
      </c>
    </row>
    <row r="155" spans="1:44">
      <c r="A155" s="18" t="s">
        <v>406</v>
      </c>
      <c r="B155" s="18" t="s">
        <v>407</v>
      </c>
      <c r="C155" s="18" t="s">
        <v>408</v>
      </c>
      <c r="D155" s="18" t="s">
        <v>409</v>
      </c>
      <c r="E155" s="18" t="s">
        <v>16</v>
      </c>
      <c r="F155" s="18" t="s">
        <v>17</v>
      </c>
      <c r="G155" s="18"/>
      <c r="H155" s="19" t="s">
        <v>1216</v>
      </c>
      <c r="I155" s="23" t="s">
        <v>1217</v>
      </c>
      <c r="J155" s="24">
        <v>46023</v>
      </c>
      <c r="K155" s="24">
        <v>46387</v>
      </c>
      <c r="L155" s="24" t="s">
        <v>1218</v>
      </c>
      <c r="M155" s="24" t="s">
        <v>1219</v>
      </c>
      <c r="N155" s="24">
        <v>46023</v>
      </c>
      <c r="O155" s="24" t="str">
        <f>VLOOKUP(D155,records!$A:$U,10,FALSE)</f>
        <v>0012p00004MyR02AAF</v>
      </c>
      <c r="P155" s="24" t="str">
        <f>VLOOKUP(D155,records!$A:$V,20,FALSE)</f>
        <v>FR09451618904</v>
      </c>
      <c r="Q155" s="24" t="str">
        <f>VLOOKUP(D155,records!$A:$V,12,FALSE)</f>
        <v>45 161 890 400 051</v>
      </c>
      <c r="R155" s="24" t="s">
        <v>1220</v>
      </c>
      <c r="S155" s="24" t="str">
        <f>VLOOKUP(D155,records!$A:$U,19,FALSE)</f>
        <v>extern.melanie.suc@vwfs.com</v>
      </c>
      <c r="T155" s="26" t="s">
        <v>1221</v>
      </c>
      <c r="U155" s="26" t="s">
        <v>1222</v>
      </c>
      <c r="V155" s="26" t="str">
        <f>VLOOKUP($D155,records!$A:$V,3,FALSE)</f>
        <v>VOLKSWAGEN BANK GESELLSCHAFT MIT BESCHRAENKTER HAFTUNG</v>
      </c>
      <c r="W155" s="26" t="str">
        <f>IFERROR(VLOOKUP($D155,records!$A:$V,6,FALSE),)</f>
        <v>Service RH</v>
      </c>
      <c r="X155" s="26" t="str">
        <f>VLOOKUP($D155,records!$A:$V,9,FALSE)</f>
        <v>15 avenue de la Demi-Lune</v>
      </c>
      <c r="Y155" s="26" t="str">
        <f>VLOOKUP($D155,records!$A:$V,4,FALSE)</f>
        <v>ROISSY EN FRANCE</v>
      </c>
      <c r="Z155" s="26" t="str">
        <f>VLOOKUP($D155,records!$A:$V,7,FALSE)</f>
        <v>95700</v>
      </c>
      <c r="AA155" s="26" t="s">
        <v>1223</v>
      </c>
      <c r="AB155" s="26">
        <f>VLOOKUP(O155,'records (2)'!$A:$Z,8,FALSE)</f>
        <v>30</v>
      </c>
      <c r="AC155" s="26" t="b">
        <v>0</v>
      </c>
      <c r="AD155" s="26"/>
      <c r="AE155" s="26"/>
      <c r="AF155" s="26" t="str">
        <f>VLOOKUP($D155,records!$A:$V,13,FALSE)</f>
        <v>VOLKSWAGEN BANK GMBH</v>
      </c>
      <c r="AG155" s="26" t="s">
        <v>1226</v>
      </c>
      <c r="AH155" s="26" t="str">
        <f>VLOOKUP($D155,records!$A:$V,19,FALSE)</f>
        <v>extern.melanie.suc@vwfs.com</v>
      </c>
      <c r="AI155" s="26" t="s">
        <v>1233</v>
      </c>
      <c r="AJ155" s="26" t="str">
        <f>VLOOKUP($O155,'records (2)'!$A:$Z,14,FALSE)</f>
        <v>003IV000010t23RYAQ</v>
      </c>
      <c r="AK155" s="26" t="str">
        <f>VLOOKUP($O155,'records (2)'!$A:$Z,15,FALSE)</f>
        <v>Mélanie SUC</v>
      </c>
      <c r="AL155" s="26" t="str">
        <f>VLOOKUP($O155,'records (2)'!$A:$Z,10,FALSE)</f>
        <v>003IV000010t2B5YAI</v>
      </c>
      <c r="AM155" s="26" t="str">
        <f>VLOOKUP($O155,'records (2)'!$A:$Z,11,FALSE)</f>
        <v>Valerie DUPRESSOIR</v>
      </c>
      <c r="AN155" s="18">
        <v>1</v>
      </c>
      <c r="AO155" s="4">
        <v>3000</v>
      </c>
      <c r="AP155" s="4">
        <v>3000</v>
      </c>
      <c r="AQ155" s="20">
        <v>0</v>
      </c>
      <c r="AR155" s="6">
        <v>0</v>
      </c>
    </row>
    <row r="156" spans="1:44">
      <c r="A156" s="18" t="s">
        <v>992</v>
      </c>
      <c r="B156" s="18" t="s">
        <v>993</v>
      </c>
      <c r="C156" s="18" t="s">
        <v>993</v>
      </c>
      <c r="D156" s="18" t="s">
        <v>994</v>
      </c>
      <c r="E156" s="18" t="s">
        <v>16</v>
      </c>
      <c r="F156" s="18" t="s">
        <v>17</v>
      </c>
      <c r="G156" s="18"/>
      <c r="H156" s="19" t="s">
        <v>1216</v>
      </c>
      <c r="I156" s="23" t="s">
        <v>1217</v>
      </c>
      <c r="J156" s="24">
        <v>46023</v>
      </c>
      <c r="K156" s="24">
        <v>46387</v>
      </c>
      <c r="L156" s="24" t="s">
        <v>1218</v>
      </c>
      <c r="M156" s="24" t="s">
        <v>1219</v>
      </c>
      <c r="N156" s="24">
        <v>46023</v>
      </c>
      <c r="O156" s="24" t="str">
        <f>VLOOKUP(D156,records!$A:$U,10,FALSE)</f>
        <v>001SZ000000kMNKYA2</v>
      </c>
      <c r="P156" s="24" t="str">
        <f>VLOOKUP(D156,records!$A:$V,20,FALSE)</f>
        <v>FR92535450050</v>
      </c>
      <c r="Q156" s="24" t="str">
        <f>VLOOKUP(D156,records!$A:$V,12,FALSE)</f>
        <v>53 545 005 000 120</v>
      </c>
      <c r="R156" s="24" t="s">
        <v>1220</v>
      </c>
      <c r="S156" s="24" t="str">
        <f>VLOOKUP(D156,records!$A:$U,19,FALSE)</f>
        <v>f.gosselin@frenehard.com</v>
      </c>
      <c r="T156" s="26" t="s">
        <v>1221</v>
      </c>
      <c r="U156" s="26" t="s">
        <v>1222</v>
      </c>
      <c r="V156" s="26" t="str">
        <f>VLOOKUP($D156,records!$A:$V,3,FALSE)</f>
        <v>FRENEHARD ET MICHAUX HOLDING sas</v>
      </c>
      <c r="W156" s="26"/>
      <c r="X156" s="26" t="str">
        <f>VLOOKUP($D156,records!$A:$V,9,FALSE)</f>
        <v>Z.A. Les Bredollières</v>
      </c>
      <c r="Y156" s="26" t="str">
        <f>VLOOKUP($D156,records!$A:$V,4,FALSE)</f>
        <v>SAINT SYMPHORIEN DES BRUYERES</v>
      </c>
      <c r="Z156" s="26" t="str">
        <f>VLOOKUP($D156,records!$A:$V,7,FALSE)</f>
        <v>61300</v>
      </c>
      <c r="AA156" s="26" t="s">
        <v>1223</v>
      </c>
      <c r="AB156" s="26">
        <f>VLOOKUP(O156,'records (2)'!$A:$Z,8,FALSE)</f>
        <v>30</v>
      </c>
      <c r="AC156" s="26" t="b">
        <v>0</v>
      </c>
      <c r="AD156" s="26"/>
      <c r="AE156" s="26"/>
      <c r="AF156" s="26" t="str">
        <f>VLOOKUP($D156,records!$A:$V,13,FALSE)</f>
        <v>FRENEHARD ET MICHAUX HOLDING sas</v>
      </c>
      <c r="AG156" s="26" t="s">
        <v>1226</v>
      </c>
      <c r="AH156" s="26" t="str">
        <f>VLOOKUP($D156,records!$A:$V,19,FALSE)</f>
        <v>f.gosselin@frenehard.com</v>
      </c>
      <c r="AI156" s="26" t="s">
        <v>1233</v>
      </c>
      <c r="AJ156" s="26" t="str">
        <f>VLOOKUP($O156,'records (2)'!$A:$Z,14,FALSE)</f>
        <v>003IV000010tIiWYAU</v>
      </c>
      <c r="AK156" s="26" t="str">
        <f>VLOOKUP($O156,'records (2)'!$A:$Z,15,FALSE)</f>
        <v>Fleur GOSSELIN</v>
      </c>
      <c r="AL156" s="26" t="str">
        <f>VLOOKUP($O156,'records (2)'!$A:$Z,10,FALSE)</f>
        <v>003IV000010tIiWYAU</v>
      </c>
      <c r="AM156" s="26" t="str">
        <f>VLOOKUP($O156,'records (2)'!$A:$Z,11,FALSE)</f>
        <v>Fleur GOSSELIN</v>
      </c>
      <c r="AN156" s="18">
        <v>1</v>
      </c>
      <c r="AO156" s="4">
        <v>4000</v>
      </c>
      <c r="AP156" s="4">
        <v>4000</v>
      </c>
      <c r="AQ156" s="20">
        <v>0</v>
      </c>
      <c r="AR156" s="6">
        <v>0</v>
      </c>
    </row>
    <row r="157" spans="1:44">
      <c r="A157" s="12" t="s">
        <v>992</v>
      </c>
      <c r="B157" s="12" t="s">
        <v>993</v>
      </c>
      <c r="C157" s="18" t="s">
        <v>993</v>
      </c>
      <c r="D157" s="18" t="s">
        <v>994</v>
      </c>
      <c r="E157" s="18" t="s">
        <v>1172</v>
      </c>
      <c r="F157" s="18" t="s">
        <v>1173</v>
      </c>
      <c r="G157" s="18"/>
      <c r="H157" s="19" t="s">
        <v>1216</v>
      </c>
      <c r="I157" s="23" t="s">
        <v>1217</v>
      </c>
      <c r="J157" s="24">
        <v>46023</v>
      </c>
      <c r="K157" s="24">
        <v>46387</v>
      </c>
      <c r="L157" s="24" t="s">
        <v>1218</v>
      </c>
      <c r="M157" s="24" t="s">
        <v>1219</v>
      </c>
      <c r="N157" s="24">
        <v>46023</v>
      </c>
      <c r="O157" s="24" t="str">
        <f>VLOOKUP(D157,records!$A:$U,10,FALSE)</f>
        <v>001SZ000000kMNKYA2</v>
      </c>
      <c r="P157" s="24" t="str">
        <f>VLOOKUP(D157,records!$A:$V,20,FALSE)</f>
        <v>FR92535450050</v>
      </c>
      <c r="Q157" s="24" t="str">
        <f>VLOOKUP(D157,records!$A:$V,12,FALSE)</f>
        <v>53 545 005 000 120</v>
      </c>
      <c r="R157" s="24" t="s">
        <v>1220</v>
      </c>
      <c r="S157" s="24" t="str">
        <f>VLOOKUP(D157,records!$A:$U,19,FALSE)</f>
        <v>f.gosselin@frenehard.com</v>
      </c>
      <c r="T157" s="26" t="s">
        <v>1221</v>
      </c>
      <c r="U157" s="26" t="s">
        <v>1222</v>
      </c>
      <c r="V157" s="26" t="str">
        <f>VLOOKUP($D157,records!$A:$V,3,FALSE)</f>
        <v>FRENEHARD ET MICHAUX HOLDING sas</v>
      </c>
      <c r="W157" s="26"/>
      <c r="X157" s="26" t="str">
        <f>VLOOKUP($D157,records!$A:$V,9,FALSE)</f>
        <v>Z.A. Les Bredollières</v>
      </c>
      <c r="Y157" s="26" t="str">
        <f>VLOOKUP($D157,records!$A:$V,4,FALSE)</f>
        <v>SAINT SYMPHORIEN DES BRUYERES</v>
      </c>
      <c r="Z157" s="26" t="str">
        <f>VLOOKUP($D157,records!$A:$V,7,FALSE)</f>
        <v>61300</v>
      </c>
      <c r="AA157" s="26" t="s">
        <v>1223</v>
      </c>
      <c r="AB157" s="26">
        <f>VLOOKUP(O157,'records (2)'!$A:$Z,8,FALSE)</f>
        <v>30</v>
      </c>
      <c r="AC157" s="26" t="b">
        <v>0</v>
      </c>
      <c r="AD157" s="26"/>
      <c r="AE157" s="26"/>
      <c r="AF157" s="26" t="str">
        <f>VLOOKUP($D157,records!$A:$V,13,FALSE)</f>
        <v>FRENEHARD ET MICHAUX HOLDING sas</v>
      </c>
      <c r="AG157" s="26" t="s">
        <v>1226</v>
      </c>
      <c r="AH157" s="26" t="str">
        <f>VLOOKUP($D157,records!$A:$V,19,FALSE)</f>
        <v>f.gosselin@frenehard.com</v>
      </c>
      <c r="AI157" s="26" t="s">
        <v>1233</v>
      </c>
      <c r="AJ157" s="26" t="str">
        <f>VLOOKUP($O157,'records (2)'!$A:$Z,14,FALSE)</f>
        <v>003IV000010tIiWYAU</v>
      </c>
      <c r="AK157" s="26" t="str">
        <f>VLOOKUP($O157,'records (2)'!$A:$Z,15,FALSE)</f>
        <v>Fleur GOSSELIN</v>
      </c>
      <c r="AL157" s="26" t="str">
        <f>VLOOKUP($O157,'records (2)'!$A:$Z,10,FALSE)</f>
        <v>003IV000010tIiWYAU</v>
      </c>
      <c r="AM157" s="26" t="str">
        <f>VLOOKUP($O157,'records (2)'!$A:$Z,11,FALSE)</f>
        <v>Fleur GOSSELIN</v>
      </c>
      <c r="AN157" s="18">
        <v>1</v>
      </c>
      <c r="AO157" s="4">
        <v>1800</v>
      </c>
      <c r="AP157" s="4">
        <v>1800</v>
      </c>
      <c r="AQ157" s="20">
        <v>0</v>
      </c>
      <c r="AR157" s="6" t="s">
        <v>1174</v>
      </c>
    </row>
    <row r="158" spans="1:44">
      <c r="A158" s="18" t="s">
        <v>619</v>
      </c>
      <c r="B158" s="18" t="s">
        <v>620</v>
      </c>
      <c r="C158" s="18" t="s">
        <v>620</v>
      </c>
      <c r="D158" s="18" t="s">
        <v>621</v>
      </c>
      <c r="E158" s="18" t="s">
        <v>52</v>
      </c>
      <c r="F158" s="18" t="s">
        <v>53</v>
      </c>
      <c r="G158" s="18"/>
      <c r="H158" s="19" t="s">
        <v>1216</v>
      </c>
      <c r="I158" s="23" t="s">
        <v>1217</v>
      </c>
      <c r="J158" s="24">
        <v>46023</v>
      </c>
      <c r="K158" s="24">
        <v>46387</v>
      </c>
      <c r="L158" s="24" t="s">
        <v>1218</v>
      </c>
      <c r="M158" s="24" t="s">
        <v>1219</v>
      </c>
      <c r="N158" s="24">
        <v>46023</v>
      </c>
      <c r="O158" s="24" t="str">
        <f>VLOOKUP(D158,records!$A:$U,10,FALSE)</f>
        <v>001SZ000003vhMhYAI</v>
      </c>
      <c r="P158" s="24" t="str">
        <f>VLOOKUP(D158,records!$A:$V,20,FALSE)</f>
        <v>FR22350546719</v>
      </c>
      <c r="Q158" s="24" t="str">
        <f>VLOOKUP(D158,records!$A:$V,12,FALSE)</f>
        <v>35 054 671 900 013</v>
      </c>
      <c r="R158" s="24" t="s">
        <v>1220</v>
      </c>
      <c r="S158" s="24" t="str">
        <f>VLOOKUP(D158,records!$A:$U,19,FALSE)</f>
        <v>fabienne.richou@fromarsac.fr</v>
      </c>
      <c r="T158" s="26" t="s">
        <v>1221</v>
      </c>
      <c r="U158" s="26" t="s">
        <v>1222</v>
      </c>
      <c r="V158" s="26" t="str">
        <f>VLOOKUP($D158,records!$A:$V,3,FALSE)</f>
        <v>FROMAGERIE DE VIHIERS sasu</v>
      </c>
      <c r="W158" s="26"/>
      <c r="X158" s="26" t="str">
        <f>VLOOKUP($D158,records!$A:$V,9,FALSE)</f>
        <v>2 Route de Niort Saint-Hilaire du Bois</v>
      </c>
      <c r="Y158" s="26" t="str">
        <f>VLOOKUP($D158,records!$A:$V,4,FALSE)</f>
        <v>LYS HAUT LAYON</v>
      </c>
      <c r="Z158" s="26" t="str">
        <f>VLOOKUP($D158,records!$A:$V,7,FALSE)</f>
        <v>49310</v>
      </c>
      <c r="AA158" s="26" t="s">
        <v>1223</v>
      </c>
      <c r="AB158" s="26">
        <f>VLOOKUP(O158,'records (2)'!$A:$Z,8,FALSE)</f>
        <v>30</v>
      </c>
      <c r="AC158" s="26" t="b">
        <v>0</v>
      </c>
      <c r="AD158" s="26"/>
      <c r="AE158" s="26"/>
      <c r="AF158" s="26" t="str">
        <f>VLOOKUP($D158,records!$A:$V,13,FALSE)</f>
        <v>FROMAGERIE DE VIHIERS sasu</v>
      </c>
      <c r="AG158" s="26" t="s">
        <v>1226</v>
      </c>
      <c r="AH158" s="26" t="str">
        <f>VLOOKUP($D158,records!$A:$V,19,FALSE)</f>
        <v>fabienne.richou@fromarsac.fr</v>
      </c>
      <c r="AI158" s="26" t="s">
        <v>1233</v>
      </c>
      <c r="AJ158" s="26" t="str">
        <f>VLOOKUP($O158,'records (2)'!$A:$Z,14,FALSE)</f>
        <v>003IV000010t67oYAA</v>
      </c>
      <c r="AK158" s="26" t="str">
        <f>VLOOKUP($O158,'records (2)'!$A:$Z,15,FALSE)</f>
        <v>Fabienne RICHOU</v>
      </c>
      <c r="AL158" s="26" t="str">
        <f>VLOOKUP($O158,'records (2)'!$A:$Z,10,FALSE)</f>
        <v>003IV000010t67oYAA</v>
      </c>
      <c r="AM158" s="26" t="str">
        <f>VLOOKUP($O158,'records (2)'!$A:$Z,11,FALSE)</f>
        <v>Fabienne RICHOU</v>
      </c>
      <c r="AN158" s="18">
        <v>1</v>
      </c>
      <c r="AO158" s="4">
        <v>1000</v>
      </c>
      <c r="AP158" s="4">
        <v>1000</v>
      </c>
      <c r="AQ158" s="20">
        <v>0</v>
      </c>
      <c r="AR158" s="6">
        <v>0</v>
      </c>
    </row>
    <row r="159" spans="1:44">
      <c r="A159" s="18" t="s">
        <v>1029</v>
      </c>
      <c r="B159" s="18" t="s">
        <v>1030</v>
      </c>
      <c r="C159" s="18" t="s">
        <v>1031</v>
      </c>
      <c r="D159" s="18" t="s">
        <v>1032</v>
      </c>
      <c r="E159" s="18" t="s">
        <v>52</v>
      </c>
      <c r="F159" s="18" t="s">
        <v>53</v>
      </c>
      <c r="G159" s="18"/>
      <c r="H159" s="19" t="s">
        <v>1216</v>
      </c>
      <c r="I159" s="23" t="s">
        <v>1217</v>
      </c>
      <c r="J159" s="24">
        <v>46023</v>
      </c>
      <c r="K159" s="24">
        <v>46387</v>
      </c>
      <c r="L159" s="24" t="s">
        <v>1218</v>
      </c>
      <c r="M159" s="24" t="s">
        <v>1219</v>
      </c>
      <c r="N159" s="24">
        <v>46023</v>
      </c>
      <c r="O159" s="24" t="str">
        <f>VLOOKUP(D159,records!$A:$U,10,FALSE)</f>
        <v>001SZ000003ZKzrYAG</v>
      </c>
      <c r="P159" s="24" t="str">
        <f>VLOOKUP(D159,records!$A:$V,20,FALSE)</f>
        <v>FR70514242577</v>
      </c>
      <c r="Q159" s="24" t="str">
        <f>VLOOKUP(D159,records!$A:$V,12,FALSE)</f>
        <v>51 424 257 700 070</v>
      </c>
      <c r="R159" s="24" t="s">
        <v>1220</v>
      </c>
      <c r="S159" s="24" t="str">
        <f>VLOOKUP(D159,records!$A:$U,19,FALSE)</f>
        <v>fact.edi@aghfrance.com</v>
      </c>
      <c r="T159" s="26" t="s">
        <v>1221</v>
      </c>
      <c r="U159" s="26" t="s">
        <v>1222</v>
      </c>
      <c r="V159" s="26" t="str">
        <f>VLOOKUP($D159,records!$A:$V,3,FALSE)</f>
        <v>ALAIN GLON HOLDING sa</v>
      </c>
      <c r="W159" s="26"/>
      <c r="X159" s="26" t="str">
        <f>VLOOKUP($D159,records!$A:$V,9,FALSE)</f>
        <v>2 Rue Colonel Felix Robo</v>
      </c>
      <c r="Y159" s="26" t="str">
        <f>VLOOKUP($D159,records!$A:$V,4,FALSE)</f>
        <v>PONTIVY</v>
      </c>
      <c r="Z159" s="26" t="str">
        <f>VLOOKUP($D159,records!$A:$V,7,FALSE)</f>
        <v>56300</v>
      </c>
      <c r="AA159" s="26" t="s">
        <v>1223</v>
      </c>
      <c r="AB159" s="26">
        <f>VLOOKUP(O159,'records (2)'!$A:$Z,8,FALSE)</f>
        <v>30</v>
      </c>
      <c r="AC159" s="26" t="b">
        <v>0</v>
      </c>
      <c r="AD159" s="26"/>
      <c r="AE159" s="26"/>
      <c r="AF159" s="26" t="str">
        <f>VLOOKUP($D159,records!$A:$V,13,FALSE)</f>
        <v>ALAIN GLON HOLDING sa</v>
      </c>
      <c r="AG159" s="26" t="s">
        <v>1226</v>
      </c>
      <c r="AH159" s="26" t="str">
        <f>VLOOKUP($D159,records!$A:$V,19,FALSE)</f>
        <v>fact.edi@aghfrance.com</v>
      </c>
      <c r="AI159" s="26" t="s">
        <v>1233</v>
      </c>
      <c r="AJ159" s="26" t="str">
        <f>VLOOKUP($O159,'records (2)'!$A:$Z,14,FALSE)</f>
        <v>003IV000010su8VYAQ</v>
      </c>
      <c r="AK159" s="26" t="str">
        <f>VLOOKUP($O159,'records (2)'!$A:$Z,15,FALSE)</f>
        <v>Clothilde ROCABOY</v>
      </c>
      <c r="AL159" s="26" t="str">
        <f>VLOOKUP($O159,'records (2)'!$A:$Z,10,FALSE)</f>
        <v>003IV000010su8VYAQ</v>
      </c>
      <c r="AM159" s="26" t="str">
        <f>VLOOKUP($O159,'records (2)'!$A:$Z,11,FALSE)</f>
        <v>Clothilde ROCABOY</v>
      </c>
      <c r="AN159" s="18">
        <v>1</v>
      </c>
      <c r="AO159" s="4">
        <v>5000</v>
      </c>
      <c r="AP159" s="4">
        <v>5000</v>
      </c>
      <c r="AQ159" s="20">
        <v>0</v>
      </c>
      <c r="AR159" s="6">
        <v>0</v>
      </c>
    </row>
    <row r="160" spans="1:44">
      <c r="A160" s="18" t="s">
        <v>502</v>
      </c>
      <c r="B160" s="18" t="s">
        <v>503</v>
      </c>
      <c r="C160" s="18" t="s">
        <v>503</v>
      </c>
      <c r="D160" s="18" t="s">
        <v>504</v>
      </c>
      <c r="E160" s="18" t="s">
        <v>52</v>
      </c>
      <c r="F160" s="18" t="s">
        <v>53</v>
      </c>
      <c r="G160" s="18"/>
      <c r="H160" s="19" t="s">
        <v>1216</v>
      </c>
      <c r="I160" s="23" t="s">
        <v>1217</v>
      </c>
      <c r="J160" s="24">
        <v>46023</v>
      </c>
      <c r="K160" s="24">
        <v>46387</v>
      </c>
      <c r="L160" s="24" t="s">
        <v>1218</v>
      </c>
      <c r="M160" s="24" t="s">
        <v>1219</v>
      </c>
      <c r="N160" s="24">
        <v>46023</v>
      </c>
      <c r="O160" s="24" t="str">
        <f>VLOOKUP(D160,records!$A:$U,10,FALSE)</f>
        <v>0012p00004Rh0S2AAJ</v>
      </c>
      <c r="P160" s="24" t="str">
        <f>VLOOKUP(D160,records!$A:$V,20,FALSE)</f>
        <v>FR76578200693</v>
      </c>
      <c r="Q160" s="24" t="str">
        <f>VLOOKUP(D160,records!$A:$V,12,FALSE)</f>
        <v>57 820 069 300 070</v>
      </c>
      <c r="R160" s="24" t="s">
        <v>1220</v>
      </c>
      <c r="S160" s="24" t="str">
        <f>VLOOKUP(D160,records!$A:$U,19,FALSE)</f>
        <v>facturation.fournisseur@comatelec.fr</v>
      </c>
      <c r="T160" s="26" t="s">
        <v>1221</v>
      </c>
      <c r="U160" s="26" t="s">
        <v>1222</v>
      </c>
      <c r="V160" s="26" t="str">
        <f>VLOOKUP($D160,records!$A:$V,3,FALSE)</f>
        <v>COMATELEC SCHREDER sas</v>
      </c>
      <c r="W160" s="26" t="str">
        <f>IFERROR(VLOOKUP($D160,records!$A:$V,6,FALSE),)</f>
        <v>Département RH</v>
      </c>
      <c r="X160" s="26" t="str">
        <f>VLOOKUP($D160,records!$A:$V,9,FALSE)</f>
        <v>10 Allée des Cascades</v>
      </c>
      <c r="Y160" s="26" t="str">
        <f>VLOOKUP($D160,records!$A:$V,4,FALSE)</f>
        <v>VILLEPINTE</v>
      </c>
      <c r="Z160" s="26" t="str">
        <f>VLOOKUP($D160,records!$A:$V,7,FALSE)</f>
        <v>93420</v>
      </c>
      <c r="AA160" s="26" t="s">
        <v>1223</v>
      </c>
      <c r="AB160" s="26">
        <f>VLOOKUP(O160,'records (2)'!$A:$Z,8,FALSE)</f>
        <v>30</v>
      </c>
      <c r="AC160" s="26" t="b">
        <v>0</v>
      </c>
      <c r="AD160" s="26"/>
      <c r="AE160" s="26"/>
      <c r="AF160" s="26" t="str">
        <f>VLOOKUP($D160,records!$A:$V,13,FALSE)</f>
        <v>COMATELEC SCHREDER sas</v>
      </c>
      <c r="AG160" s="26" t="s">
        <v>1226</v>
      </c>
      <c r="AH160" s="26" t="str">
        <f>VLOOKUP($D160,records!$A:$V,19,FALSE)</f>
        <v>facturation.fournisseur@comatelec.fr</v>
      </c>
      <c r="AI160" s="26" t="s">
        <v>1233</v>
      </c>
      <c r="AJ160" s="26" t="str">
        <f>VLOOKUP($O160,'records (2)'!$A:$Z,14,FALSE)</f>
        <v>003IV000010tIiUYAU</v>
      </c>
      <c r="AK160" s="26" t="str">
        <f>VLOOKUP($O160,'records (2)'!$A:$Z,15,FALSE)</f>
        <v>Emmanuella JEANNITON</v>
      </c>
      <c r="AL160" s="26" t="str">
        <f>VLOOKUP($O160,'records (2)'!$A:$Z,10,FALSE)</f>
        <v>003IV000010tIiUYAU</v>
      </c>
      <c r="AM160" s="26" t="str">
        <f>VLOOKUP($O160,'records (2)'!$A:$Z,11,FALSE)</f>
        <v>Emmanuella JEANNITON</v>
      </c>
      <c r="AN160" s="18">
        <v>1</v>
      </c>
      <c r="AO160" s="4">
        <v>500</v>
      </c>
      <c r="AP160" s="4">
        <v>500</v>
      </c>
      <c r="AQ160" s="20"/>
      <c r="AR160" s="6"/>
    </row>
    <row r="161" spans="1:44">
      <c r="A161" s="18" t="s">
        <v>622</v>
      </c>
      <c r="B161" s="18" t="s">
        <v>623</v>
      </c>
      <c r="C161" s="18" t="s">
        <v>624</v>
      </c>
      <c r="D161" s="18" t="s">
        <v>625</v>
      </c>
      <c r="E161" s="18" t="s">
        <v>52</v>
      </c>
      <c r="F161" s="18" t="s">
        <v>53</v>
      </c>
      <c r="G161" s="18"/>
      <c r="H161" s="19" t="s">
        <v>1216</v>
      </c>
      <c r="I161" s="23" t="s">
        <v>1217</v>
      </c>
      <c r="J161" s="24">
        <v>46023</v>
      </c>
      <c r="K161" s="24">
        <v>46387</v>
      </c>
      <c r="L161" s="24" t="s">
        <v>1218</v>
      </c>
      <c r="M161" s="24" t="s">
        <v>1219</v>
      </c>
      <c r="N161" s="24">
        <v>46023</v>
      </c>
      <c r="O161" s="24" t="str">
        <f>VLOOKUP(D161,records!$A:$U,10,FALSE)</f>
        <v>0012p00004UJEQjAAP</v>
      </c>
      <c r="P161" s="24" t="str">
        <f>VLOOKUP(D161,records!$A:$V,20,FALSE)</f>
        <v>FR04316085620</v>
      </c>
      <c r="Q161" s="24" t="str">
        <f>VLOOKUP(D161,records!$A:$V,12,FALSE)</f>
        <v>31 608 562 000 052</v>
      </c>
      <c r="R161" s="24" t="s">
        <v>1220</v>
      </c>
      <c r="S161" s="24" t="str">
        <f>VLOOKUP(D161,records!$A:$U,19,FALSE)</f>
        <v>facture.fournisseur@perrault.fr</v>
      </c>
      <c r="T161" s="26" t="s">
        <v>1221</v>
      </c>
      <c r="U161" s="26" t="s">
        <v>1222</v>
      </c>
      <c r="V161" s="26" t="str">
        <f>VLOOKUP($D161,records!$A:$V,3,FALSE)</f>
        <v>FROMAGERIES PERREAULT sas</v>
      </c>
      <c r="W161" s="26"/>
      <c r="X161" s="26" t="str">
        <f>VLOOKUP($D161,records!$A:$V,9,FALSE)</f>
        <v>Busseau-sur-Creuse</v>
      </c>
      <c r="Y161" s="26" t="str">
        <f>VLOOKUP($D161,records!$A:$V,4,FALSE)</f>
        <v>AHUN</v>
      </c>
      <c r="Z161" s="26" t="str">
        <f>VLOOKUP($D161,records!$A:$V,7,FALSE)</f>
        <v>23150</v>
      </c>
      <c r="AA161" s="26" t="s">
        <v>1223</v>
      </c>
      <c r="AB161" s="26">
        <f>VLOOKUP(O161,'records (2)'!$A:$Z,8,FALSE)</f>
        <v>30</v>
      </c>
      <c r="AC161" s="26" t="b">
        <v>0</v>
      </c>
      <c r="AD161" s="26"/>
      <c r="AE161" s="26"/>
      <c r="AF161" s="26" t="str">
        <f>VLOOKUP($D161,records!$A:$V,13,FALSE)</f>
        <v>FROMAGERIES PERREAULT sas</v>
      </c>
      <c r="AG161" s="26" t="s">
        <v>1226</v>
      </c>
      <c r="AH161" s="26" t="str">
        <f>VLOOKUP($D161,records!$A:$V,19,FALSE)</f>
        <v>facture.fournisseur@perrault.fr</v>
      </c>
      <c r="AI161" s="26" t="s">
        <v>1233</v>
      </c>
      <c r="AJ161" s="26" t="str">
        <f>VLOOKUP($O161,'records (2)'!$A:$Z,14,FALSE)</f>
        <v>003IV000010tPaAYAU</v>
      </c>
      <c r="AK161" s="26" t="str">
        <f>VLOOKUP($O161,'records (2)'!$A:$Z,15,FALSE)</f>
        <v>Marie-Claire OLIVIER</v>
      </c>
      <c r="AL161" s="26" t="str">
        <f>VLOOKUP($O161,'records (2)'!$A:$Z,10,FALSE)</f>
        <v>003IV000010tPaAYAU</v>
      </c>
      <c r="AM161" s="26" t="str">
        <f>VLOOKUP($O161,'records (2)'!$A:$Z,11,FALSE)</f>
        <v>Marie-Claire OLIVIER</v>
      </c>
      <c r="AN161" s="18">
        <v>1</v>
      </c>
      <c r="AO161" s="4">
        <v>500</v>
      </c>
      <c r="AP161" s="4">
        <v>500</v>
      </c>
      <c r="AQ161" s="20">
        <v>0</v>
      </c>
      <c r="AR161" s="6">
        <v>0</v>
      </c>
    </row>
    <row r="162" spans="1:44">
      <c r="A162" s="18" t="s">
        <v>988</v>
      </c>
      <c r="B162" s="18" t="s">
        <v>989</v>
      </c>
      <c r="C162" s="18" t="s">
        <v>990</v>
      </c>
      <c r="D162" s="18" t="s">
        <v>991</v>
      </c>
      <c r="E162" s="18" t="s">
        <v>52</v>
      </c>
      <c r="F162" s="18" t="s">
        <v>53</v>
      </c>
      <c r="G162" s="18"/>
      <c r="H162" s="19" t="s">
        <v>1216</v>
      </c>
      <c r="I162" s="23" t="s">
        <v>1217</v>
      </c>
      <c r="J162" s="24">
        <v>46023</v>
      </c>
      <c r="K162" s="24">
        <v>46387</v>
      </c>
      <c r="L162" s="24" t="s">
        <v>1218</v>
      </c>
      <c r="M162" s="24" t="s">
        <v>1219</v>
      </c>
      <c r="N162" s="24">
        <v>46023</v>
      </c>
      <c r="O162" s="24" t="str">
        <f>VLOOKUP(D162,records!$A:$U,10,FALSE)</f>
        <v>0012p00004RmilzAAB</v>
      </c>
      <c r="P162" s="24" t="str">
        <f>VLOOKUP(D162,records!$A:$V,20,FALSE)</f>
        <v>FR14928843127</v>
      </c>
      <c r="Q162" s="24" t="str">
        <f>VLOOKUP(D162,records!$A:$V,12,FALSE)</f>
        <v>92 884 312 700 020</v>
      </c>
      <c r="R162" s="24" t="s">
        <v>1220</v>
      </c>
      <c r="S162" s="24" t="str">
        <f>VLOOKUP(D162,records!$A:$U,19,FALSE)</f>
        <v>facture@dig.eurolysine.com</v>
      </c>
      <c r="T162" s="26" t="s">
        <v>1221</v>
      </c>
      <c r="U162" s="26" t="s">
        <v>1222</v>
      </c>
      <c r="V162" s="26" t="str">
        <f>VLOOKUP($D162,records!$A:$V,3,FALSE)</f>
        <v>EUROLYSINE sasu</v>
      </c>
      <c r="W162" s="26" t="str">
        <f>IFERROR(VLOOKUP($D162,records!$A:$V,6,FALSE),)</f>
        <v>Ressources Humaines</v>
      </c>
      <c r="X162" s="26" t="str">
        <f>VLOOKUP($D162,records!$A:$V,9,FALSE)</f>
        <v>60 Rue de Vaux - CS 18018</v>
      </c>
      <c r="Y162" s="26" t="str">
        <f>VLOOKUP($D162,records!$A:$V,4,FALSE)</f>
        <v>AMIENS Cedex 2</v>
      </c>
      <c r="Z162" s="26" t="str">
        <f>VLOOKUP($D162,records!$A:$V,7,FALSE)</f>
        <v>80084</v>
      </c>
      <c r="AA162" s="26" t="s">
        <v>1223</v>
      </c>
      <c r="AB162" s="26">
        <f>VLOOKUP(O162,'records (2)'!$A:$Z,8,FALSE)</f>
        <v>30</v>
      </c>
      <c r="AC162" s="26" t="b">
        <f>VLOOKUP(O162,'records (4)'!$A:$C,3,FALSE)</f>
        <v>1</v>
      </c>
      <c r="AD162" s="26" t="s">
        <v>1225</v>
      </c>
      <c r="AE162" s="24">
        <v>46023</v>
      </c>
      <c r="AF162" s="26" t="str">
        <f>VLOOKUP($D162,records!$A:$V,13,FALSE)</f>
        <v>EUROLYSINE sasu</v>
      </c>
      <c r="AG162" s="26" t="s">
        <v>1226</v>
      </c>
      <c r="AH162" s="26" t="str">
        <f>VLOOKUP($D162,records!$A:$V,19,FALSE)</f>
        <v>facture@dig.eurolysine.com</v>
      </c>
      <c r="AI162" s="26" t="s">
        <v>1233</v>
      </c>
      <c r="AJ162" s="26" t="str">
        <f>VLOOKUP($O162,'records (2)'!$A:$Z,14,FALSE)</f>
        <v>003IV000010sqKfYAI</v>
      </c>
      <c r="AK162" s="26" t="str">
        <f>VLOOKUP($O162,'records (2)'!$A:$Z,15,FALSE)</f>
        <v>Angélique CLOP - (comptabilité)</v>
      </c>
      <c r="AL162" s="26" t="str">
        <f>VLOOKUP($O162,'records (2)'!$A:$Z,10,FALSE)</f>
        <v>003IV000010sqKfYAI</v>
      </c>
      <c r="AM162" s="26" t="str">
        <f>VLOOKUP($O162,'records (2)'!$A:$Z,11,FALSE)</f>
        <v>Angélique CLOP - (comptabilité)</v>
      </c>
      <c r="AN162" s="18">
        <v>1</v>
      </c>
      <c r="AO162" s="4">
        <v>500</v>
      </c>
      <c r="AP162" s="4">
        <v>500</v>
      </c>
      <c r="AQ162" s="20">
        <v>0</v>
      </c>
      <c r="AR162" s="6">
        <v>0</v>
      </c>
    </row>
    <row r="163" spans="1:44">
      <c r="A163" s="18" t="s">
        <v>1108</v>
      </c>
      <c r="B163" s="18" t="s">
        <v>1109</v>
      </c>
      <c r="C163" s="18" t="s">
        <v>1109</v>
      </c>
      <c r="D163" s="18" t="s">
        <v>1110</v>
      </c>
      <c r="E163" s="18" t="s">
        <v>16</v>
      </c>
      <c r="F163" s="18" t="s">
        <v>17</v>
      </c>
      <c r="G163" s="18"/>
      <c r="H163" s="19" t="s">
        <v>1216</v>
      </c>
      <c r="I163" s="23" t="s">
        <v>1217</v>
      </c>
      <c r="J163" s="24">
        <v>46023</v>
      </c>
      <c r="K163" s="24">
        <v>46387</v>
      </c>
      <c r="L163" s="24" t="s">
        <v>1218</v>
      </c>
      <c r="M163" s="24" t="s">
        <v>1219</v>
      </c>
      <c r="N163" s="24">
        <v>46023</v>
      </c>
      <c r="O163" s="24" t="str">
        <f>VLOOKUP(D163,records!$A:$U,10,FALSE)</f>
        <v>001SZ000000rMTqYAM</v>
      </c>
      <c r="P163" s="24" t="str">
        <f>VLOOKUP(D163,records!$A:$V,20,FALSE)</f>
        <v>FR06337986798</v>
      </c>
      <c r="Q163" s="24" t="str">
        <f>VLOOKUP(D163,records!$A:$V,12,FALSE)</f>
        <v>33 798 679 800 029</v>
      </c>
      <c r="R163" s="24" t="s">
        <v>1220</v>
      </c>
      <c r="S163" s="24" t="str">
        <f>VLOOKUP(D163,records!$A:$U,19,FALSE)</f>
        <v>facture@nutriset.fr</v>
      </c>
      <c r="T163" s="26" t="s">
        <v>1221</v>
      </c>
      <c r="U163" s="26" t="s">
        <v>1222</v>
      </c>
      <c r="V163" s="26" t="str">
        <f>VLOOKUP($D163,records!$A:$V,3,FALSE)</f>
        <v>NUTRISET sas</v>
      </c>
      <c r="W163" s="26"/>
      <c r="X163" s="26" t="str">
        <f>VLOOKUP($D163,records!$A:$V,9,FALSE)</f>
        <v>Route du Bois Ricard</v>
      </c>
      <c r="Y163" s="26" t="str">
        <f>VLOOKUP($D163,records!$A:$V,4,FALSE)</f>
        <v>MALAUNAY</v>
      </c>
      <c r="Z163" s="26" t="str">
        <f>VLOOKUP($D163,records!$A:$V,7,FALSE)</f>
        <v>76770</v>
      </c>
      <c r="AA163" s="26" t="s">
        <v>1223</v>
      </c>
      <c r="AB163" s="26">
        <f>VLOOKUP(O163,'records (2)'!$A:$Z,8,FALSE)</f>
        <v>30</v>
      </c>
      <c r="AC163" s="26" t="b">
        <v>0</v>
      </c>
      <c r="AD163" s="26"/>
      <c r="AE163" s="26"/>
      <c r="AF163" s="26" t="str">
        <f>VLOOKUP($D163,records!$A:$V,13,FALSE)</f>
        <v>NUTRISET sas</v>
      </c>
      <c r="AG163" s="26" t="s">
        <v>1226</v>
      </c>
      <c r="AH163" s="26" t="str">
        <f>VLOOKUP($D163,records!$A:$V,19,FALSE)</f>
        <v>facture@nutriset.fr</v>
      </c>
      <c r="AI163" s="26" t="s">
        <v>1233</v>
      </c>
      <c r="AJ163" s="26" t="str">
        <f>VLOOKUP($O163,'records (2)'!$A:$Z,14,FALSE)</f>
        <v>003IV000010t9wzYAA</v>
      </c>
      <c r="AK163" s="26" t="str">
        <f>VLOOKUP($O163,'records (2)'!$A:$Z,15,FALSE)</f>
        <v>Isabelle DELAMARRE</v>
      </c>
      <c r="AL163" s="26" t="str">
        <f>VLOOKUP($O163,'records (2)'!$A:$Z,10,FALSE)</f>
        <v>003IV000010t9wzYAA</v>
      </c>
      <c r="AM163" s="26" t="str">
        <f>VLOOKUP($O163,'records (2)'!$A:$Z,11,FALSE)</f>
        <v>Isabelle DELAMARRE</v>
      </c>
      <c r="AN163" s="18">
        <v>1</v>
      </c>
      <c r="AO163" s="4">
        <v>2000</v>
      </c>
      <c r="AP163" s="4">
        <v>2000</v>
      </c>
      <c r="AQ163" s="20">
        <v>0</v>
      </c>
      <c r="AR163" s="6">
        <v>0</v>
      </c>
    </row>
    <row r="164" spans="1:44">
      <c r="A164" s="18" t="s">
        <v>859</v>
      </c>
      <c r="B164" s="18" t="s">
        <v>860</v>
      </c>
      <c r="C164" s="18" t="s">
        <v>861</v>
      </c>
      <c r="D164" s="18" t="s">
        <v>862</v>
      </c>
      <c r="E164" s="18" t="s">
        <v>52</v>
      </c>
      <c r="F164" s="18" t="s">
        <v>53</v>
      </c>
      <c r="G164" s="18"/>
      <c r="H164" s="19" t="s">
        <v>1216</v>
      </c>
      <c r="I164" s="23" t="s">
        <v>1217</v>
      </c>
      <c r="J164" s="24">
        <v>46023</v>
      </c>
      <c r="K164" s="24">
        <v>46387</v>
      </c>
      <c r="L164" s="24" t="s">
        <v>1218</v>
      </c>
      <c r="M164" s="24" t="s">
        <v>1219</v>
      </c>
      <c r="N164" s="24">
        <v>46023</v>
      </c>
      <c r="O164" s="24" t="str">
        <f>VLOOKUP(D164,records!$A:$U,10,FALSE)</f>
        <v>0012p00004RLmOTAA1</v>
      </c>
      <c r="P164" s="24" t="str">
        <f>VLOOKUP(D164,records!$A:$V,20,FALSE)</f>
        <v>FR26323962092</v>
      </c>
      <c r="Q164" s="24" t="str">
        <f>VLOOKUP(D164,records!$A:$V,12,FALSE)</f>
        <v>32 582 075 100 080</v>
      </c>
      <c r="R164" s="24" t="s">
        <v>1220</v>
      </c>
      <c r="S164" s="24" t="str">
        <f>VLOOKUP(D164,records!$A:$U,19,FALSE)</f>
        <v>facturefournisseur.pdf@adeccogroup.com</v>
      </c>
      <c r="T164" s="26" t="s">
        <v>1221</v>
      </c>
      <c r="U164" s="26" t="s">
        <v>1222</v>
      </c>
      <c r="V164" s="26" t="str">
        <f>VLOOKUP($D164,records!$A:$V,3,FALSE)</f>
        <v>PONTOON sasu</v>
      </c>
      <c r="W164" s="26" t="str">
        <f>IFERROR(VLOOKUP($D164,records!$A:$V,6,FALSE),)</f>
        <v>Comptabilité Fournisseur    Code analytique: A03</v>
      </c>
      <c r="X164" s="26" t="str">
        <f>VLOOKUP($D164,records!$A:$V,9,FALSE)</f>
        <v>TSA 30014</v>
      </c>
      <c r="Y164" s="26" t="str">
        <f>VLOOKUP($D164,records!$A:$V,4,FALSE)</f>
        <v>LYON CEDEX 07</v>
      </c>
      <c r="Z164" s="26" t="str">
        <f>VLOOKUP($D164,records!$A:$V,7,FALSE)</f>
        <v>69407</v>
      </c>
      <c r="AA164" s="26" t="s">
        <v>1223</v>
      </c>
      <c r="AB164" s="26">
        <f>VLOOKUP(O164,'records (2)'!$A:$Z,8,FALSE)</f>
        <v>30</v>
      </c>
      <c r="AC164" s="26" t="b">
        <v>0</v>
      </c>
      <c r="AD164" s="26"/>
      <c r="AE164" s="26"/>
      <c r="AF164" s="26" t="str">
        <f>VLOOKUP($D164,records!$A:$V,13,FALSE)</f>
        <v>PONTOON sasu - Comptabilité Fournisseur</v>
      </c>
      <c r="AG164" s="26" t="s">
        <v>1226</v>
      </c>
      <c r="AH164" s="26" t="str">
        <f>VLOOKUP($D164,records!$A:$V,19,FALSE)</f>
        <v>facturefournisseur.pdf@adeccogroup.com</v>
      </c>
      <c r="AI164" s="26" t="s">
        <v>1233</v>
      </c>
      <c r="AJ164" s="26" t="str">
        <f>VLOOKUP($O164,'records (2)'!$A:$Z,14,FALSE)</f>
        <v>003IV000010scriYAA</v>
      </c>
      <c r="AK164" s="26" t="str">
        <f>VLOOKUP($O164,'records (2)'!$A:$Z,15,FALSE)</f>
        <v>Jack DUDA</v>
      </c>
      <c r="AL164" s="26" t="str">
        <f>VLOOKUP($O164,'records (2)'!$A:$Z,10,FALSE)</f>
        <v>003IV000010scriYAA</v>
      </c>
      <c r="AM164" s="26" t="str">
        <f>VLOOKUP($O164,'records (2)'!$A:$Z,11,FALSE)</f>
        <v>Jack DUDA</v>
      </c>
      <c r="AN164" s="18">
        <v>1</v>
      </c>
      <c r="AO164" s="4">
        <v>500</v>
      </c>
      <c r="AP164" s="4">
        <v>500</v>
      </c>
      <c r="AQ164" s="20">
        <v>0</v>
      </c>
      <c r="AR164" s="6">
        <v>0</v>
      </c>
    </row>
    <row r="165" spans="1:44">
      <c r="A165" s="18" t="s">
        <v>1025</v>
      </c>
      <c r="B165" s="18" t="s">
        <v>1026</v>
      </c>
      <c r="C165" s="18" t="s">
        <v>1027</v>
      </c>
      <c r="D165" s="18" t="s">
        <v>1028</v>
      </c>
      <c r="E165" s="18" t="s">
        <v>52</v>
      </c>
      <c r="F165" s="18" t="s">
        <v>53</v>
      </c>
      <c r="G165" s="18"/>
      <c r="H165" s="19" t="s">
        <v>1216</v>
      </c>
      <c r="I165" s="23" t="s">
        <v>1217</v>
      </c>
      <c r="J165" s="24">
        <v>46023</v>
      </c>
      <c r="K165" s="24">
        <v>46387</v>
      </c>
      <c r="L165" s="24" t="s">
        <v>1218</v>
      </c>
      <c r="M165" s="24" t="s">
        <v>1219</v>
      </c>
      <c r="N165" s="24">
        <v>46023</v>
      </c>
      <c r="O165" s="24" t="str">
        <f>VLOOKUP(D165,records!$A:$U,10,FALSE)</f>
        <v>001SZ000004LSLbYAO</v>
      </c>
      <c r="P165" s="24" t="str">
        <f>VLOOKUP(D165,records!$A:$V,20,FALSE)</f>
        <v>FR30327336012</v>
      </c>
      <c r="Q165" s="24" t="str">
        <f>VLOOKUP(D165,records!$A:$V,12,FALSE)</f>
        <v>32 733 601 200 189</v>
      </c>
      <c r="R165" s="24" t="s">
        <v>1220</v>
      </c>
      <c r="S165" s="24" t="str">
        <f>VLOOKUP(D165,records!$A:$U,19,FALSE)</f>
        <v>facturefournisseur.pdf@adeccogroup.com</v>
      </c>
      <c r="T165" s="26" t="s">
        <v>1221</v>
      </c>
      <c r="U165" s="26" t="s">
        <v>1222</v>
      </c>
      <c r="V165" s="26" t="str">
        <f>VLOOKUP($D165,records!$A:$V,3,FALSE)</f>
        <v>ADECCO OUTSOURCING sasu</v>
      </c>
      <c r="W165" s="26" t="str">
        <f>IFERROR(VLOOKUP($D165,records!$A:$V,6,FALSE),)</f>
        <v>G010</v>
      </c>
      <c r="X165" s="26" t="str">
        <f>VLOOKUP($D165,records!$A:$V,9,FALSE)</f>
        <v>2 Rue Henri Legay</v>
      </c>
      <c r="Y165" s="26" t="str">
        <f>VLOOKUP($D165,records!$A:$V,4,FALSE)</f>
        <v>VILLEURBANNE</v>
      </c>
      <c r="Z165" s="26" t="str">
        <f>VLOOKUP($D165,records!$A:$V,7,FALSE)</f>
        <v>69100</v>
      </c>
      <c r="AA165" s="26" t="s">
        <v>1223</v>
      </c>
      <c r="AB165" s="26">
        <f>VLOOKUP(O165,'records (2)'!$A:$Z,8,FALSE)</f>
        <v>30</v>
      </c>
      <c r="AC165" s="26" t="b">
        <v>0</v>
      </c>
      <c r="AD165" s="26"/>
      <c r="AE165" s="26"/>
      <c r="AF165" s="26" t="str">
        <f>VLOOKUP($D165,records!$A:$V,13,FALSE)</f>
        <v>ADECCO OUTSOURCING</v>
      </c>
      <c r="AG165" s="26" t="s">
        <v>1226</v>
      </c>
      <c r="AH165" s="26" t="str">
        <f>VLOOKUP($D165,records!$A:$V,19,FALSE)</f>
        <v>facturefournisseur.pdf@adeccogroup.com</v>
      </c>
      <c r="AI165" s="26" t="s">
        <v>1233</v>
      </c>
      <c r="AJ165" s="26" t="str">
        <f>VLOOKUP($O165,'records (2)'!$A:$Z,14,FALSE)</f>
        <v>003IV000010su8bYAA</v>
      </c>
      <c r="AK165" s="26" t="str">
        <f>VLOOKUP($O165,'records (2)'!$A:$Z,15,FALSE)</f>
        <v>Antonin BEIGBEDER</v>
      </c>
      <c r="AL165" s="26" t="str">
        <f>VLOOKUP($O165,'records (2)'!$A:$Z,10,FALSE)</f>
        <v>003IV000010su8bYAA</v>
      </c>
      <c r="AM165" s="26" t="str">
        <f>VLOOKUP($O165,'records (2)'!$A:$Z,11,FALSE)</f>
        <v>Antonin BEIGBEDER</v>
      </c>
      <c r="AN165" s="18">
        <v>1</v>
      </c>
      <c r="AO165" s="4">
        <v>1000</v>
      </c>
      <c r="AP165" s="4">
        <v>1000</v>
      </c>
      <c r="AQ165" s="20">
        <v>0</v>
      </c>
      <c r="AR165" s="6">
        <v>0</v>
      </c>
    </row>
    <row r="166" spans="1:44">
      <c r="A166" s="11" t="s">
        <v>508</v>
      </c>
      <c r="B166" s="11" t="s">
        <v>509</v>
      </c>
      <c r="C166" s="11" t="s">
        <v>509</v>
      </c>
      <c r="D166" s="22" t="s">
        <v>1240</v>
      </c>
      <c r="E166" s="11" t="s">
        <v>447</v>
      </c>
      <c r="F166" s="11" t="s">
        <v>448</v>
      </c>
      <c r="G166" s="22" t="s">
        <v>509</v>
      </c>
      <c r="H166" s="19" t="s">
        <v>1216</v>
      </c>
      <c r="I166" s="23" t="s">
        <v>1217</v>
      </c>
      <c r="J166" s="24">
        <v>46023</v>
      </c>
      <c r="K166" s="24">
        <v>46387</v>
      </c>
      <c r="L166" s="24" t="s">
        <v>1218</v>
      </c>
      <c r="M166" s="24" t="s">
        <v>1219</v>
      </c>
      <c r="N166" s="24">
        <v>46023</v>
      </c>
      <c r="O166" s="24" t="str">
        <f>VLOOKUP(D166,records!$A:$U,10,FALSE)</f>
        <v>001200000027VD7AAM</v>
      </c>
      <c r="P166" s="24" t="str">
        <f>VLOOKUP(D166,records!$A:$V,20,FALSE)</f>
        <v>FR68998823504</v>
      </c>
      <c r="Q166" s="24" t="str">
        <f>VLOOKUP(D166,records!$A:$V,12,FALSE)</f>
        <v>99882350406396</v>
      </c>
      <c r="R166" s="24" t="s">
        <v>1220</v>
      </c>
      <c r="S166" s="24" t="str">
        <f>VLOOKUP(D166,records!$A:$U,19,FALSE)</f>
        <v>facturefournisseur.pdf@adeccogroup.com</v>
      </c>
      <c r="T166" s="26" t="s">
        <v>1221</v>
      </c>
      <c r="U166" s="26" t="s">
        <v>1222</v>
      </c>
      <c r="V166" s="26" t="str">
        <f>VLOOKUP($D166,records!$A:$V,3,FALSE)</f>
        <v>ADECCO FRANCE</v>
      </c>
      <c r="W166" s="26" t="str">
        <f>IFERROR(VLOOKUP($D166,records!$A:$V,6,FALSE),)</f>
        <v>Service fournisseurs - Code analytique DSI</v>
      </c>
      <c r="X166" s="26" t="str">
        <f>VLOOKUP($D166,records!$A:$V,9,FALSE)</f>
        <v>TSA 80010</v>
      </c>
      <c r="Y166" s="26" t="str">
        <f>VLOOKUP($D166,records!$A:$V,4,FALSE)</f>
        <v>LYON Cedex</v>
      </c>
      <c r="Z166" s="26" t="str">
        <f>VLOOKUP($D166,records!$A:$V,7,FALSE)</f>
        <v>69307</v>
      </c>
      <c r="AA166" s="26" t="s">
        <v>1223</v>
      </c>
      <c r="AB166" s="26">
        <f>VLOOKUP(O166,'records (2)'!$A:$Z,8,FALSE)</f>
        <v>45</v>
      </c>
      <c r="AC166" s="26" t="b">
        <v>0</v>
      </c>
      <c r="AD166" s="26"/>
      <c r="AE166" s="26"/>
      <c r="AF166" s="26" t="str">
        <f>VLOOKUP($D166,records!$A:$V,13,FALSE)</f>
        <v>ADECCO FRANCE</v>
      </c>
      <c r="AG166" s="26" t="s">
        <v>1226</v>
      </c>
      <c r="AH166" s="26" t="str">
        <f>VLOOKUP($D166,records!$A:$V,19,FALSE)</f>
        <v>facturefournisseur.pdf@adeccogroup.com</v>
      </c>
      <c r="AI166" s="26" t="s">
        <v>1233</v>
      </c>
      <c r="AJ166" s="26" t="str">
        <f>VLOOKUP($O166,'records (2)'!$A:$Z,14,FALSE)</f>
        <v>003IV000010rePGYAY</v>
      </c>
      <c r="AK166" s="26" t="str">
        <f>VLOOKUP($O166,'records (2)'!$A:$Z,15,FALSE)</f>
        <v>Benoit DE MERSSEMAN</v>
      </c>
      <c r="AL166" s="26" t="str">
        <f>VLOOKUP($O166,'records (2)'!$A:$Z,10,FALSE)</f>
        <v>003IV000010scsHYAQ</v>
      </c>
      <c r="AM166" s="26" t="str">
        <f>VLOOKUP($O166,'records (2)'!$A:$Z,11,FALSE)</f>
        <v>Compta Fournisseur ADECCO - AGF - OEM et PONTOON</v>
      </c>
      <c r="AN166" s="11">
        <v>1</v>
      </c>
      <c r="AO166" s="16">
        <v>500</v>
      </c>
      <c r="AP166" s="16">
        <v>500</v>
      </c>
      <c r="AQ166" s="9" t="s">
        <v>449</v>
      </c>
      <c r="AR166" s="6">
        <v>0</v>
      </c>
    </row>
    <row r="167" spans="1:44">
      <c r="A167" s="11" t="s">
        <v>736</v>
      </c>
      <c r="B167" s="11" t="s">
        <v>737</v>
      </c>
      <c r="C167" s="11" t="s">
        <v>737</v>
      </c>
      <c r="D167" s="22" t="s">
        <v>1240</v>
      </c>
      <c r="E167" s="11" t="s">
        <v>447</v>
      </c>
      <c r="F167" s="11" t="s">
        <v>448</v>
      </c>
      <c r="G167" s="22" t="s">
        <v>737</v>
      </c>
      <c r="H167" s="19" t="s">
        <v>1216</v>
      </c>
      <c r="I167" s="23" t="s">
        <v>1217</v>
      </c>
      <c r="J167" s="24">
        <v>46023</v>
      </c>
      <c r="K167" s="24">
        <v>46387</v>
      </c>
      <c r="L167" s="24" t="s">
        <v>1218</v>
      </c>
      <c r="M167" s="24" t="s">
        <v>1219</v>
      </c>
      <c r="N167" s="24">
        <v>46023</v>
      </c>
      <c r="O167" s="24" t="str">
        <f>VLOOKUP(D167,records!$A:$U,10,FALSE)</f>
        <v>001200000027VD7AAM</v>
      </c>
      <c r="P167" s="24" t="str">
        <f>VLOOKUP(D167,records!$A:$V,20,FALSE)</f>
        <v>FR68998823504</v>
      </c>
      <c r="Q167" s="24" t="str">
        <f>VLOOKUP(D167,records!$A:$V,12,FALSE)</f>
        <v>99882350406396</v>
      </c>
      <c r="R167" s="24" t="s">
        <v>1220</v>
      </c>
      <c r="S167" s="24" t="str">
        <f>VLOOKUP(D167,records!$A:$U,19,FALSE)</f>
        <v>facturefournisseur.pdf@adeccogroup.com</v>
      </c>
      <c r="T167" s="26" t="s">
        <v>1221</v>
      </c>
      <c r="U167" s="26" t="s">
        <v>1222</v>
      </c>
      <c r="V167" s="26" t="str">
        <f>VLOOKUP($D167,records!$A:$V,3,FALSE)</f>
        <v>ADECCO FRANCE</v>
      </c>
      <c r="W167" s="26" t="str">
        <f>IFERROR(VLOOKUP($D167,records!$A:$V,6,FALSE),)</f>
        <v>Service fournisseurs - Code analytique DSI</v>
      </c>
      <c r="X167" s="26" t="str">
        <f>VLOOKUP($D167,records!$A:$V,9,FALSE)</f>
        <v>TSA 80010</v>
      </c>
      <c r="Y167" s="26" t="str">
        <f>VLOOKUP($D167,records!$A:$V,4,FALSE)</f>
        <v>LYON Cedex</v>
      </c>
      <c r="Z167" s="26" t="str">
        <f>VLOOKUP($D167,records!$A:$V,7,FALSE)</f>
        <v>69307</v>
      </c>
      <c r="AA167" s="26" t="s">
        <v>1223</v>
      </c>
      <c r="AB167" s="26">
        <f>VLOOKUP(O167,'records (2)'!$A:$Z,8,FALSE)</f>
        <v>45</v>
      </c>
      <c r="AC167" s="26" t="b">
        <v>0</v>
      </c>
      <c r="AD167" s="26"/>
      <c r="AE167" s="26"/>
      <c r="AF167" s="26" t="str">
        <f>VLOOKUP($D167,records!$A:$V,13,FALSE)</f>
        <v>ADECCO FRANCE</v>
      </c>
      <c r="AG167" s="26" t="s">
        <v>1226</v>
      </c>
      <c r="AH167" s="26" t="str">
        <f>VLOOKUP($D167,records!$A:$V,19,FALSE)</f>
        <v>facturefournisseur.pdf@adeccogroup.com</v>
      </c>
      <c r="AI167" s="26" t="s">
        <v>1233</v>
      </c>
      <c r="AJ167" s="26" t="str">
        <f>VLOOKUP($O167,'records (2)'!$A:$Z,14,FALSE)</f>
        <v>003IV000010rePGYAY</v>
      </c>
      <c r="AK167" s="26" t="str">
        <f>VLOOKUP($O167,'records (2)'!$A:$Z,15,FALSE)</f>
        <v>Benoit DE MERSSEMAN</v>
      </c>
      <c r="AL167" s="26" t="str">
        <f>VLOOKUP($O167,'records (2)'!$A:$Z,10,FALSE)</f>
        <v>003IV000010scsHYAQ</v>
      </c>
      <c r="AM167" s="26" t="str">
        <f>VLOOKUP($O167,'records (2)'!$A:$Z,11,FALSE)</f>
        <v>Compta Fournisseur ADECCO - AGF - OEM et PONTOON</v>
      </c>
      <c r="AN167" s="11">
        <v>1</v>
      </c>
      <c r="AO167" s="16">
        <v>500</v>
      </c>
      <c r="AP167" s="16">
        <v>500</v>
      </c>
      <c r="AQ167" s="9" t="s">
        <v>449</v>
      </c>
      <c r="AR167" s="6" t="s">
        <v>736</v>
      </c>
    </row>
    <row r="168" spans="1:44">
      <c r="A168" s="11" t="s">
        <v>736</v>
      </c>
      <c r="B168" s="11" t="s">
        <v>1013</v>
      </c>
      <c r="C168" s="11" t="s">
        <v>1013</v>
      </c>
      <c r="D168" s="22" t="s">
        <v>1240</v>
      </c>
      <c r="E168" s="11" t="s">
        <v>447</v>
      </c>
      <c r="F168" s="11" t="s">
        <v>448</v>
      </c>
      <c r="G168" s="22" t="s">
        <v>1013</v>
      </c>
      <c r="H168" s="19" t="s">
        <v>1216</v>
      </c>
      <c r="I168" s="23" t="s">
        <v>1217</v>
      </c>
      <c r="J168" s="24">
        <v>46023</v>
      </c>
      <c r="K168" s="24">
        <v>46387</v>
      </c>
      <c r="L168" s="24" t="s">
        <v>1218</v>
      </c>
      <c r="M168" s="24" t="s">
        <v>1219</v>
      </c>
      <c r="N168" s="24">
        <v>46023</v>
      </c>
      <c r="O168" s="24" t="str">
        <f>VLOOKUP(D168,records!$A:$U,10,FALSE)</f>
        <v>001200000027VD7AAM</v>
      </c>
      <c r="P168" s="24" t="str">
        <f>VLOOKUP(D168,records!$A:$V,20,FALSE)</f>
        <v>FR68998823504</v>
      </c>
      <c r="Q168" s="24" t="str">
        <f>VLOOKUP(D168,records!$A:$V,12,FALSE)</f>
        <v>99882350406396</v>
      </c>
      <c r="R168" s="24" t="s">
        <v>1220</v>
      </c>
      <c r="S168" s="24" t="str">
        <f>VLOOKUP(D168,records!$A:$U,19,FALSE)</f>
        <v>facturefournisseur.pdf@adeccogroup.com</v>
      </c>
      <c r="T168" s="26" t="s">
        <v>1221</v>
      </c>
      <c r="U168" s="26" t="s">
        <v>1222</v>
      </c>
      <c r="V168" s="26" t="str">
        <f>VLOOKUP($D168,records!$A:$V,3,FALSE)</f>
        <v>ADECCO FRANCE</v>
      </c>
      <c r="W168" s="26" t="str">
        <f>IFERROR(VLOOKUP($D168,records!$A:$V,6,FALSE),)</f>
        <v>Service fournisseurs - Code analytique DSI</v>
      </c>
      <c r="X168" s="26" t="str">
        <f>VLOOKUP($D168,records!$A:$V,9,FALSE)</f>
        <v>TSA 80010</v>
      </c>
      <c r="Y168" s="26" t="str">
        <f>VLOOKUP($D168,records!$A:$V,4,FALSE)</f>
        <v>LYON Cedex</v>
      </c>
      <c r="Z168" s="26" t="str">
        <f>VLOOKUP($D168,records!$A:$V,7,FALSE)</f>
        <v>69307</v>
      </c>
      <c r="AA168" s="26" t="s">
        <v>1223</v>
      </c>
      <c r="AB168" s="26">
        <f>VLOOKUP(O168,'records (2)'!$A:$Z,8,FALSE)</f>
        <v>45</v>
      </c>
      <c r="AC168" s="26" t="b">
        <v>0</v>
      </c>
      <c r="AD168" s="26"/>
      <c r="AE168" s="26"/>
      <c r="AF168" s="26" t="str">
        <f>VLOOKUP($D168,records!$A:$V,13,FALSE)</f>
        <v>ADECCO FRANCE</v>
      </c>
      <c r="AG168" s="26" t="s">
        <v>1226</v>
      </c>
      <c r="AH168" s="26" t="str">
        <f>VLOOKUP($D168,records!$A:$V,19,FALSE)</f>
        <v>facturefournisseur.pdf@adeccogroup.com</v>
      </c>
      <c r="AI168" s="26" t="s">
        <v>1233</v>
      </c>
      <c r="AJ168" s="26" t="str">
        <f>VLOOKUP($O168,'records (2)'!$A:$Z,14,FALSE)</f>
        <v>003IV000010rePGYAY</v>
      </c>
      <c r="AK168" s="26" t="str">
        <f>VLOOKUP($O168,'records (2)'!$A:$Z,15,FALSE)</f>
        <v>Benoit DE MERSSEMAN</v>
      </c>
      <c r="AL168" s="26" t="str">
        <f>VLOOKUP($O168,'records (2)'!$A:$Z,10,FALSE)</f>
        <v>003IV000010scsHYAQ</v>
      </c>
      <c r="AM168" s="26" t="str">
        <f>VLOOKUP($O168,'records (2)'!$A:$Z,11,FALSE)</f>
        <v>Compta Fournisseur ADECCO - AGF - OEM et PONTOON</v>
      </c>
      <c r="AN168" s="11">
        <v>1</v>
      </c>
      <c r="AO168" s="16">
        <v>3500</v>
      </c>
      <c r="AP168" s="16">
        <v>3500</v>
      </c>
      <c r="AQ168" s="9" t="s">
        <v>449</v>
      </c>
      <c r="AR168" s="6">
        <v>0</v>
      </c>
    </row>
    <row r="169" spans="1:44">
      <c r="A169" s="11" t="s">
        <v>1077</v>
      </c>
      <c r="B169" s="11" t="s">
        <v>1078</v>
      </c>
      <c r="C169" s="11" t="s">
        <v>1078</v>
      </c>
      <c r="D169" s="22" t="s">
        <v>1240</v>
      </c>
      <c r="E169" s="11" t="s">
        <v>52</v>
      </c>
      <c r="F169" s="11" t="s">
        <v>53</v>
      </c>
      <c r="G169" s="22" t="s">
        <v>1078</v>
      </c>
      <c r="H169" s="19" t="s">
        <v>1216</v>
      </c>
      <c r="I169" s="23" t="s">
        <v>1217</v>
      </c>
      <c r="J169" s="24">
        <v>46023</v>
      </c>
      <c r="K169" s="24">
        <v>46387</v>
      </c>
      <c r="L169" s="24" t="s">
        <v>1218</v>
      </c>
      <c r="M169" s="24" t="s">
        <v>1219</v>
      </c>
      <c r="N169" s="24">
        <v>46023</v>
      </c>
      <c r="O169" s="24" t="str">
        <f>VLOOKUP(D169,records!$A:$U,10,FALSE)</f>
        <v>001200000027VD7AAM</v>
      </c>
      <c r="P169" s="24" t="str">
        <f>VLOOKUP(D169,records!$A:$V,20,FALSE)</f>
        <v>FR68998823504</v>
      </c>
      <c r="Q169" s="24" t="str">
        <f>VLOOKUP(D169,records!$A:$V,12,FALSE)</f>
        <v>99882350406396</v>
      </c>
      <c r="R169" s="24" t="s">
        <v>1220</v>
      </c>
      <c r="S169" s="24" t="str">
        <f>VLOOKUP(D169,records!$A:$U,19,FALSE)</f>
        <v>facturefournisseur.pdf@adeccogroup.com</v>
      </c>
      <c r="T169" s="26" t="s">
        <v>1221</v>
      </c>
      <c r="U169" s="26" t="s">
        <v>1222</v>
      </c>
      <c r="V169" s="26" t="str">
        <f>VLOOKUP($D169,records!$A:$V,3,FALSE)</f>
        <v>ADECCO FRANCE</v>
      </c>
      <c r="W169" s="26" t="str">
        <f>IFERROR(VLOOKUP($D169,records!$A:$V,6,FALSE),)</f>
        <v>Service fournisseurs - Code analytique DSI</v>
      </c>
      <c r="X169" s="26" t="str">
        <f>VLOOKUP($D169,records!$A:$V,9,FALSE)</f>
        <v>TSA 80010</v>
      </c>
      <c r="Y169" s="26" t="str">
        <f>VLOOKUP($D169,records!$A:$V,4,FALSE)</f>
        <v>LYON Cedex</v>
      </c>
      <c r="Z169" s="26" t="str">
        <f>VLOOKUP($D169,records!$A:$V,7,FALSE)</f>
        <v>69307</v>
      </c>
      <c r="AA169" s="26" t="s">
        <v>1223</v>
      </c>
      <c r="AB169" s="26">
        <f>VLOOKUP(O169,'records (2)'!$A:$Z,8,FALSE)</f>
        <v>45</v>
      </c>
      <c r="AC169" s="26" t="b">
        <v>0</v>
      </c>
      <c r="AD169" s="26"/>
      <c r="AE169" s="26"/>
      <c r="AF169" s="26" t="str">
        <f>VLOOKUP($D169,records!$A:$V,13,FALSE)</f>
        <v>ADECCO FRANCE</v>
      </c>
      <c r="AG169" s="26" t="s">
        <v>1226</v>
      </c>
      <c r="AH169" s="26" t="str">
        <f>VLOOKUP($D169,records!$A:$V,19,FALSE)</f>
        <v>facturefournisseur.pdf@adeccogroup.com</v>
      </c>
      <c r="AI169" s="26" t="s">
        <v>1233</v>
      </c>
      <c r="AJ169" s="26" t="str">
        <f>VLOOKUP($O169,'records (2)'!$A:$Z,14,FALSE)</f>
        <v>003IV000010rePGYAY</v>
      </c>
      <c r="AK169" s="26" t="str">
        <f>VLOOKUP($O169,'records (2)'!$A:$Z,15,FALSE)</f>
        <v>Benoit DE MERSSEMAN</v>
      </c>
      <c r="AL169" s="26" t="str">
        <f>VLOOKUP($O169,'records (2)'!$A:$Z,10,FALSE)</f>
        <v>003IV000010scsHYAQ</v>
      </c>
      <c r="AM169" s="26" t="str">
        <f>VLOOKUP($O169,'records (2)'!$A:$Z,11,FALSE)</f>
        <v>Compta Fournisseur ADECCO - AGF - OEM et PONTOON</v>
      </c>
      <c r="AN169" s="11">
        <v>1</v>
      </c>
      <c r="AO169" s="16">
        <v>3500</v>
      </c>
      <c r="AP169" s="16">
        <v>3500</v>
      </c>
      <c r="AQ169" s="9" t="s">
        <v>449</v>
      </c>
      <c r="AR169" s="6">
        <v>0</v>
      </c>
    </row>
    <row r="170" spans="1:44">
      <c r="A170" s="11" t="s">
        <v>1080</v>
      </c>
      <c r="B170" s="11" t="s">
        <v>1081</v>
      </c>
      <c r="C170" s="11" t="s">
        <v>1081</v>
      </c>
      <c r="D170" s="22" t="s">
        <v>1240</v>
      </c>
      <c r="E170" s="11" t="s">
        <v>447</v>
      </c>
      <c r="F170" s="11" t="s">
        <v>448</v>
      </c>
      <c r="G170" s="22" t="s">
        <v>1081</v>
      </c>
      <c r="H170" s="19" t="s">
        <v>1216</v>
      </c>
      <c r="I170" s="23" t="s">
        <v>1217</v>
      </c>
      <c r="J170" s="24">
        <v>46023</v>
      </c>
      <c r="K170" s="24">
        <v>46387</v>
      </c>
      <c r="L170" s="24" t="s">
        <v>1218</v>
      </c>
      <c r="M170" s="24" t="s">
        <v>1219</v>
      </c>
      <c r="N170" s="24">
        <v>46023</v>
      </c>
      <c r="O170" s="24" t="str">
        <f>VLOOKUP(D170,records!$A:$U,10,FALSE)</f>
        <v>001200000027VD7AAM</v>
      </c>
      <c r="P170" s="24" t="str">
        <f>VLOOKUP(D170,records!$A:$V,20,FALSE)</f>
        <v>FR68998823504</v>
      </c>
      <c r="Q170" s="24" t="str">
        <f>VLOOKUP(D170,records!$A:$V,12,FALSE)</f>
        <v>99882350406396</v>
      </c>
      <c r="R170" s="24" t="s">
        <v>1220</v>
      </c>
      <c r="S170" s="24" t="str">
        <f>VLOOKUP(D170,records!$A:$U,19,FALSE)</f>
        <v>facturefournisseur.pdf@adeccogroup.com</v>
      </c>
      <c r="T170" s="26" t="s">
        <v>1221</v>
      </c>
      <c r="U170" s="26" t="s">
        <v>1222</v>
      </c>
      <c r="V170" s="26" t="str">
        <f>VLOOKUP($D170,records!$A:$V,3,FALSE)</f>
        <v>ADECCO FRANCE</v>
      </c>
      <c r="W170" s="26" t="str">
        <f>IFERROR(VLOOKUP($D170,records!$A:$V,6,FALSE),)</f>
        <v>Service fournisseurs - Code analytique DSI</v>
      </c>
      <c r="X170" s="26" t="str">
        <f>VLOOKUP($D170,records!$A:$V,9,FALSE)</f>
        <v>TSA 80010</v>
      </c>
      <c r="Y170" s="26" t="str">
        <f>VLOOKUP($D170,records!$A:$V,4,FALSE)</f>
        <v>LYON Cedex</v>
      </c>
      <c r="Z170" s="26" t="str">
        <f>VLOOKUP($D170,records!$A:$V,7,FALSE)</f>
        <v>69307</v>
      </c>
      <c r="AA170" s="26" t="s">
        <v>1223</v>
      </c>
      <c r="AB170" s="26">
        <f>VLOOKUP(O170,'records (2)'!$A:$Z,8,FALSE)</f>
        <v>45</v>
      </c>
      <c r="AC170" s="26" t="b">
        <v>0</v>
      </c>
      <c r="AD170" s="26"/>
      <c r="AE170" s="26"/>
      <c r="AF170" s="26" t="str">
        <f>VLOOKUP($D170,records!$A:$V,13,FALSE)</f>
        <v>ADECCO FRANCE</v>
      </c>
      <c r="AG170" s="26" t="s">
        <v>1226</v>
      </c>
      <c r="AH170" s="26" t="str">
        <f>VLOOKUP($D170,records!$A:$V,19,FALSE)</f>
        <v>facturefournisseur.pdf@adeccogroup.com</v>
      </c>
      <c r="AI170" s="26" t="s">
        <v>1233</v>
      </c>
      <c r="AJ170" s="26" t="str">
        <f>VLOOKUP($O170,'records (2)'!$A:$Z,14,FALSE)</f>
        <v>003IV000010rePGYAY</v>
      </c>
      <c r="AK170" s="26" t="str">
        <f>VLOOKUP($O170,'records (2)'!$A:$Z,15,FALSE)</f>
        <v>Benoit DE MERSSEMAN</v>
      </c>
      <c r="AL170" s="26" t="str">
        <f>VLOOKUP($O170,'records (2)'!$A:$Z,10,FALSE)</f>
        <v>003IV000010scsHYAQ</v>
      </c>
      <c r="AM170" s="26" t="str">
        <f>VLOOKUP($O170,'records (2)'!$A:$Z,11,FALSE)</f>
        <v>Compta Fournisseur ADECCO - AGF - OEM et PONTOON</v>
      </c>
      <c r="AN170" s="11">
        <v>1</v>
      </c>
      <c r="AO170" s="16">
        <v>2500</v>
      </c>
      <c r="AP170" s="16">
        <v>2500</v>
      </c>
      <c r="AQ170" s="9" t="s">
        <v>449</v>
      </c>
      <c r="AR170" s="6">
        <v>0</v>
      </c>
    </row>
    <row r="171" spans="1:44">
      <c r="A171" s="11" t="s">
        <v>1086</v>
      </c>
      <c r="B171" s="11" t="s">
        <v>1087</v>
      </c>
      <c r="C171" s="11" t="s">
        <v>1087</v>
      </c>
      <c r="D171" s="22" t="s">
        <v>1240</v>
      </c>
      <c r="E171" s="11" t="s">
        <v>447</v>
      </c>
      <c r="F171" s="11" t="s">
        <v>448</v>
      </c>
      <c r="G171" s="22" t="s">
        <v>1087</v>
      </c>
      <c r="H171" s="19" t="s">
        <v>1216</v>
      </c>
      <c r="I171" s="23" t="s">
        <v>1217</v>
      </c>
      <c r="J171" s="24">
        <v>46023</v>
      </c>
      <c r="K171" s="24">
        <v>46387</v>
      </c>
      <c r="L171" s="24" t="s">
        <v>1218</v>
      </c>
      <c r="M171" s="24" t="s">
        <v>1219</v>
      </c>
      <c r="N171" s="24">
        <v>46023</v>
      </c>
      <c r="O171" s="24" t="str">
        <f>VLOOKUP(D171,records!$A:$U,10,FALSE)</f>
        <v>001200000027VD7AAM</v>
      </c>
      <c r="P171" s="24" t="str">
        <f>VLOOKUP(D171,records!$A:$V,20,FALSE)</f>
        <v>FR68998823504</v>
      </c>
      <c r="Q171" s="24" t="str">
        <f>VLOOKUP(D171,records!$A:$V,12,FALSE)</f>
        <v>99882350406396</v>
      </c>
      <c r="R171" s="24" t="s">
        <v>1220</v>
      </c>
      <c r="S171" s="24" t="str">
        <f>VLOOKUP(D171,records!$A:$U,19,FALSE)</f>
        <v>facturefournisseur.pdf@adeccogroup.com</v>
      </c>
      <c r="T171" s="26" t="s">
        <v>1221</v>
      </c>
      <c r="U171" s="26" t="s">
        <v>1222</v>
      </c>
      <c r="V171" s="26" t="str">
        <f>VLOOKUP($D171,records!$A:$V,3,FALSE)</f>
        <v>ADECCO FRANCE</v>
      </c>
      <c r="W171" s="26" t="str">
        <f>IFERROR(VLOOKUP($D171,records!$A:$V,6,FALSE),)</f>
        <v>Service fournisseurs - Code analytique DSI</v>
      </c>
      <c r="X171" s="26" t="str">
        <f>VLOOKUP($D171,records!$A:$V,9,FALSE)</f>
        <v>TSA 80010</v>
      </c>
      <c r="Y171" s="26" t="str">
        <f>VLOOKUP($D171,records!$A:$V,4,FALSE)</f>
        <v>LYON Cedex</v>
      </c>
      <c r="Z171" s="26" t="str">
        <f>VLOOKUP($D171,records!$A:$V,7,FALSE)</f>
        <v>69307</v>
      </c>
      <c r="AA171" s="26" t="s">
        <v>1223</v>
      </c>
      <c r="AB171" s="26">
        <f>VLOOKUP(O171,'records (2)'!$A:$Z,8,FALSE)</f>
        <v>45</v>
      </c>
      <c r="AC171" s="26" t="b">
        <v>0</v>
      </c>
      <c r="AD171" s="26"/>
      <c r="AE171" s="26"/>
      <c r="AF171" s="26" t="str">
        <f>VLOOKUP($D171,records!$A:$V,13,FALSE)</f>
        <v>ADECCO FRANCE</v>
      </c>
      <c r="AG171" s="26" t="s">
        <v>1226</v>
      </c>
      <c r="AH171" s="26" t="str">
        <f>VLOOKUP($D171,records!$A:$V,19,FALSE)</f>
        <v>facturefournisseur.pdf@adeccogroup.com</v>
      </c>
      <c r="AI171" s="26" t="s">
        <v>1233</v>
      </c>
      <c r="AJ171" s="26" t="str">
        <f>VLOOKUP($O171,'records (2)'!$A:$Z,14,FALSE)</f>
        <v>003IV000010rePGYAY</v>
      </c>
      <c r="AK171" s="26" t="str">
        <f>VLOOKUP($O171,'records (2)'!$A:$Z,15,FALSE)</f>
        <v>Benoit DE MERSSEMAN</v>
      </c>
      <c r="AL171" s="26" t="str">
        <f>VLOOKUP($O171,'records (2)'!$A:$Z,10,FALSE)</f>
        <v>003IV000010scsHYAQ</v>
      </c>
      <c r="AM171" s="26" t="str">
        <f>VLOOKUP($O171,'records (2)'!$A:$Z,11,FALSE)</f>
        <v>Compta Fournisseur ADECCO - AGF - OEM et PONTOON</v>
      </c>
      <c r="AN171" s="11">
        <v>1</v>
      </c>
      <c r="AO171" s="16">
        <v>500</v>
      </c>
      <c r="AP171" s="16">
        <v>500</v>
      </c>
      <c r="AQ171" s="9" t="s">
        <v>449</v>
      </c>
      <c r="AR171" s="6">
        <v>0</v>
      </c>
    </row>
    <row r="172" spans="1:44">
      <c r="A172" s="11" t="s">
        <v>1093</v>
      </c>
      <c r="B172" s="11" t="s">
        <v>1094</v>
      </c>
      <c r="C172" s="11" t="s">
        <v>1095</v>
      </c>
      <c r="D172" s="22" t="s">
        <v>1240</v>
      </c>
      <c r="E172" s="11" t="s">
        <v>447</v>
      </c>
      <c r="F172" s="11" t="s">
        <v>448</v>
      </c>
      <c r="G172" s="22" t="s">
        <v>1094</v>
      </c>
      <c r="H172" s="19" t="s">
        <v>1216</v>
      </c>
      <c r="I172" s="23" t="s">
        <v>1217</v>
      </c>
      <c r="J172" s="24">
        <v>46023</v>
      </c>
      <c r="K172" s="24">
        <v>46387</v>
      </c>
      <c r="L172" s="24" t="s">
        <v>1218</v>
      </c>
      <c r="M172" s="24" t="s">
        <v>1219</v>
      </c>
      <c r="N172" s="24">
        <v>46023</v>
      </c>
      <c r="O172" s="24" t="str">
        <f>VLOOKUP(D172,records!$A:$U,10,FALSE)</f>
        <v>001200000027VD7AAM</v>
      </c>
      <c r="P172" s="24" t="str">
        <f>VLOOKUP(D172,records!$A:$V,20,FALSE)</f>
        <v>FR68998823504</v>
      </c>
      <c r="Q172" s="24" t="str">
        <f>VLOOKUP(D172,records!$A:$V,12,FALSE)</f>
        <v>99882350406396</v>
      </c>
      <c r="R172" s="24" t="s">
        <v>1220</v>
      </c>
      <c r="S172" s="24" t="str">
        <f>VLOOKUP(D172,records!$A:$U,19,FALSE)</f>
        <v>facturefournisseur.pdf@adeccogroup.com</v>
      </c>
      <c r="T172" s="26" t="s">
        <v>1221</v>
      </c>
      <c r="U172" s="26" t="s">
        <v>1222</v>
      </c>
      <c r="V172" s="26" t="str">
        <f>VLOOKUP($D172,records!$A:$V,3,FALSE)</f>
        <v>ADECCO FRANCE</v>
      </c>
      <c r="W172" s="26" t="str">
        <f>IFERROR(VLOOKUP($D172,records!$A:$V,6,FALSE),)</f>
        <v>Service fournisseurs - Code analytique DSI</v>
      </c>
      <c r="X172" s="26" t="str">
        <f>VLOOKUP($D172,records!$A:$V,9,FALSE)</f>
        <v>TSA 80010</v>
      </c>
      <c r="Y172" s="26" t="str">
        <f>VLOOKUP($D172,records!$A:$V,4,FALSE)</f>
        <v>LYON Cedex</v>
      </c>
      <c r="Z172" s="26" t="str">
        <f>VLOOKUP($D172,records!$A:$V,7,FALSE)</f>
        <v>69307</v>
      </c>
      <c r="AA172" s="26" t="s">
        <v>1223</v>
      </c>
      <c r="AB172" s="26">
        <f>VLOOKUP(O172,'records (2)'!$A:$Z,8,FALSE)</f>
        <v>45</v>
      </c>
      <c r="AC172" s="26" t="b">
        <v>0</v>
      </c>
      <c r="AD172" s="26"/>
      <c r="AE172" s="26"/>
      <c r="AF172" s="26" t="str">
        <f>VLOOKUP($D172,records!$A:$V,13,FALSE)</f>
        <v>ADECCO FRANCE</v>
      </c>
      <c r="AG172" s="26" t="s">
        <v>1226</v>
      </c>
      <c r="AH172" s="26" t="str">
        <f>VLOOKUP($D172,records!$A:$V,19,FALSE)</f>
        <v>facturefournisseur.pdf@adeccogroup.com</v>
      </c>
      <c r="AI172" s="26" t="s">
        <v>1233</v>
      </c>
      <c r="AJ172" s="26" t="str">
        <f>VLOOKUP($O172,'records (2)'!$A:$Z,14,FALSE)</f>
        <v>003IV000010rePGYAY</v>
      </c>
      <c r="AK172" s="26" t="str">
        <f>VLOOKUP($O172,'records (2)'!$A:$Z,15,FALSE)</f>
        <v>Benoit DE MERSSEMAN</v>
      </c>
      <c r="AL172" s="26" t="str">
        <f>VLOOKUP($O172,'records (2)'!$A:$Z,10,FALSE)</f>
        <v>003IV000010scsHYAQ</v>
      </c>
      <c r="AM172" s="26" t="str">
        <f>VLOOKUP($O172,'records (2)'!$A:$Z,11,FALSE)</f>
        <v>Compta Fournisseur ADECCO - AGF - OEM et PONTOON</v>
      </c>
      <c r="AN172" s="11">
        <v>1</v>
      </c>
      <c r="AO172" s="16">
        <v>4500</v>
      </c>
      <c r="AP172" s="16">
        <v>4500</v>
      </c>
      <c r="AQ172" s="9" t="s">
        <v>449</v>
      </c>
      <c r="AR172" s="6">
        <v>0</v>
      </c>
    </row>
    <row r="173" spans="1:44">
      <c r="A173" s="11" t="s">
        <v>1101</v>
      </c>
      <c r="B173" s="11" t="s">
        <v>1102</v>
      </c>
      <c r="C173" s="11" t="s">
        <v>1102</v>
      </c>
      <c r="D173" s="22" t="s">
        <v>1240</v>
      </c>
      <c r="E173" s="11" t="s">
        <v>447</v>
      </c>
      <c r="F173" s="11" t="s">
        <v>448</v>
      </c>
      <c r="G173" s="22" t="s">
        <v>1102</v>
      </c>
      <c r="H173" s="19" t="s">
        <v>1216</v>
      </c>
      <c r="I173" s="23" t="s">
        <v>1217</v>
      </c>
      <c r="J173" s="24">
        <v>46023</v>
      </c>
      <c r="K173" s="24">
        <v>46387</v>
      </c>
      <c r="L173" s="24" t="s">
        <v>1218</v>
      </c>
      <c r="M173" s="24" t="s">
        <v>1219</v>
      </c>
      <c r="N173" s="24">
        <v>46023</v>
      </c>
      <c r="O173" s="24" t="str">
        <f>VLOOKUP(D173,records!$A:$U,10,FALSE)</f>
        <v>001200000027VD7AAM</v>
      </c>
      <c r="P173" s="24" t="str">
        <f>VLOOKUP(D173,records!$A:$V,20,FALSE)</f>
        <v>FR68998823504</v>
      </c>
      <c r="Q173" s="24" t="str">
        <f>VLOOKUP(D173,records!$A:$V,12,FALSE)</f>
        <v>99882350406396</v>
      </c>
      <c r="R173" s="24" t="s">
        <v>1220</v>
      </c>
      <c r="S173" s="24" t="str">
        <f>VLOOKUP(D173,records!$A:$U,19,FALSE)</f>
        <v>facturefournisseur.pdf@adeccogroup.com</v>
      </c>
      <c r="T173" s="26" t="s">
        <v>1221</v>
      </c>
      <c r="U173" s="26" t="s">
        <v>1222</v>
      </c>
      <c r="V173" s="26" t="str">
        <f>VLOOKUP($D173,records!$A:$V,3,FALSE)</f>
        <v>ADECCO FRANCE</v>
      </c>
      <c r="W173" s="26" t="str">
        <f>IFERROR(VLOOKUP($D173,records!$A:$V,6,FALSE),)</f>
        <v>Service fournisseurs - Code analytique DSI</v>
      </c>
      <c r="X173" s="26" t="str">
        <f>VLOOKUP($D173,records!$A:$V,9,FALSE)</f>
        <v>TSA 80010</v>
      </c>
      <c r="Y173" s="26" t="str">
        <f>VLOOKUP($D173,records!$A:$V,4,FALSE)</f>
        <v>LYON Cedex</v>
      </c>
      <c r="Z173" s="26" t="str">
        <f>VLOOKUP($D173,records!$A:$V,7,FALSE)</f>
        <v>69307</v>
      </c>
      <c r="AA173" s="26" t="s">
        <v>1223</v>
      </c>
      <c r="AB173" s="26">
        <f>VLOOKUP(O173,'records (2)'!$A:$Z,8,FALSE)</f>
        <v>45</v>
      </c>
      <c r="AC173" s="26" t="b">
        <v>0</v>
      </c>
      <c r="AD173" s="26"/>
      <c r="AE173" s="26"/>
      <c r="AF173" s="26" t="str">
        <f>VLOOKUP($D173,records!$A:$V,13,FALSE)</f>
        <v>ADECCO FRANCE</v>
      </c>
      <c r="AG173" s="26" t="s">
        <v>1226</v>
      </c>
      <c r="AH173" s="26" t="str">
        <f>VLOOKUP($D173,records!$A:$V,19,FALSE)</f>
        <v>facturefournisseur.pdf@adeccogroup.com</v>
      </c>
      <c r="AI173" s="26" t="s">
        <v>1233</v>
      </c>
      <c r="AJ173" s="26" t="str">
        <f>VLOOKUP($O173,'records (2)'!$A:$Z,14,FALSE)</f>
        <v>003IV000010rePGYAY</v>
      </c>
      <c r="AK173" s="26" t="str">
        <f>VLOOKUP($O173,'records (2)'!$A:$Z,15,FALSE)</f>
        <v>Benoit DE MERSSEMAN</v>
      </c>
      <c r="AL173" s="26" t="str">
        <f>VLOOKUP($O173,'records (2)'!$A:$Z,10,FALSE)</f>
        <v>003IV000010scsHYAQ</v>
      </c>
      <c r="AM173" s="26" t="str">
        <f>VLOOKUP($O173,'records (2)'!$A:$Z,11,FALSE)</f>
        <v>Compta Fournisseur ADECCO - AGF - OEM et PONTOON</v>
      </c>
      <c r="AN173" s="11">
        <v>1</v>
      </c>
      <c r="AO173" s="16">
        <v>3000</v>
      </c>
      <c r="AP173" s="16">
        <v>3000</v>
      </c>
      <c r="AQ173" s="9" t="s">
        <v>449</v>
      </c>
      <c r="AR173" s="6">
        <v>0</v>
      </c>
    </row>
    <row r="174" spans="1:44">
      <c r="A174" s="11" t="s">
        <v>736</v>
      </c>
      <c r="B174" s="11" t="s">
        <v>1139</v>
      </c>
      <c r="C174" s="11" t="s">
        <v>1139</v>
      </c>
      <c r="D174" s="22" t="s">
        <v>1240</v>
      </c>
      <c r="E174" s="11" t="s">
        <v>447</v>
      </c>
      <c r="F174" s="11" t="s">
        <v>448</v>
      </c>
      <c r="G174" s="22" t="s">
        <v>1139</v>
      </c>
      <c r="H174" s="19" t="s">
        <v>1216</v>
      </c>
      <c r="I174" s="23" t="s">
        <v>1217</v>
      </c>
      <c r="J174" s="24">
        <v>46023</v>
      </c>
      <c r="K174" s="24">
        <v>46387</v>
      </c>
      <c r="L174" s="24" t="s">
        <v>1218</v>
      </c>
      <c r="M174" s="24" t="s">
        <v>1219</v>
      </c>
      <c r="N174" s="24">
        <v>46023</v>
      </c>
      <c r="O174" s="24" t="str">
        <f>VLOOKUP(D174,records!$A:$U,10,FALSE)</f>
        <v>001200000027VD7AAM</v>
      </c>
      <c r="P174" s="24" t="str">
        <f>VLOOKUP(D174,records!$A:$V,20,FALSE)</f>
        <v>FR68998823504</v>
      </c>
      <c r="Q174" s="24" t="str">
        <f>VLOOKUP(D174,records!$A:$V,12,FALSE)</f>
        <v>99882350406396</v>
      </c>
      <c r="R174" s="24" t="s">
        <v>1220</v>
      </c>
      <c r="S174" s="24" t="str">
        <f>VLOOKUP(D174,records!$A:$U,19,FALSE)</f>
        <v>facturefournisseur.pdf@adeccogroup.com</v>
      </c>
      <c r="T174" s="26" t="s">
        <v>1221</v>
      </c>
      <c r="U174" s="26" t="s">
        <v>1222</v>
      </c>
      <c r="V174" s="26" t="str">
        <f>VLOOKUP($D174,records!$A:$V,3,FALSE)</f>
        <v>ADECCO FRANCE</v>
      </c>
      <c r="W174" s="26" t="str">
        <f>IFERROR(VLOOKUP($D174,records!$A:$V,6,FALSE),)</f>
        <v>Service fournisseurs - Code analytique DSI</v>
      </c>
      <c r="X174" s="26" t="str">
        <f>VLOOKUP($D174,records!$A:$V,9,FALSE)</f>
        <v>TSA 80010</v>
      </c>
      <c r="Y174" s="26" t="str">
        <f>VLOOKUP($D174,records!$A:$V,4,FALSE)</f>
        <v>LYON Cedex</v>
      </c>
      <c r="Z174" s="26" t="str">
        <f>VLOOKUP($D174,records!$A:$V,7,FALSE)</f>
        <v>69307</v>
      </c>
      <c r="AA174" s="26" t="s">
        <v>1223</v>
      </c>
      <c r="AB174" s="26">
        <f>VLOOKUP(O174,'records (2)'!$A:$Z,8,FALSE)</f>
        <v>45</v>
      </c>
      <c r="AC174" s="26" t="b">
        <v>0</v>
      </c>
      <c r="AD174" s="26"/>
      <c r="AE174" s="26"/>
      <c r="AF174" s="26" t="str">
        <f>VLOOKUP($D174,records!$A:$V,13,FALSE)</f>
        <v>ADECCO FRANCE</v>
      </c>
      <c r="AG174" s="26" t="s">
        <v>1226</v>
      </c>
      <c r="AH174" s="26" t="str">
        <f>VLOOKUP($D174,records!$A:$V,19,FALSE)</f>
        <v>facturefournisseur.pdf@adeccogroup.com</v>
      </c>
      <c r="AI174" s="26" t="s">
        <v>1233</v>
      </c>
      <c r="AJ174" s="26" t="str">
        <f>VLOOKUP($O174,'records (2)'!$A:$Z,14,FALSE)</f>
        <v>003IV000010rePGYAY</v>
      </c>
      <c r="AK174" s="26" t="str">
        <f>VLOOKUP($O174,'records (2)'!$A:$Z,15,FALSE)</f>
        <v>Benoit DE MERSSEMAN</v>
      </c>
      <c r="AL174" s="26" t="str">
        <f>VLOOKUP($O174,'records (2)'!$A:$Z,10,FALSE)</f>
        <v>003IV000010scsHYAQ</v>
      </c>
      <c r="AM174" s="26" t="str">
        <f>VLOOKUP($O174,'records (2)'!$A:$Z,11,FALSE)</f>
        <v>Compta Fournisseur ADECCO - AGF - OEM et PONTOON</v>
      </c>
      <c r="AN174" s="11">
        <v>1</v>
      </c>
      <c r="AO174" s="16">
        <v>1000</v>
      </c>
      <c r="AP174" s="16">
        <v>1000</v>
      </c>
      <c r="AQ174" s="9" t="s">
        <v>449</v>
      </c>
      <c r="AR174" s="6">
        <v>0</v>
      </c>
    </row>
    <row r="175" spans="1:44">
      <c r="A175" s="11" t="s">
        <v>736</v>
      </c>
      <c r="B175" s="11" t="s">
        <v>1163</v>
      </c>
      <c r="C175" s="11" t="s">
        <v>1163</v>
      </c>
      <c r="D175" s="22" t="s">
        <v>1240</v>
      </c>
      <c r="E175" s="11" t="s">
        <v>447</v>
      </c>
      <c r="F175" s="11" t="s">
        <v>448</v>
      </c>
      <c r="G175" s="22" t="s">
        <v>1163</v>
      </c>
      <c r="H175" s="19" t="s">
        <v>1216</v>
      </c>
      <c r="I175" s="23" t="s">
        <v>1217</v>
      </c>
      <c r="J175" s="24">
        <v>46023</v>
      </c>
      <c r="K175" s="24">
        <v>46387</v>
      </c>
      <c r="L175" s="24" t="s">
        <v>1218</v>
      </c>
      <c r="M175" s="24" t="s">
        <v>1219</v>
      </c>
      <c r="N175" s="24">
        <v>46023</v>
      </c>
      <c r="O175" s="24" t="str">
        <f>VLOOKUP(D175,records!$A:$U,10,FALSE)</f>
        <v>001200000027VD7AAM</v>
      </c>
      <c r="P175" s="24" t="str">
        <f>VLOOKUP(D175,records!$A:$V,20,FALSE)</f>
        <v>FR68998823504</v>
      </c>
      <c r="Q175" s="24" t="str">
        <f>VLOOKUP(D175,records!$A:$V,12,FALSE)</f>
        <v>99882350406396</v>
      </c>
      <c r="R175" s="24" t="s">
        <v>1220</v>
      </c>
      <c r="S175" s="24" t="str">
        <f>VLOOKUP(D175,records!$A:$U,19,FALSE)</f>
        <v>facturefournisseur.pdf@adeccogroup.com</v>
      </c>
      <c r="T175" s="26" t="s">
        <v>1221</v>
      </c>
      <c r="U175" s="26" t="s">
        <v>1222</v>
      </c>
      <c r="V175" s="26" t="str">
        <f>VLOOKUP($D175,records!$A:$V,3,FALSE)</f>
        <v>ADECCO FRANCE</v>
      </c>
      <c r="W175" s="26" t="str">
        <f>IFERROR(VLOOKUP($D175,records!$A:$V,6,FALSE),)</f>
        <v>Service fournisseurs - Code analytique DSI</v>
      </c>
      <c r="X175" s="26" t="str">
        <f>VLOOKUP($D175,records!$A:$V,9,FALSE)</f>
        <v>TSA 80010</v>
      </c>
      <c r="Y175" s="26" t="str">
        <f>VLOOKUP($D175,records!$A:$V,4,FALSE)</f>
        <v>LYON Cedex</v>
      </c>
      <c r="Z175" s="26" t="str">
        <f>VLOOKUP($D175,records!$A:$V,7,FALSE)</f>
        <v>69307</v>
      </c>
      <c r="AA175" s="26" t="s">
        <v>1223</v>
      </c>
      <c r="AB175" s="26">
        <f>VLOOKUP(O175,'records (2)'!$A:$Z,8,FALSE)</f>
        <v>45</v>
      </c>
      <c r="AC175" s="26" t="b">
        <v>0</v>
      </c>
      <c r="AD175" s="26"/>
      <c r="AE175" s="26"/>
      <c r="AF175" s="26" t="str">
        <f>VLOOKUP($D175,records!$A:$V,13,FALSE)</f>
        <v>ADECCO FRANCE</v>
      </c>
      <c r="AG175" s="26" t="s">
        <v>1226</v>
      </c>
      <c r="AH175" s="26" t="str">
        <f>VLOOKUP($D175,records!$A:$V,19,FALSE)</f>
        <v>facturefournisseur.pdf@adeccogroup.com</v>
      </c>
      <c r="AI175" s="26" t="s">
        <v>1233</v>
      </c>
      <c r="AJ175" s="26" t="str">
        <f>VLOOKUP($O175,'records (2)'!$A:$Z,14,FALSE)</f>
        <v>003IV000010rePGYAY</v>
      </c>
      <c r="AK175" s="26" t="str">
        <f>VLOOKUP($O175,'records (2)'!$A:$Z,15,FALSE)</f>
        <v>Benoit DE MERSSEMAN</v>
      </c>
      <c r="AL175" s="26" t="str">
        <f>VLOOKUP($O175,'records (2)'!$A:$Z,10,FALSE)</f>
        <v>003IV000010scsHYAQ</v>
      </c>
      <c r="AM175" s="26" t="str">
        <f>VLOOKUP($O175,'records (2)'!$A:$Z,11,FALSE)</f>
        <v>Compta Fournisseur ADECCO - AGF - OEM et PONTOON</v>
      </c>
      <c r="AN175" s="11">
        <v>1</v>
      </c>
      <c r="AO175" s="16">
        <v>5000</v>
      </c>
      <c r="AP175" s="16">
        <v>5000</v>
      </c>
      <c r="AQ175" s="9" t="s">
        <v>449</v>
      </c>
      <c r="AR175" s="6" t="s">
        <v>1158</v>
      </c>
    </row>
    <row r="176" spans="1:44">
      <c r="A176" s="11" t="s">
        <v>736</v>
      </c>
      <c r="B176" s="11" t="s">
        <v>1168</v>
      </c>
      <c r="C176" s="11" t="s">
        <v>1168</v>
      </c>
      <c r="D176" s="22" t="s">
        <v>1240</v>
      </c>
      <c r="E176" s="11" t="s">
        <v>447</v>
      </c>
      <c r="F176" s="11" t="s">
        <v>448</v>
      </c>
      <c r="G176" s="22" t="s">
        <v>1168</v>
      </c>
      <c r="H176" s="19" t="s">
        <v>1216</v>
      </c>
      <c r="I176" s="23" t="s">
        <v>1217</v>
      </c>
      <c r="J176" s="24">
        <v>46023</v>
      </c>
      <c r="K176" s="24">
        <v>46387</v>
      </c>
      <c r="L176" s="24" t="s">
        <v>1218</v>
      </c>
      <c r="M176" s="24" t="s">
        <v>1219</v>
      </c>
      <c r="N176" s="24">
        <v>46023</v>
      </c>
      <c r="O176" s="24" t="str">
        <f>VLOOKUP(D176,records!$A:$U,10,FALSE)</f>
        <v>001200000027VD7AAM</v>
      </c>
      <c r="P176" s="24" t="str">
        <f>VLOOKUP(D176,records!$A:$V,20,FALSE)</f>
        <v>FR68998823504</v>
      </c>
      <c r="Q176" s="24" t="str">
        <f>VLOOKUP(D176,records!$A:$V,12,FALSE)</f>
        <v>99882350406396</v>
      </c>
      <c r="R176" s="24" t="s">
        <v>1220</v>
      </c>
      <c r="S176" s="24" t="str">
        <f>VLOOKUP(D176,records!$A:$U,19,FALSE)</f>
        <v>facturefournisseur.pdf@adeccogroup.com</v>
      </c>
      <c r="T176" s="26" t="s">
        <v>1221</v>
      </c>
      <c r="U176" s="26" t="s">
        <v>1222</v>
      </c>
      <c r="V176" s="26" t="str">
        <f>VLOOKUP($D176,records!$A:$V,3,FALSE)</f>
        <v>ADECCO FRANCE</v>
      </c>
      <c r="W176" s="26" t="str">
        <f>IFERROR(VLOOKUP($D176,records!$A:$V,6,FALSE),)</f>
        <v>Service fournisseurs - Code analytique DSI</v>
      </c>
      <c r="X176" s="26" t="str">
        <f>VLOOKUP($D176,records!$A:$V,9,FALSE)</f>
        <v>TSA 80010</v>
      </c>
      <c r="Y176" s="26" t="str">
        <f>VLOOKUP($D176,records!$A:$V,4,FALSE)</f>
        <v>LYON Cedex</v>
      </c>
      <c r="Z176" s="26" t="str">
        <f>VLOOKUP($D176,records!$A:$V,7,FALSE)</f>
        <v>69307</v>
      </c>
      <c r="AA176" s="26" t="s">
        <v>1223</v>
      </c>
      <c r="AB176" s="26">
        <f>VLOOKUP(O176,'records (2)'!$A:$Z,8,FALSE)</f>
        <v>45</v>
      </c>
      <c r="AC176" s="26" t="b">
        <v>0</v>
      </c>
      <c r="AD176" s="26"/>
      <c r="AE176" s="26"/>
      <c r="AF176" s="26" t="str">
        <f>VLOOKUP($D176,records!$A:$V,13,FALSE)</f>
        <v>ADECCO FRANCE</v>
      </c>
      <c r="AG176" s="26" t="s">
        <v>1226</v>
      </c>
      <c r="AH176" s="26" t="str">
        <f>VLOOKUP($D176,records!$A:$V,19,FALSE)</f>
        <v>facturefournisseur.pdf@adeccogroup.com</v>
      </c>
      <c r="AI176" s="26" t="s">
        <v>1233</v>
      </c>
      <c r="AJ176" s="26" t="str">
        <f>VLOOKUP($O176,'records (2)'!$A:$Z,14,FALSE)</f>
        <v>003IV000010rePGYAY</v>
      </c>
      <c r="AK176" s="26" t="str">
        <f>VLOOKUP($O176,'records (2)'!$A:$Z,15,FALSE)</f>
        <v>Benoit DE MERSSEMAN</v>
      </c>
      <c r="AL176" s="26" t="str">
        <f>VLOOKUP($O176,'records (2)'!$A:$Z,10,FALSE)</f>
        <v>003IV000010scsHYAQ</v>
      </c>
      <c r="AM176" s="26" t="str">
        <f>VLOOKUP($O176,'records (2)'!$A:$Z,11,FALSE)</f>
        <v>Compta Fournisseur ADECCO - AGF - OEM et PONTOON</v>
      </c>
      <c r="AN176" s="11">
        <v>1</v>
      </c>
      <c r="AO176" s="16">
        <v>3000</v>
      </c>
      <c r="AP176" s="16">
        <v>3000</v>
      </c>
      <c r="AQ176" s="9" t="s">
        <v>449</v>
      </c>
      <c r="AR176" s="6" t="s">
        <v>1158</v>
      </c>
    </row>
    <row r="177" spans="1:44">
      <c r="A177" s="11" t="s">
        <v>736</v>
      </c>
      <c r="B177" s="11" t="s">
        <v>1169</v>
      </c>
      <c r="C177" s="11" t="s">
        <v>1169</v>
      </c>
      <c r="D177" s="22" t="s">
        <v>1240</v>
      </c>
      <c r="E177" s="11" t="s">
        <v>447</v>
      </c>
      <c r="F177" s="11" t="s">
        <v>448</v>
      </c>
      <c r="G177" s="22" t="s">
        <v>1169</v>
      </c>
      <c r="H177" s="19" t="s">
        <v>1216</v>
      </c>
      <c r="I177" s="23" t="s">
        <v>1217</v>
      </c>
      <c r="J177" s="24">
        <v>46023</v>
      </c>
      <c r="K177" s="24">
        <v>46387</v>
      </c>
      <c r="L177" s="24" t="s">
        <v>1218</v>
      </c>
      <c r="M177" s="24" t="s">
        <v>1219</v>
      </c>
      <c r="N177" s="24">
        <v>46023</v>
      </c>
      <c r="O177" s="24" t="str">
        <f>VLOOKUP(D177,records!$A:$U,10,FALSE)</f>
        <v>001200000027VD7AAM</v>
      </c>
      <c r="P177" s="24" t="str">
        <f>VLOOKUP(D177,records!$A:$V,20,FALSE)</f>
        <v>FR68998823504</v>
      </c>
      <c r="Q177" s="24" t="str">
        <f>VLOOKUP(D177,records!$A:$V,12,FALSE)</f>
        <v>99882350406396</v>
      </c>
      <c r="R177" s="24" t="s">
        <v>1220</v>
      </c>
      <c r="S177" s="24" t="str">
        <f>VLOOKUP(D177,records!$A:$U,19,FALSE)</f>
        <v>facturefournisseur.pdf@adeccogroup.com</v>
      </c>
      <c r="T177" s="26" t="s">
        <v>1221</v>
      </c>
      <c r="U177" s="26" t="s">
        <v>1222</v>
      </c>
      <c r="V177" s="26" t="str">
        <f>VLOOKUP($D177,records!$A:$V,3,FALSE)</f>
        <v>ADECCO FRANCE</v>
      </c>
      <c r="W177" s="26" t="str">
        <f>IFERROR(VLOOKUP($D177,records!$A:$V,6,FALSE),)</f>
        <v>Service fournisseurs - Code analytique DSI</v>
      </c>
      <c r="X177" s="26" t="str">
        <f>VLOOKUP($D177,records!$A:$V,9,FALSE)</f>
        <v>TSA 80010</v>
      </c>
      <c r="Y177" s="26" t="str">
        <f>VLOOKUP($D177,records!$A:$V,4,FALSE)</f>
        <v>LYON Cedex</v>
      </c>
      <c r="Z177" s="26" t="str">
        <f>VLOOKUP($D177,records!$A:$V,7,FALSE)</f>
        <v>69307</v>
      </c>
      <c r="AA177" s="26" t="s">
        <v>1223</v>
      </c>
      <c r="AB177" s="26">
        <f>VLOOKUP(O177,'records (2)'!$A:$Z,8,FALSE)</f>
        <v>45</v>
      </c>
      <c r="AC177" s="26" t="b">
        <v>0</v>
      </c>
      <c r="AD177" s="26"/>
      <c r="AE177" s="26"/>
      <c r="AF177" s="26" t="str">
        <f>VLOOKUP($D177,records!$A:$V,13,FALSE)</f>
        <v>ADECCO FRANCE</v>
      </c>
      <c r="AG177" s="26" t="s">
        <v>1226</v>
      </c>
      <c r="AH177" s="26" t="str">
        <f>VLOOKUP($D177,records!$A:$V,19,FALSE)</f>
        <v>facturefournisseur.pdf@adeccogroup.com</v>
      </c>
      <c r="AI177" s="26" t="s">
        <v>1233</v>
      </c>
      <c r="AJ177" s="26" t="str">
        <f>VLOOKUP($O177,'records (2)'!$A:$Z,14,FALSE)</f>
        <v>003IV000010rePGYAY</v>
      </c>
      <c r="AK177" s="26" t="str">
        <f>VLOOKUP($O177,'records (2)'!$A:$Z,15,FALSE)</f>
        <v>Benoit DE MERSSEMAN</v>
      </c>
      <c r="AL177" s="26" t="str">
        <f>VLOOKUP($O177,'records (2)'!$A:$Z,10,FALSE)</f>
        <v>003IV000010scsHYAQ</v>
      </c>
      <c r="AM177" s="26" t="str">
        <f>VLOOKUP($O177,'records (2)'!$A:$Z,11,FALSE)</f>
        <v>Compta Fournisseur ADECCO - AGF - OEM et PONTOON</v>
      </c>
      <c r="AN177" s="11">
        <v>1</v>
      </c>
      <c r="AO177" s="16">
        <v>3000</v>
      </c>
      <c r="AP177" s="16">
        <v>3000</v>
      </c>
      <c r="AQ177" s="9" t="s">
        <v>449</v>
      </c>
      <c r="AR177" s="6"/>
    </row>
    <row r="178" spans="1:44">
      <c r="A178" s="11" t="s">
        <v>736</v>
      </c>
      <c r="B178" s="11" t="s">
        <v>1170</v>
      </c>
      <c r="C178" s="11" t="s">
        <v>1170</v>
      </c>
      <c r="D178" s="22" t="s">
        <v>1240</v>
      </c>
      <c r="E178" s="11" t="s">
        <v>447</v>
      </c>
      <c r="F178" s="11" t="s">
        <v>448</v>
      </c>
      <c r="G178" s="22" t="s">
        <v>1170</v>
      </c>
      <c r="H178" s="19" t="s">
        <v>1216</v>
      </c>
      <c r="I178" s="23" t="s">
        <v>1217</v>
      </c>
      <c r="J178" s="24">
        <v>46023</v>
      </c>
      <c r="K178" s="24">
        <v>46387</v>
      </c>
      <c r="L178" s="24" t="s">
        <v>1218</v>
      </c>
      <c r="M178" s="24" t="s">
        <v>1219</v>
      </c>
      <c r="N178" s="24">
        <v>46023</v>
      </c>
      <c r="O178" s="24" t="str">
        <f>VLOOKUP(D178,records!$A:$U,10,FALSE)</f>
        <v>001200000027VD7AAM</v>
      </c>
      <c r="P178" s="24" t="str">
        <f>VLOOKUP(D178,records!$A:$V,20,FALSE)</f>
        <v>FR68998823504</v>
      </c>
      <c r="Q178" s="24" t="str">
        <f>VLOOKUP(D178,records!$A:$V,12,FALSE)</f>
        <v>99882350406396</v>
      </c>
      <c r="R178" s="24" t="s">
        <v>1220</v>
      </c>
      <c r="S178" s="24" t="str">
        <f>VLOOKUP(D178,records!$A:$U,19,FALSE)</f>
        <v>facturefournisseur.pdf@adeccogroup.com</v>
      </c>
      <c r="T178" s="26" t="s">
        <v>1221</v>
      </c>
      <c r="U178" s="26" t="s">
        <v>1222</v>
      </c>
      <c r="V178" s="26" t="str">
        <f>VLOOKUP($D178,records!$A:$V,3,FALSE)</f>
        <v>ADECCO FRANCE</v>
      </c>
      <c r="W178" s="26" t="str">
        <f>IFERROR(VLOOKUP($D178,records!$A:$V,6,FALSE),)</f>
        <v>Service fournisseurs - Code analytique DSI</v>
      </c>
      <c r="X178" s="26" t="str">
        <f>VLOOKUP($D178,records!$A:$V,9,FALSE)</f>
        <v>TSA 80010</v>
      </c>
      <c r="Y178" s="26" t="str">
        <f>VLOOKUP($D178,records!$A:$V,4,FALSE)</f>
        <v>LYON Cedex</v>
      </c>
      <c r="Z178" s="26" t="str">
        <f>VLOOKUP($D178,records!$A:$V,7,FALSE)</f>
        <v>69307</v>
      </c>
      <c r="AA178" s="26" t="s">
        <v>1223</v>
      </c>
      <c r="AB178" s="26">
        <f>VLOOKUP(O178,'records (2)'!$A:$Z,8,FALSE)</f>
        <v>45</v>
      </c>
      <c r="AC178" s="26" t="b">
        <v>0</v>
      </c>
      <c r="AD178" s="26"/>
      <c r="AE178" s="26"/>
      <c r="AF178" s="26" t="str">
        <f>VLOOKUP($D178,records!$A:$V,13,FALSE)</f>
        <v>ADECCO FRANCE</v>
      </c>
      <c r="AG178" s="26" t="s">
        <v>1226</v>
      </c>
      <c r="AH178" s="26" t="str">
        <f>VLOOKUP($D178,records!$A:$V,19,FALSE)</f>
        <v>facturefournisseur.pdf@adeccogroup.com</v>
      </c>
      <c r="AI178" s="26" t="s">
        <v>1233</v>
      </c>
      <c r="AJ178" s="26" t="str">
        <f>VLOOKUP($O178,'records (2)'!$A:$Z,14,FALSE)</f>
        <v>003IV000010rePGYAY</v>
      </c>
      <c r="AK178" s="26" t="str">
        <f>VLOOKUP($O178,'records (2)'!$A:$Z,15,FALSE)</f>
        <v>Benoit DE MERSSEMAN</v>
      </c>
      <c r="AL178" s="26" t="str">
        <f>VLOOKUP($O178,'records (2)'!$A:$Z,10,FALSE)</f>
        <v>003IV000010scsHYAQ</v>
      </c>
      <c r="AM178" s="26" t="str">
        <f>VLOOKUP($O178,'records (2)'!$A:$Z,11,FALSE)</f>
        <v>Compta Fournisseur ADECCO - AGF - OEM et PONTOON</v>
      </c>
      <c r="AN178" s="11">
        <v>1</v>
      </c>
      <c r="AO178" s="16">
        <v>2500</v>
      </c>
      <c r="AP178" s="16">
        <v>2500</v>
      </c>
      <c r="AQ178" s="9" t="s">
        <v>449</v>
      </c>
      <c r="AR178" s="6"/>
    </row>
    <row r="179" spans="1:44">
      <c r="A179" s="11" t="s">
        <v>444</v>
      </c>
      <c r="B179" s="11" t="s">
        <v>445</v>
      </c>
      <c r="C179" s="11" t="s">
        <v>445</v>
      </c>
      <c r="D179" s="22" t="s">
        <v>1240</v>
      </c>
      <c r="E179" s="11" t="s">
        <v>447</v>
      </c>
      <c r="F179" s="11" t="s">
        <v>448</v>
      </c>
      <c r="G179" s="22" t="s">
        <v>445</v>
      </c>
      <c r="H179" s="19" t="s">
        <v>1216</v>
      </c>
      <c r="I179" s="23" t="s">
        <v>1217</v>
      </c>
      <c r="J179" s="24">
        <v>46023</v>
      </c>
      <c r="K179" s="24">
        <v>46387</v>
      </c>
      <c r="L179" s="24" t="s">
        <v>1218</v>
      </c>
      <c r="M179" s="24" t="s">
        <v>1219</v>
      </c>
      <c r="N179" s="24">
        <v>46023</v>
      </c>
      <c r="O179" s="24" t="str">
        <f>VLOOKUP(D179,records!$A:$U,10,FALSE)</f>
        <v>001200000027VD7AAM</v>
      </c>
      <c r="P179" s="24" t="str">
        <f>VLOOKUP(D179,records!$A:$V,20,FALSE)</f>
        <v>FR68998823504</v>
      </c>
      <c r="Q179" s="24" t="str">
        <f>VLOOKUP(D179,records!$A:$V,12,FALSE)</f>
        <v>99882350406396</v>
      </c>
      <c r="R179" s="24" t="s">
        <v>1220</v>
      </c>
      <c r="S179" s="24" t="str">
        <f>VLOOKUP(D179,records!$A:$U,19,FALSE)</f>
        <v>facturefournisseur.pdf@adeccogroup.com</v>
      </c>
      <c r="T179" s="26" t="s">
        <v>1221</v>
      </c>
      <c r="U179" s="26" t="s">
        <v>1222</v>
      </c>
      <c r="V179" s="26" t="str">
        <f>VLOOKUP($D179,records!$A:$V,3,FALSE)</f>
        <v>ADECCO FRANCE</v>
      </c>
      <c r="W179" s="26" t="str">
        <f>IFERROR(VLOOKUP($D179,records!$A:$V,6,FALSE),)</f>
        <v>Service fournisseurs - Code analytique DSI</v>
      </c>
      <c r="X179" s="26" t="str">
        <f>VLOOKUP($D179,records!$A:$V,9,FALSE)</f>
        <v>TSA 80010</v>
      </c>
      <c r="Y179" s="26" t="str">
        <f>VLOOKUP($D179,records!$A:$V,4,FALSE)</f>
        <v>LYON Cedex</v>
      </c>
      <c r="Z179" s="26" t="str">
        <f>VLOOKUP($D179,records!$A:$V,7,FALSE)</f>
        <v>69307</v>
      </c>
      <c r="AA179" s="26" t="s">
        <v>1223</v>
      </c>
      <c r="AB179" s="26">
        <f>VLOOKUP(O179,'records (2)'!$A:$Z,8,FALSE)</f>
        <v>45</v>
      </c>
      <c r="AC179" s="26" t="b">
        <v>0</v>
      </c>
      <c r="AD179" s="26"/>
      <c r="AE179" s="26"/>
      <c r="AF179" s="26" t="str">
        <f>VLOOKUP($D179,records!$A:$V,13,FALSE)</f>
        <v>ADECCO FRANCE</v>
      </c>
      <c r="AG179" s="26" t="s">
        <v>1226</v>
      </c>
      <c r="AH179" s="26" t="str">
        <f>VLOOKUP($D179,records!$A:$V,19,FALSE)</f>
        <v>facturefournisseur.pdf@adeccogroup.com</v>
      </c>
      <c r="AI179" s="26" t="s">
        <v>1233</v>
      </c>
      <c r="AJ179" s="26" t="str">
        <f>VLOOKUP($O179,'records (2)'!$A:$Z,14,FALSE)</f>
        <v>003IV000010rePGYAY</v>
      </c>
      <c r="AK179" s="26" t="str">
        <f>VLOOKUP($O179,'records (2)'!$A:$Z,15,FALSE)</f>
        <v>Benoit DE MERSSEMAN</v>
      </c>
      <c r="AL179" s="26" t="str">
        <f>VLOOKUP($O179,'records (2)'!$A:$Z,10,FALSE)</f>
        <v>003IV000010scsHYAQ</v>
      </c>
      <c r="AM179" s="26" t="str">
        <f>VLOOKUP($O179,'records (2)'!$A:$Z,11,FALSE)</f>
        <v>Compta Fournisseur ADECCO - AGF - OEM et PONTOON</v>
      </c>
      <c r="AN179" s="11">
        <v>1</v>
      </c>
      <c r="AO179" s="16">
        <v>2000</v>
      </c>
      <c r="AP179" s="16">
        <v>2000</v>
      </c>
      <c r="AQ179" s="9" t="s">
        <v>449</v>
      </c>
      <c r="AR179" s="6">
        <v>0</v>
      </c>
    </row>
    <row r="180" spans="1:44">
      <c r="A180" s="11" t="s">
        <v>736</v>
      </c>
      <c r="B180" s="11" t="s">
        <v>1164</v>
      </c>
      <c r="C180" s="11" t="s">
        <v>1164</v>
      </c>
      <c r="D180" s="22" t="s">
        <v>1240</v>
      </c>
      <c r="E180" s="11" t="s">
        <v>52</v>
      </c>
      <c r="F180" s="11" t="s">
        <v>53</v>
      </c>
      <c r="G180" s="22" t="s">
        <v>1164</v>
      </c>
      <c r="H180" s="19" t="s">
        <v>1216</v>
      </c>
      <c r="I180" s="23" t="s">
        <v>1217</v>
      </c>
      <c r="J180" s="24">
        <v>46023</v>
      </c>
      <c r="K180" s="24">
        <v>46387</v>
      </c>
      <c r="L180" s="24" t="s">
        <v>1218</v>
      </c>
      <c r="M180" s="24" t="s">
        <v>1219</v>
      </c>
      <c r="N180" s="24">
        <v>46023</v>
      </c>
      <c r="O180" s="24" t="str">
        <f>VLOOKUP(D180,records!$A:$U,10,FALSE)</f>
        <v>001200000027VD7AAM</v>
      </c>
      <c r="P180" s="24" t="str">
        <f>VLOOKUP(D180,records!$A:$V,20,FALSE)</f>
        <v>FR68998823504</v>
      </c>
      <c r="Q180" s="24" t="str">
        <f>VLOOKUP(D180,records!$A:$V,12,FALSE)</f>
        <v>99882350406396</v>
      </c>
      <c r="R180" s="24" t="s">
        <v>1220</v>
      </c>
      <c r="S180" s="24" t="str">
        <f>VLOOKUP(D180,records!$A:$U,19,FALSE)</f>
        <v>facturefournisseur.pdf@adeccogroup.com</v>
      </c>
      <c r="T180" s="26" t="s">
        <v>1221</v>
      </c>
      <c r="U180" s="26" t="s">
        <v>1222</v>
      </c>
      <c r="V180" s="26" t="str">
        <f>VLOOKUP($D180,records!$A:$V,3,FALSE)</f>
        <v>ADECCO FRANCE</v>
      </c>
      <c r="W180" s="26" t="str">
        <f>IFERROR(VLOOKUP($D180,records!$A:$V,6,FALSE),)</f>
        <v>Service fournisseurs - Code analytique DSI</v>
      </c>
      <c r="X180" s="26" t="str">
        <f>VLOOKUP($D180,records!$A:$V,9,FALSE)</f>
        <v>TSA 80010</v>
      </c>
      <c r="Y180" s="26" t="str">
        <f>VLOOKUP($D180,records!$A:$V,4,FALSE)</f>
        <v>LYON Cedex</v>
      </c>
      <c r="Z180" s="26" t="str">
        <f>VLOOKUP($D180,records!$A:$V,7,FALSE)</f>
        <v>69307</v>
      </c>
      <c r="AA180" s="26" t="s">
        <v>1223</v>
      </c>
      <c r="AB180" s="26">
        <f>VLOOKUP(O180,'records (2)'!$A:$Z,8,FALSE)</f>
        <v>45</v>
      </c>
      <c r="AC180" s="26" t="b">
        <v>0</v>
      </c>
      <c r="AD180" s="26"/>
      <c r="AE180" s="26"/>
      <c r="AF180" s="26" t="str">
        <f>VLOOKUP($D180,records!$A:$V,13,FALSE)</f>
        <v>ADECCO FRANCE</v>
      </c>
      <c r="AG180" s="26" t="s">
        <v>1226</v>
      </c>
      <c r="AH180" s="26" t="str">
        <f>VLOOKUP($D180,records!$A:$V,19,FALSE)</f>
        <v>facturefournisseur.pdf@adeccogroup.com</v>
      </c>
      <c r="AI180" s="26" t="s">
        <v>1233</v>
      </c>
      <c r="AJ180" s="26" t="str">
        <f>VLOOKUP($O180,'records (2)'!$A:$Z,14,FALSE)</f>
        <v>003IV000010rePGYAY</v>
      </c>
      <c r="AK180" s="26" t="str">
        <f>VLOOKUP($O180,'records (2)'!$A:$Z,15,FALSE)</f>
        <v>Benoit DE MERSSEMAN</v>
      </c>
      <c r="AL180" s="26" t="str">
        <f>VLOOKUP($O180,'records (2)'!$A:$Z,10,FALSE)</f>
        <v>003IV000010scsHYAQ</v>
      </c>
      <c r="AM180" s="26" t="str">
        <f>VLOOKUP($O180,'records (2)'!$A:$Z,11,FALSE)</f>
        <v>Compta Fournisseur ADECCO - AGF - OEM et PONTOON</v>
      </c>
      <c r="AN180" s="18">
        <v>1</v>
      </c>
      <c r="AO180" s="4">
        <v>1500</v>
      </c>
      <c r="AP180" s="4">
        <v>1500</v>
      </c>
      <c r="AQ180" s="20" t="s">
        <v>1165</v>
      </c>
      <c r="AR180" s="6" t="s">
        <v>1166</v>
      </c>
    </row>
    <row r="181" spans="1:44">
      <c r="A181" s="11" t="s">
        <v>736</v>
      </c>
      <c r="B181" s="11" t="s">
        <v>1167</v>
      </c>
      <c r="C181" s="11" t="s">
        <v>1167</v>
      </c>
      <c r="D181" s="22" t="s">
        <v>1240</v>
      </c>
      <c r="E181" s="11" t="s">
        <v>52</v>
      </c>
      <c r="F181" s="11" t="s">
        <v>53</v>
      </c>
      <c r="G181" s="22" t="s">
        <v>1167</v>
      </c>
      <c r="H181" s="19" t="s">
        <v>1216</v>
      </c>
      <c r="I181" s="23" t="s">
        <v>1217</v>
      </c>
      <c r="J181" s="24">
        <v>46023</v>
      </c>
      <c r="K181" s="24">
        <v>46387</v>
      </c>
      <c r="L181" s="24" t="s">
        <v>1218</v>
      </c>
      <c r="M181" s="24" t="s">
        <v>1219</v>
      </c>
      <c r="N181" s="24">
        <v>46023</v>
      </c>
      <c r="O181" s="24" t="str">
        <f>VLOOKUP(D181,records!$A:$U,10,FALSE)</f>
        <v>001200000027VD7AAM</v>
      </c>
      <c r="P181" s="24" t="str">
        <f>VLOOKUP(D181,records!$A:$V,20,FALSE)</f>
        <v>FR68998823504</v>
      </c>
      <c r="Q181" s="24" t="str">
        <f>VLOOKUP(D181,records!$A:$V,12,FALSE)</f>
        <v>99882350406396</v>
      </c>
      <c r="R181" s="24" t="s">
        <v>1220</v>
      </c>
      <c r="S181" s="24" t="str">
        <f>VLOOKUP(D181,records!$A:$U,19,FALSE)</f>
        <v>facturefournisseur.pdf@adeccogroup.com</v>
      </c>
      <c r="T181" s="26" t="s">
        <v>1221</v>
      </c>
      <c r="U181" s="26" t="s">
        <v>1222</v>
      </c>
      <c r="V181" s="26" t="str">
        <f>VLOOKUP($D181,records!$A:$V,3,FALSE)</f>
        <v>ADECCO FRANCE</v>
      </c>
      <c r="W181" s="26" t="str">
        <f>IFERROR(VLOOKUP($D181,records!$A:$V,6,FALSE),)</f>
        <v>Service fournisseurs - Code analytique DSI</v>
      </c>
      <c r="X181" s="26" t="str">
        <f>VLOOKUP($D181,records!$A:$V,9,FALSE)</f>
        <v>TSA 80010</v>
      </c>
      <c r="Y181" s="26" t="str">
        <f>VLOOKUP($D181,records!$A:$V,4,FALSE)</f>
        <v>LYON Cedex</v>
      </c>
      <c r="Z181" s="26" t="str">
        <f>VLOOKUP($D181,records!$A:$V,7,FALSE)</f>
        <v>69307</v>
      </c>
      <c r="AA181" s="26" t="s">
        <v>1223</v>
      </c>
      <c r="AB181" s="26">
        <f>VLOOKUP(O181,'records (2)'!$A:$Z,8,FALSE)</f>
        <v>45</v>
      </c>
      <c r="AC181" s="26" t="b">
        <v>0</v>
      </c>
      <c r="AD181" s="26"/>
      <c r="AE181" s="26"/>
      <c r="AF181" s="26" t="str">
        <f>VLOOKUP($D181,records!$A:$V,13,FALSE)</f>
        <v>ADECCO FRANCE</v>
      </c>
      <c r="AG181" s="26" t="s">
        <v>1226</v>
      </c>
      <c r="AH181" s="26" t="str">
        <f>VLOOKUP($D181,records!$A:$V,19,FALSE)</f>
        <v>facturefournisseur.pdf@adeccogroup.com</v>
      </c>
      <c r="AI181" s="26" t="s">
        <v>1233</v>
      </c>
      <c r="AJ181" s="26" t="str">
        <f>VLOOKUP($O181,'records (2)'!$A:$Z,14,FALSE)</f>
        <v>003IV000010rePGYAY</v>
      </c>
      <c r="AK181" s="26" t="str">
        <f>VLOOKUP($O181,'records (2)'!$A:$Z,15,FALSE)</f>
        <v>Benoit DE MERSSEMAN</v>
      </c>
      <c r="AL181" s="26" t="str">
        <f>VLOOKUP($O181,'records (2)'!$A:$Z,10,FALSE)</f>
        <v>003IV000010scsHYAQ</v>
      </c>
      <c r="AM181" s="26" t="str">
        <f>VLOOKUP($O181,'records (2)'!$A:$Z,11,FALSE)</f>
        <v>Compta Fournisseur ADECCO - AGF - OEM et PONTOON</v>
      </c>
      <c r="AN181" s="18">
        <v>1</v>
      </c>
      <c r="AO181" s="4">
        <v>8000</v>
      </c>
      <c r="AP181" s="4">
        <v>8000</v>
      </c>
      <c r="AQ181" s="20">
        <v>0</v>
      </c>
      <c r="AR181" s="6" t="s">
        <v>1158</v>
      </c>
    </row>
    <row r="182" spans="1:44">
      <c r="A182" s="18" t="s">
        <v>454</v>
      </c>
      <c r="B182" s="18" t="s">
        <v>455</v>
      </c>
      <c r="C182" s="18" t="s">
        <v>455</v>
      </c>
      <c r="D182" s="18" t="s">
        <v>456</v>
      </c>
      <c r="E182" s="18" t="s">
        <v>52</v>
      </c>
      <c r="F182" s="18" t="s">
        <v>53</v>
      </c>
      <c r="G182" s="18"/>
      <c r="H182" s="19" t="s">
        <v>1216</v>
      </c>
      <c r="I182" s="23" t="s">
        <v>1217</v>
      </c>
      <c r="J182" s="24">
        <v>46023</v>
      </c>
      <c r="K182" s="24">
        <v>46387</v>
      </c>
      <c r="L182" s="24" t="s">
        <v>1218</v>
      </c>
      <c r="M182" s="24" t="s">
        <v>1219</v>
      </c>
      <c r="N182" s="24">
        <v>46023</v>
      </c>
      <c r="O182" s="24" t="str">
        <f>VLOOKUP(D182,records!$A:$U,10,FALSE)</f>
        <v>001SZ000002KhKgYAK</v>
      </c>
      <c r="P182" s="24" t="str">
        <f>VLOOKUP(D182,records!$A:$V,20,FALSE)</f>
        <v>FR85423010008</v>
      </c>
      <c r="Q182" s="24" t="str">
        <f>VLOOKUP(D182,records!$A:$V,12,FALSE)</f>
        <v>42 301 000 800 013</v>
      </c>
      <c r="R182" s="24" t="s">
        <v>1220</v>
      </c>
      <c r="S182" s="24" t="str">
        <f>VLOOKUP(D182,records!$A:$U,19,FALSE)</f>
        <v>facturefournisseur@aubinimprimeur.fr</v>
      </c>
      <c r="T182" s="26" t="s">
        <v>1221</v>
      </c>
      <c r="U182" s="26" t="s">
        <v>1222</v>
      </c>
      <c r="V182" s="26" t="str">
        <f>VLOOKUP($D182,records!$A:$V,3,FALSE)</f>
        <v>AUBIN IMPRIMEUR sasu</v>
      </c>
      <c r="W182" s="26"/>
      <c r="X182" s="26" t="str">
        <f>VLOOKUP($D182,records!$A:$V,9,FALSE)</f>
        <v>Chemin des 2 Croix</v>
      </c>
      <c r="Y182" s="26" t="str">
        <f>VLOOKUP($D182,records!$A:$V,4,FALSE)</f>
        <v>LIGUGE</v>
      </c>
      <c r="Z182" s="26" t="str">
        <f>VLOOKUP($D182,records!$A:$V,7,FALSE)</f>
        <v>86240</v>
      </c>
      <c r="AA182" s="26" t="s">
        <v>1223</v>
      </c>
      <c r="AB182" s="26">
        <f>VLOOKUP(O182,'records (2)'!$A:$Z,8,FALSE)</f>
        <v>30</v>
      </c>
      <c r="AC182" s="26" t="b">
        <v>0</v>
      </c>
      <c r="AD182" s="26"/>
      <c r="AE182" s="26"/>
      <c r="AF182" s="26" t="str">
        <f>VLOOKUP($D182,records!$A:$V,13,FALSE)</f>
        <v>AUBIN IMPRIMEUR sasu</v>
      </c>
      <c r="AG182" s="26" t="s">
        <v>1226</v>
      </c>
      <c r="AH182" s="26" t="str">
        <f>VLOOKUP($D182,records!$A:$V,19,FALSE)</f>
        <v>facturefournisseur@aubinimprimeur.fr</v>
      </c>
      <c r="AI182" s="26" t="s">
        <v>1233</v>
      </c>
      <c r="AJ182" s="26" t="str">
        <f>VLOOKUP($O182,'records (2)'!$A:$Z,14,FALSE)</f>
        <v>003IV000010tIicYAE</v>
      </c>
      <c r="AK182" s="26" t="str">
        <f>VLOOKUP($O182,'records (2)'!$A:$Z,15,FALSE)</f>
        <v>Morgane MARIN</v>
      </c>
      <c r="AL182" s="26" t="str">
        <f>VLOOKUP($O182,'records (2)'!$A:$Z,10,FALSE)</f>
        <v>003IV000010tIicYAE</v>
      </c>
      <c r="AM182" s="26" t="str">
        <f>VLOOKUP($O182,'records (2)'!$A:$Z,11,FALSE)</f>
        <v>Morgane MARIN</v>
      </c>
      <c r="AN182" s="18">
        <v>1</v>
      </c>
      <c r="AO182" s="4">
        <v>500</v>
      </c>
      <c r="AP182" s="4">
        <v>500</v>
      </c>
      <c r="AQ182" s="20"/>
      <c r="AR182" s="6"/>
    </row>
    <row r="183" spans="1:44">
      <c r="A183" s="18" t="s">
        <v>472</v>
      </c>
      <c r="B183" s="18" t="s">
        <v>473</v>
      </c>
      <c r="C183" s="18" t="s">
        <v>474</v>
      </c>
      <c r="D183" s="18" t="s">
        <v>475</v>
      </c>
      <c r="E183" s="18" t="s">
        <v>52</v>
      </c>
      <c r="F183" s="18" t="s">
        <v>53</v>
      </c>
      <c r="G183" s="18"/>
      <c r="H183" s="19" t="s">
        <v>1216</v>
      </c>
      <c r="I183" s="23" t="s">
        <v>1217</v>
      </c>
      <c r="J183" s="24">
        <v>46023</v>
      </c>
      <c r="K183" s="24">
        <v>46387</v>
      </c>
      <c r="L183" s="24" t="s">
        <v>1218</v>
      </c>
      <c r="M183" s="24" t="s">
        <v>1219</v>
      </c>
      <c r="N183" s="24">
        <v>46023</v>
      </c>
      <c r="O183" s="24" t="str">
        <f>VLOOKUP(D183,records!$A:$U,10,FALSE)</f>
        <v>0012p00004Tlp6NAAR</v>
      </c>
      <c r="P183" s="24" t="str">
        <f>VLOOKUP(D183,records!$A:$V,20,FALSE)</f>
        <v>FR37801250531</v>
      </c>
      <c r="Q183" s="24" t="str">
        <f>VLOOKUP(D183,records!$A:$V,12,FALSE)</f>
        <v>80 125 053 100 028</v>
      </c>
      <c r="R183" s="24" t="s">
        <v>1220</v>
      </c>
      <c r="S183" s="24" t="str">
        <f>VLOOKUP(D183,records!$A:$U,19,FALSE)</f>
        <v>facturefournisseur@groupebrandt.com</v>
      </c>
      <c r="T183" s="26" t="s">
        <v>1221</v>
      </c>
      <c r="U183" s="26" t="s">
        <v>1222</v>
      </c>
      <c r="V183" s="26" t="str">
        <f>VLOOKUP($D183,records!$A:$V,3,FALSE)</f>
        <v>BRANDT FRANCE sas</v>
      </c>
      <c r="W183" s="26"/>
      <c r="X183" s="26" t="str">
        <f>VLOOKUP($D183,records!$A:$V,9,FALSE)</f>
        <v>89-91 Boulevard Franklin Roosevelt - 
 CS 30002</v>
      </c>
      <c r="Y183" s="26" t="str">
        <f>VLOOKUP($D183,records!$A:$V,4,FALSE)</f>
        <v>RUEIL-MALMAISON</v>
      </c>
      <c r="Z183" s="26" t="str">
        <f>VLOOKUP($D183,records!$A:$V,7,FALSE)</f>
        <v>92500</v>
      </c>
      <c r="AA183" s="26" t="s">
        <v>1223</v>
      </c>
      <c r="AB183" s="26">
        <f>VLOOKUP(O183,'records (2)'!$A:$Z,8,FALSE)</f>
        <v>30</v>
      </c>
      <c r="AC183" s="26" t="b">
        <v>0</v>
      </c>
      <c r="AD183" s="26"/>
      <c r="AE183" s="26"/>
      <c r="AF183" s="26" t="str">
        <f>VLOOKUP($D183,records!$A:$V,13,FALSE)</f>
        <v>BRANDT FRANCE sas</v>
      </c>
      <c r="AG183" s="26" t="s">
        <v>1226</v>
      </c>
      <c r="AH183" s="26" t="str">
        <f>VLOOKUP($D183,records!$A:$V,19,FALSE)</f>
        <v>facturefournisseur@groupebrandt.com</v>
      </c>
      <c r="AI183" s="26" t="s">
        <v>1233</v>
      </c>
      <c r="AJ183" s="26" t="str">
        <f>VLOOKUP($O183,'records (2)'!$A:$Z,14,FALSE)</f>
        <v>003IV000010tLbeYAE</v>
      </c>
      <c r="AK183" s="26" t="str">
        <f>VLOOKUP($O183,'records (2)'!$A:$Z,15,FALSE)</f>
        <v>Laurence CLODIC</v>
      </c>
      <c r="AL183" s="26" t="str">
        <f>VLOOKUP($O183,'records (2)'!$A:$Z,10,FALSE)</f>
        <v>003IV000010tLbeYAE</v>
      </c>
      <c r="AM183" s="26" t="str">
        <f>VLOOKUP($O183,'records (2)'!$A:$Z,11,FALSE)</f>
        <v>Laurence CLODIC</v>
      </c>
      <c r="AN183" s="18">
        <v>1</v>
      </c>
      <c r="AO183" s="4">
        <v>1000</v>
      </c>
      <c r="AP183" s="4">
        <v>1000</v>
      </c>
      <c r="AQ183" s="20">
        <v>0</v>
      </c>
      <c r="AR183" s="6">
        <v>0</v>
      </c>
    </row>
    <row r="184" spans="1:44">
      <c r="A184" s="18" t="s">
        <v>1128</v>
      </c>
      <c r="B184" s="18" t="s">
        <v>1129</v>
      </c>
      <c r="C184" s="18" t="s">
        <v>1129</v>
      </c>
      <c r="D184" s="18" t="s">
        <v>1130</v>
      </c>
      <c r="E184" s="18" t="s">
        <v>52</v>
      </c>
      <c r="F184" s="18" t="s">
        <v>53</v>
      </c>
      <c r="G184" s="18"/>
      <c r="H184" s="19" t="s">
        <v>1216</v>
      </c>
      <c r="I184" s="23" t="s">
        <v>1217</v>
      </c>
      <c r="J184" s="24">
        <v>46023</v>
      </c>
      <c r="K184" s="24">
        <v>46387</v>
      </c>
      <c r="L184" s="24" t="s">
        <v>1218</v>
      </c>
      <c r="M184" s="24" t="s">
        <v>1219</v>
      </c>
      <c r="N184" s="24">
        <v>46023</v>
      </c>
      <c r="O184" s="24" t="str">
        <f>VLOOKUP(D184,records!$A:$U,10,FALSE)</f>
        <v>001SZ000003pop3YAA</v>
      </c>
      <c r="P184" s="24" t="str">
        <f>VLOOKUP(D184,records!$A:$V,20,FALSE)</f>
        <v>FR33832277370</v>
      </c>
      <c r="Q184" s="24" t="str">
        <f>VLOOKUP(D184,records!$A:$V,12,FALSE)</f>
        <v>83 227 737 000 017</v>
      </c>
      <c r="R184" s="24" t="s">
        <v>1220</v>
      </c>
      <c r="S184" s="24" t="str">
        <f>VLOOKUP(D184,records!$A:$U,19,FALSE)</f>
        <v>facture-fournisseur@volkswagengroup.fr</v>
      </c>
      <c r="T184" s="26" t="s">
        <v>1221</v>
      </c>
      <c r="U184" s="26" t="s">
        <v>1222</v>
      </c>
      <c r="V184" s="26" t="str">
        <f>VLOOKUP($D184,records!$A:$V,3,FALSE)</f>
        <v>VOLKSWAGEN GROUP FRANCE sasu</v>
      </c>
      <c r="W184" s="26"/>
      <c r="X184" s="26" t="str">
        <f>VLOOKUP($D184,records!$A:$V,9,FALSE)</f>
        <v>11 Avenue de Boursone</v>
      </c>
      <c r="Y184" s="26" t="str">
        <f>VLOOKUP($D184,records!$A:$V,4,FALSE)</f>
        <v>VILLIERS- COTTERETS</v>
      </c>
      <c r="Z184" s="26" t="str">
        <f>VLOOKUP($D184,records!$A:$V,7,FALSE)</f>
        <v>2600</v>
      </c>
      <c r="AA184" s="26" t="s">
        <v>1223</v>
      </c>
      <c r="AB184" s="26">
        <f>VLOOKUP(O184,'records (2)'!$A:$Z,8,FALSE)</f>
        <v>30</v>
      </c>
      <c r="AC184" s="26" t="b">
        <v>0</v>
      </c>
      <c r="AD184" s="26"/>
      <c r="AE184" s="26"/>
      <c r="AF184" s="26" t="str">
        <f>VLOOKUP($D184,records!$A:$V,13,FALSE)</f>
        <v>VOLKSWAGEN GROUP FRANCE sasu</v>
      </c>
      <c r="AG184" s="26" t="s">
        <v>1226</v>
      </c>
      <c r="AH184" s="26" t="str">
        <f>VLOOKUP($D184,records!$A:$V,19,FALSE)</f>
        <v>facture-fournisseur@volkswagengroup.fr</v>
      </c>
      <c r="AI184" s="26" t="s">
        <v>1233</v>
      </c>
      <c r="AJ184" s="26" t="str">
        <f>VLOOKUP($O184,'records (2)'!$A:$Z,14,FALSE)</f>
        <v>003IV000010tSrYYAU</v>
      </c>
      <c r="AK184" s="26" t="str">
        <f>VLOOKUP($O184,'records (2)'!$A:$Z,15,FALSE)</f>
        <v>Service Comptabilité</v>
      </c>
      <c r="AL184" s="26" t="str">
        <f>VLOOKUP($O184,'records (2)'!$A:$Z,10,FALSE)</f>
        <v>003IV000010tSrYYAU</v>
      </c>
      <c r="AM184" s="26" t="str">
        <f>VLOOKUP($O184,'records (2)'!$A:$Z,11,FALSE)</f>
        <v>Service Comptabilité</v>
      </c>
      <c r="AN184" s="18">
        <v>1</v>
      </c>
      <c r="AO184" s="4">
        <v>1000</v>
      </c>
      <c r="AP184" s="4">
        <v>1000</v>
      </c>
      <c r="AQ184" s="20">
        <v>0</v>
      </c>
      <c r="AR184" s="6">
        <v>0</v>
      </c>
    </row>
    <row r="185" spans="1:44">
      <c r="A185" s="18" t="s">
        <v>318</v>
      </c>
      <c r="B185" s="18" t="s">
        <v>319</v>
      </c>
      <c r="C185" s="18" t="s">
        <v>320</v>
      </c>
      <c r="D185" s="18" t="s">
        <v>321</v>
      </c>
      <c r="E185" s="18" t="s">
        <v>16</v>
      </c>
      <c r="F185" s="18" t="s">
        <v>17</v>
      </c>
      <c r="G185" s="18"/>
      <c r="H185" s="19" t="s">
        <v>1216</v>
      </c>
      <c r="I185" s="23" t="s">
        <v>1217</v>
      </c>
      <c r="J185" s="24">
        <v>46023</v>
      </c>
      <c r="K185" s="24">
        <v>46387</v>
      </c>
      <c r="L185" s="24" t="s">
        <v>1218</v>
      </c>
      <c r="M185" s="24" t="s">
        <v>1219</v>
      </c>
      <c r="N185" s="24">
        <v>46023</v>
      </c>
      <c r="O185" s="24" t="str">
        <f>VLOOKUP(D185,records!$A:$U,10,FALSE)</f>
        <v>0012p00004OKIFnAAP</v>
      </c>
      <c r="P185" s="24" t="str">
        <f>VLOOKUP(D185,records!$A:$V,20,FALSE)</f>
        <v>FR22320153612</v>
      </c>
      <c r="Q185" s="24" t="str">
        <f>VLOOKUP(D185,records!$A:$V,12,FALSE)</f>
        <v>32 015 361 200 074</v>
      </c>
      <c r="R185" s="24" t="s">
        <v>1220</v>
      </c>
      <c r="S185" s="24" t="str">
        <f>VLOOKUP(D185,records!$A:$U,19,FALSE)</f>
        <v>factures.corrugating@vpkgroup.com</v>
      </c>
      <c r="T185" s="26" t="s">
        <v>1221</v>
      </c>
      <c r="U185" s="26" t="s">
        <v>1222</v>
      </c>
      <c r="V185" s="26" t="str">
        <f>VLOOKUP($D185,records!$A:$V,3,FALSE)</f>
        <v>VPK CORRUGATING sasu</v>
      </c>
      <c r="W185" s="26"/>
      <c r="X185" s="26" t="str">
        <f>VLOOKUP($D185,records!$A:$V,9,FALSE)</f>
        <v>ZI Rouvroy Morcourt</v>
      </c>
      <c r="Y185" s="26" t="str">
        <f>VLOOKUP($D185,records!$A:$V,4,FALSE)</f>
        <v>SAINT QUENTIN</v>
      </c>
      <c r="Z185" s="26" t="str">
        <f>VLOOKUP($D185,records!$A:$V,7,FALSE)</f>
        <v>2315</v>
      </c>
      <c r="AA185" s="26" t="s">
        <v>1223</v>
      </c>
      <c r="AB185" s="26">
        <f>VLOOKUP(O185,'records (2)'!$A:$Z,8,FALSE)</f>
        <v>30</v>
      </c>
      <c r="AC185" s="26" t="b">
        <v>0</v>
      </c>
      <c r="AD185" s="26"/>
      <c r="AE185" s="26"/>
      <c r="AF185" s="26" t="str">
        <f>VLOOKUP($D185,records!$A:$V,13,FALSE)</f>
        <v>VPK CORRUGATING sasu</v>
      </c>
      <c r="AG185" s="26" t="s">
        <v>1226</v>
      </c>
      <c r="AH185" s="26" t="str">
        <f>VLOOKUP($D185,records!$A:$V,19,FALSE)</f>
        <v>factures.corrugating@vpkgroup.com</v>
      </c>
      <c r="AI185" s="26" t="s">
        <v>1233</v>
      </c>
      <c r="AJ185" s="26" t="str">
        <f>VLOOKUP($O185,'records (2)'!$A:$Z,14,FALSE)</f>
        <v>003IV000010tRU3YAM</v>
      </c>
      <c r="AK185" s="26" t="str">
        <f>VLOOKUP($O185,'records (2)'!$A:$Z,15,FALSE)</f>
        <v>Pauline MONNIER</v>
      </c>
      <c r="AL185" s="26" t="str">
        <f>VLOOKUP($O185,'records (2)'!$A:$Z,10,FALSE)</f>
        <v>003IV000010t2QSYAY</v>
      </c>
      <c r="AM185" s="26" t="str">
        <f>VLOOKUP($O185,'records (2)'!$A:$Z,11,FALSE)</f>
        <v>Kirsten VANDENHOUWE</v>
      </c>
      <c r="AN185" s="18">
        <v>1</v>
      </c>
      <c r="AO185" s="4">
        <v>1000</v>
      </c>
      <c r="AP185" s="4">
        <v>1000</v>
      </c>
      <c r="AQ185" s="20">
        <v>0</v>
      </c>
      <c r="AR185" s="6">
        <v>0</v>
      </c>
    </row>
    <row r="186" spans="1:44">
      <c r="A186" s="18" t="s">
        <v>672</v>
      </c>
      <c r="B186" s="18" t="s">
        <v>673</v>
      </c>
      <c r="C186" s="18" t="s">
        <v>674</v>
      </c>
      <c r="D186" s="18" t="s">
        <v>675</v>
      </c>
      <c r="E186" s="18" t="s">
        <v>52</v>
      </c>
      <c r="F186" s="18" t="s">
        <v>53</v>
      </c>
      <c r="G186" s="18"/>
      <c r="H186" s="19" t="s">
        <v>1216</v>
      </c>
      <c r="I186" s="23" t="s">
        <v>1217</v>
      </c>
      <c r="J186" s="24">
        <v>46023</v>
      </c>
      <c r="K186" s="24">
        <v>46387</v>
      </c>
      <c r="L186" s="24" t="s">
        <v>1218</v>
      </c>
      <c r="M186" s="24" t="s">
        <v>1219</v>
      </c>
      <c r="N186" s="24">
        <v>46023</v>
      </c>
      <c r="O186" s="24" t="str">
        <f>VLOOKUP(D186,records!$A:$U,10,FALSE)</f>
        <v>0012p00004MUTl1AAH</v>
      </c>
      <c r="P186" s="24" t="str">
        <f>VLOOKUP(D186,records!$A:$V,20,FALSE)</f>
        <v>FR86401294392</v>
      </c>
      <c r="Q186" s="24" t="str">
        <f>VLOOKUP(D186,records!$A:$V,12,FALSE)</f>
        <v>40 129 439 200 022</v>
      </c>
      <c r="R186" s="24" t="s">
        <v>1220</v>
      </c>
      <c r="S186" s="24" t="str">
        <f>VLOOKUP(D186,records!$A:$U,19,FALSE)</f>
        <v>factures.demat@groupesylvagreg.fr</v>
      </c>
      <c r="T186" s="26" t="s">
        <v>1221</v>
      </c>
      <c r="U186" s="26" t="s">
        <v>1222</v>
      </c>
      <c r="V186" s="26" t="str">
        <f>VLOOKUP($D186,records!$A:$V,3,FALSE)</f>
        <v>ICARE sas</v>
      </c>
      <c r="W186" s="26" t="str">
        <f>IFERROR(VLOOKUP($D186,records!$A:$V,6,FALSE),)</f>
        <v>Comptabilité</v>
      </c>
      <c r="X186" s="26" t="str">
        <f>VLOOKUP($D186,records!$A:$V,9,FALSE)</f>
        <v>137 rue de l'Egalité</v>
      </c>
      <c r="Y186" s="26" t="str">
        <f>VLOOKUP($D186,records!$A:$V,4,FALSE)</f>
        <v>LOMME</v>
      </c>
      <c r="Z186" s="26" t="str">
        <f>VLOOKUP($D186,records!$A:$V,7,FALSE)</f>
        <v>59160</v>
      </c>
      <c r="AA186" s="26" t="s">
        <v>1223</v>
      </c>
      <c r="AB186" s="26">
        <f>VLOOKUP(O186,'records (2)'!$A:$Z,8,FALSE)</f>
        <v>30</v>
      </c>
      <c r="AC186" s="26" t="b">
        <v>0</v>
      </c>
      <c r="AD186" s="26"/>
      <c r="AE186" s="26"/>
      <c r="AF186" s="26" t="str">
        <f>VLOOKUP($D186,records!$A:$V,13,FALSE)</f>
        <v>ICARE sas</v>
      </c>
      <c r="AG186" s="26" t="s">
        <v>1226</v>
      </c>
      <c r="AH186" s="26" t="str">
        <f>VLOOKUP($D186,records!$A:$V,19,FALSE)</f>
        <v>factures.demat@groupesylvagreg.fr</v>
      </c>
      <c r="AI186" s="26" t="s">
        <v>1233</v>
      </c>
      <c r="AJ186" s="26" t="str">
        <f>VLOOKUP($O186,'records (2)'!$A:$Z,14,FALSE)</f>
        <v>003IV000010t2GDYAY</v>
      </c>
      <c r="AK186" s="26" t="str">
        <f>VLOOKUP($O186,'records (2)'!$A:$Z,15,FALSE)</f>
        <v>Virginie DECROIX</v>
      </c>
      <c r="AL186" s="26" t="str">
        <f>VLOOKUP($O186,'records (2)'!$A:$Z,10,FALSE)</f>
        <v>003IV000010tIdcYAE</v>
      </c>
      <c r="AM186" s="26" t="str">
        <f>VLOOKUP($O186,'records (2)'!$A:$Z,11,FALSE)</f>
        <v>Benoît BUYSSENS</v>
      </c>
      <c r="AN186" s="18">
        <v>1</v>
      </c>
      <c r="AO186" s="4">
        <v>2000</v>
      </c>
      <c r="AP186" s="4">
        <v>2000</v>
      </c>
      <c r="AQ186" s="20">
        <v>0</v>
      </c>
      <c r="AR186" s="6">
        <v>0</v>
      </c>
    </row>
    <row r="187" spans="1:44">
      <c r="A187" s="18" t="s">
        <v>637</v>
      </c>
      <c r="B187" s="18" t="s">
        <v>638</v>
      </c>
      <c r="C187" s="18" t="s">
        <v>639</v>
      </c>
      <c r="D187" s="18" t="s">
        <v>640</v>
      </c>
      <c r="E187" s="18" t="s">
        <v>52</v>
      </c>
      <c r="F187" s="18" t="s">
        <v>53</v>
      </c>
      <c r="G187" s="18"/>
      <c r="H187" s="19" t="s">
        <v>1216</v>
      </c>
      <c r="I187" s="23" t="s">
        <v>1217</v>
      </c>
      <c r="J187" s="24">
        <v>46023</v>
      </c>
      <c r="K187" s="24">
        <v>46387</v>
      </c>
      <c r="L187" s="24" t="s">
        <v>1218</v>
      </c>
      <c r="M187" s="24" t="s">
        <v>1219</v>
      </c>
      <c r="N187" s="24">
        <v>46023</v>
      </c>
      <c r="O187" s="24" t="str">
        <f>VLOOKUP(D187,records!$A:$U,10,FALSE)</f>
        <v>001SZ000003nGUvYAM</v>
      </c>
      <c r="P187" s="24" t="str">
        <f>VLOOKUP(D187,records!$A:$V,20,FALSE)</f>
        <v>FR23528902042</v>
      </c>
      <c r="Q187" s="24" t="str">
        <f>VLOOKUP(D187,records!$A:$V,12,FALSE)</f>
        <v>52 890 204 200 027</v>
      </c>
      <c r="R187" s="24" t="s">
        <v>1220</v>
      </c>
      <c r="S187" s="24" t="str">
        <f>VLOOKUP(D187,records!$A:$U,19,FALSE)</f>
        <v>factures.fournisseurs@ghm.fr</v>
      </c>
      <c r="T187" s="26" t="s">
        <v>1221</v>
      </c>
      <c r="U187" s="26" t="s">
        <v>1222</v>
      </c>
      <c r="V187" s="26" t="str">
        <f>VLOOKUP($D187,records!$A:$V,3,FALSE)</f>
        <v>GHM sasu</v>
      </c>
      <c r="W187" s="26"/>
      <c r="X187" s="26" t="str">
        <f>VLOOKUP($D187,records!$A:$V,9,FALSE)</f>
        <v>Rue Antoine Durenne</v>
      </c>
      <c r="Y187" s="26" t="str">
        <f>VLOOKUP($D187,records!$A:$V,4,FALSE)</f>
        <v>SOMMEVOIRE</v>
      </c>
      <c r="Z187" s="26" t="str">
        <f>VLOOKUP($D187,records!$A:$V,7,FALSE)</f>
        <v>52220</v>
      </c>
      <c r="AA187" s="26" t="s">
        <v>1223</v>
      </c>
      <c r="AB187" s="26">
        <f>VLOOKUP(O187,'records (2)'!$A:$Z,8,FALSE)</f>
        <v>30</v>
      </c>
      <c r="AC187" s="26" t="b">
        <v>0</v>
      </c>
      <c r="AD187" s="26"/>
      <c r="AE187" s="26"/>
      <c r="AF187" s="26" t="str">
        <f>VLOOKUP($D187,records!$A:$V,13,FALSE)</f>
        <v>GHM sasu</v>
      </c>
      <c r="AG187" s="26" t="s">
        <v>1226</v>
      </c>
      <c r="AH187" s="26" t="str">
        <f>VLOOKUP($D187,records!$A:$V,19,FALSE)</f>
        <v>factures.fournisseurs@ghm.fr</v>
      </c>
      <c r="AI187" s="26" t="str">
        <f>VLOOKUP($D187,records!$A:$V,14,FALSE)</f>
        <v>.</v>
      </c>
      <c r="AJ187" s="26" t="str">
        <f>VLOOKUP($O187,'records (2)'!$A:$Z,14,FALSE)</f>
        <v>003IV000010t4FTYAY</v>
      </c>
      <c r="AK187" s="26" t="str">
        <f>VLOOKUP($O187,'records (2)'!$A:$Z,15,FALSE)</f>
        <v>Nathalie CHARPENTIER</v>
      </c>
      <c r="AL187" s="26" t="str">
        <f>VLOOKUP($O187,'records (2)'!$A:$Z,10,FALSE)</f>
        <v>003IV000010t4FTYAY</v>
      </c>
      <c r="AM187" s="26" t="str">
        <f>VLOOKUP($O187,'records (2)'!$A:$Z,11,FALSE)</f>
        <v>Nathalie CHARPENTIER</v>
      </c>
      <c r="AN187" s="18">
        <v>1</v>
      </c>
      <c r="AO187" s="4">
        <v>1000</v>
      </c>
      <c r="AP187" s="4">
        <v>1000</v>
      </c>
      <c r="AQ187" s="20">
        <v>0</v>
      </c>
      <c r="AR187" s="6">
        <v>0</v>
      </c>
    </row>
    <row r="188" spans="1:44">
      <c r="A188" s="18" t="s">
        <v>666</v>
      </c>
      <c r="B188" s="18" t="s">
        <v>667</v>
      </c>
      <c r="C188" s="18" t="s">
        <v>667</v>
      </c>
      <c r="D188" s="18" t="s">
        <v>668</v>
      </c>
      <c r="E188" s="18" t="s">
        <v>52</v>
      </c>
      <c r="F188" s="18" t="s">
        <v>53</v>
      </c>
      <c r="G188" s="18"/>
      <c r="H188" s="19" t="s">
        <v>1216</v>
      </c>
      <c r="I188" s="23" t="s">
        <v>1217</v>
      </c>
      <c r="J188" s="24">
        <v>46023</v>
      </c>
      <c r="K188" s="24">
        <v>46387</v>
      </c>
      <c r="L188" s="24" t="s">
        <v>1218</v>
      </c>
      <c r="M188" s="24" t="s">
        <v>1219</v>
      </c>
      <c r="N188" s="24">
        <v>46023</v>
      </c>
      <c r="O188" s="24" t="str">
        <f>VLOOKUP(D188,records!$A:$U,10,FALSE)</f>
        <v>001SZ0000010xfSYAQ</v>
      </c>
      <c r="P188" s="24" t="str">
        <f>VLOOKUP(D188,records!$A:$V,20,FALSE)</f>
        <v>FR06736250077</v>
      </c>
      <c r="Q188" s="24" t="str">
        <f>VLOOKUP(D188,records!$A:$V,12,FALSE)</f>
        <v>73 625 007 700 012</v>
      </c>
      <c r="R188" s="24" t="s">
        <v>1220</v>
      </c>
      <c r="S188" s="24" t="str">
        <f>VLOOKUP(D188,records!$A:$U,19,FALSE)</f>
        <v>factures.fournisseurs@groupe-maine.com</v>
      </c>
      <c r="T188" s="26" t="s">
        <v>1221</v>
      </c>
      <c r="U188" s="26" t="s">
        <v>1222</v>
      </c>
      <c r="V188" s="26" t="str">
        <f>VLOOKUP($D188,records!$A:$V,3,FALSE)</f>
        <v>GROUPE MAINE sasu</v>
      </c>
      <c r="W188" s="26"/>
      <c r="X188" s="26" t="str">
        <f>VLOOKUP($D188,records!$A:$V,9,FALSE)</f>
        <v>13 Rue du Pas</v>
      </c>
      <c r="Y188" s="26" t="str">
        <f>VLOOKUP($D188,records!$A:$V,4,FALSE)</f>
        <v>AMBRIERES-LES-VALLEES</v>
      </c>
      <c r="Z188" s="26" t="str">
        <f>VLOOKUP($D188,records!$A:$V,7,FALSE)</f>
        <v>53300</v>
      </c>
      <c r="AA188" s="26" t="s">
        <v>1223</v>
      </c>
      <c r="AB188" s="26">
        <f>VLOOKUP(O188,'records (2)'!$A:$Z,8,FALSE)</f>
        <v>30</v>
      </c>
      <c r="AC188" s="26" t="b">
        <v>0</v>
      </c>
      <c r="AD188" s="26"/>
      <c r="AE188" s="26"/>
      <c r="AF188" s="26" t="str">
        <f>VLOOKUP($D188,records!$A:$V,13,FALSE)</f>
        <v>GROUPE MAINE sasu</v>
      </c>
      <c r="AG188" s="26" t="s">
        <v>1226</v>
      </c>
      <c r="AH188" s="26" t="str">
        <f>VLOOKUP($D188,records!$A:$V,19,FALSE)</f>
        <v>factures.fournisseurs@groupe-maine.com</v>
      </c>
      <c r="AI188" s="26" t="str">
        <f>VLOOKUP($D188,records!$A:$V,14,FALSE)</f>
        <v>.</v>
      </c>
      <c r="AJ188" s="26" t="str">
        <f>VLOOKUP($O188,'records (2)'!$A:$Z,14,FALSE)</f>
        <v>003IV000010tJXlYAM</v>
      </c>
      <c r="AK188" s="26" t="str">
        <f>VLOOKUP($O188,'records (2)'!$A:$Z,15,FALSE)</f>
        <v>Françoise CHENE</v>
      </c>
      <c r="AL188" s="26" t="str">
        <f>VLOOKUP($O188,'records (2)'!$A:$Z,10,FALSE)</f>
        <v>003IV000010tJXlYAM</v>
      </c>
      <c r="AM188" s="26" t="str">
        <f>VLOOKUP($O188,'records (2)'!$A:$Z,11,FALSE)</f>
        <v>Françoise CHENE</v>
      </c>
      <c r="AN188" s="18">
        <v>1</v>
      </c>
      <c r="AO188" s="4">
        <v>500</v>
      </c>
      <c r="AP188" s="4">
        <v>500</v>
      </c>
      <c r="AQ188" s="20">
        <v>0</v>
      </c>
      <c r="AR188" s="6">
        <v>0</v>
      </c>
    </row>
    <row r="189" spans="1:44">
      <c r="A189" s="18" t="s">
        <v>801</v>
      </c>
      <c r="B189" s="18" t="s">
        <v>802</v>
      </c>
      <c r="C189" s="18" t="s">
        <v>803</v>
      </c>
      <c r="D189" s="18" t="s">
        <v>804</v>
      </c>
      <c r="E189" s="18" t="s">
        <v>52</v>
      </c>
      <c r="F189" s="18" t="s">
        <v>53</v>
      </c>
      <c r="G189" s="18"/>
      <c r="H189" s="19" t="s">
        <v>1216</v>
      </c>
      <c r="I189" s="23" t="s">
        <v>1217</v>
      </c>
      <c r="J189" s="24">
        <v>46023</v>
      </c>
      <c r="K189" s="24">
        <v>46387</v>
      </c>
      <c r="L189" s="24" t="s">
        <v>1218</v>
      </c>
      <c r="M189" s="24" t="s">
        <v>1219</v>
      </c>
      <c r="N189" s="24">
        <v>46023</v>
      </c>
      <c r="O189" s="24" t="str">
        <f>VLOOKUP(D189,records!$A:$U,10,FALSE)</f>
        <v>0012p00004Ns8DaAAJ</v>
      </c>
      <c r="P189" s="24" t="str">
        <f>VLOOKUP(D189,records!$A:$V,20,FALSE)</f>
        <v>FR35326118502</v>
      </c>
      <c r="Q189" s="24" t="str">
        <f>VLOOKUP(D189,records!$A:$V,12,FALSE)</f>
        <v>32 611 850 200 136</v>
      </c>
      <c r="R189" s="24" t="s">
        <v>1220</v>
      </c>
      <c r="S189" s="24" t="str">
        <f>VLOOKUP(D189,records!$A:$U,19,FALSE)</f>
        <v>factures.fournisseurs@pierre-fabre.com</v>
      </c>
      <c r="T189" s="26" t="s">
        <v>1221</v>
      </c>
      <c r="U189" s="26" t="s">
        <v>1222</v>
      </c>
      <c r="V189" s="26" t="str">
        <f>VLOOKUP($D189,records!$A:$V,3,FALSE)</f>
        <v>PIERRE FABRE MEDICAMENT sas</v>
      </c>
      <c r="W189" s="26"/>
      <c r="X189" s="26" t="str">
        <f>VLOOKUP($D189,records!$A:$V,9,FALSE)</f>
        <v>16 Rue Jean Rostand</v>
      </c>
      <c r="Y189" s="26" t="str">
        <f>VLOOKUP($D189,records!$A:$V,4,FALSE)</f>
        <v>GAILLAC</v>
      </c>
      <c r="Z189" s="26" t="str">
        <f>VLOOKUP($D189,records!$A:$V,7,FALSE)</f>
        <v>81600</v>
      </c>
      <c r="AA189" s="26" t="s">
        <v>1223</v>
      </c>
      <c r="AB189" s="26">
        <f>VLOOKUP(O189,'records (2)'!$A:$Z,8,FALSE)</f>
        <v>30</v>
      </c>
      <c r="AC189" s="26" t="b">
        <v>0</v>
      </c>
      <c r="AD189" s="26"/>
      <c r="AE189" s="26"/>
      <c r="AF189" s="26" t="str">
        <f>VLOOKUP($D189,records!$A:$V,13,FALSE)</f>
        <v>PIERRE FABRE MEDICAMENT sas</v>
      </c>
      <c r="AG189" s="26" t="s">
        <v>1226</v>
      </c>
      <c r="AH189" s="26" t="str">
        <f>VLOOKUP($D189,records!$A:$V,19,FALSE)</f>
        <v>factures.fournisseurs@pierre-fabre.com</v>
      </c>
      <c r="AI189" s="26" t="str">
        <f>VLOOKUP($D189,records!$A:$V,14,FALSE)</f>
        <v>.</v>
      </c>
      <c r="AJ189" s="26" t="str">
        <f>VLOOKUP($O189,'records (2)'!$A:$Z,14,FALSE)</f>
        <v>003IV000010tRVPYA2</v>
      </c>
      <c r="AK189" s="26" t="str">
        <f>VLOOKUP($O189,'records (2)'!$A:$Z,15,FALSE)</f>
        <v>Nathalie AZA</v>
      </c>
      <c r="AL189" s="26" t="str">
        <f>VLOOKUP($O189,'records (2)'!$A:$Z,10,FALSE)</f>
        <v>003IV000010tRVPYA2</v>
      </c>
      <c r="AM189" s="26" t="str">
        <f>VLOOKUP($O189,'records (2)'!$A:$Z,11,FALSE)</f>
        <v>Nathalie AZA</v>
      </c>
      <c r="AN189" s="18">
        <v>1</v>
      </c>
      <c r="AO189" s="4">
        <v>1000</v>
      </c>
      <c r="AP189" s="4">
        <v>1000</v>
      </c>
      <c r="AQ189" s="20">
        <v>0</v>
      </c>
      <c r="AR189" s="6">
        <v>0</v>
      </c>
    </row>
    <row r="190" spans="1:44">
      <c r="A190" s="18" t="s">
        <v>426</v>
      </c>
      <c r="B190" s="18" t="s">
        <v>427</v>
      </c>
      <c r="C190" s="18" t="s">
        <v>427</v>
      </c>
      <c r="D190" s="18" t="s">
        <v>428</v>
      </c>
      <c r="E190" s="18" t="s">
        <v>52</v>
      </c>
      <c r="F190" s="18" t="s">
        <v>53</v>
      </c>
      <c r="G190" s="18"/>
      <c r="H190" s="19" t="s">
        <v>1216</v>
      </c>
      <c r="I190" s="23" t="s">
        <v>1217</v>
      </c>
      <c r="J190" s="24">
        <v>46023</v>
      </c>
      <c r="K190" s="24">
        <v>46387</v>
      </c>
      <c r="L190" s="24" t="s">
        <v>1218</v>
      </c>
      <c r="M190" s="24" t="s">
        <v>1219</v>
      </c>
      <c r="N190" s="24">
        <v>46023</v>
      </c>
      <c r="O190" s="24" t="str">
        <f>VLOOKUP(D190,records!$A:$U,10,FALSE)</f>
        <v>001SZ000001Abp0YAC</v>
      </c>
      <c r="P190" s="24" t="str">
        <f>VLOOKUP(D190,records!$A:$V,20,FALSE)</f>
        <v>FR95335146312</v>
      </c>
      <c r="Q190" s="24" t="str">
        <f>VLOOKUP(D190,records!$A:$V,12,FALSE)</f>
        <v>33 514 631 200 509</v>
      </c>
      <c r="R190" s="24" t="s">
        <v>1220</v>
      </c>
      <c r="S190" s="24" t="str">
        <f>VLOOKUP(D190,records!$A:$U,19,FALSE)</f>
        <v>factures.fournisseursabb@ironmountain.fr</v>
      </c>
      <c r="T190" s="26" t="s">
        <v>1221</v>
      </c>
      <c r="U190" s="26" t="s">
        <v>1222</v>
      </c>
      <c r="V190" s="26" t="str">
        <f>VLOOKUP($D190,records!$A:$V,3,FALSE)</f>
        <v>ABB FRANCE sas</v>
      </c>
      <c r="W190" s="26" t="str">
        <f>IFERROR(VLOOKUP($D190,records!$A:$V,6,FALSE),)</f>
        <v>Service Comptable</v>
      </c>
      <c r="X190" s="26" t="str">
        <f>VLOOKUP($D190,records!$A:$V,9,FALSE)</f>
        <v>324 Rue du Chat Botté - CS20400 BEYNOST</v>
      </c>
      <c r="Y190" s="26" t="str">
        <f>VLOOKUP($D190,records!$A:$V,4,FALSE)</f>
        <v>MIRIBEL CEDEX</v>
      </c>
      <c r="Z190" s="26" t="str">
        <f>VLOOKUP($D190,records!$A:$V,7,FALSE)</f>
        <v>1708</v>
      </c>
      <c r="AA190" s="26" t="s">
        <v>1223</v>
      </c>
      <c r="AB190" s="26">
        <f>VLOOKUP(O190,'records (2)'!$A:$Z,8,FALSE)</f>
        <v>45</v>
      </c>
      <c r="AC190" s="26" t="b">
        <f>VLOOKUP(O190,'records (4)'!$A:$C,3,FALSE)</f>
        <v>1</v>
      </c>
      <c r="AD190" s="26" t="s">
        <v>1225</v>
      </c>
      <c r="AE190" s="24">
        <v>46023</v>
      </c>
      <c r="AF190" s="26" t="str">
        <f>VLOOKUP($D190,records!$A:$V,13,FALSE)</f>
        <v>ABB FRANCE sas</v>
      </c>
      <c r="AG190" s="26" t="s">
        <v>1226</v>
      </c>
      <c r="AH190" s="26" t="str">
        <f>VLOOKUP($D190,records!$A:$V,19,FALSE)</f>
        <v>factures.fournisseursabb@ironmountain.fr</v>
      </c>
      <c r="AI190" s="26" t="str">
        <f>VLOOKUP($D190,records!$A:$V,14,FALSE)</f>
        <v>.</v>
      </c>
      <c r="AJ190" s="26" t="str">
        <f>VLOOKUP($O190,'records (2)'!$A:$Z,14,FALSE)</f>
        <v>003IV000010tSkYYAU</v>
      </c>
      <c r="AK190" s="26" t="str">
        <f>VLOOKUP($O190,'records (2)'!$A:$Z,15,FALSE)</f>
        <v>Pauline BALEYDIER</v>
      </c>
      <c r="AL190" s="26" t="str">
        <f>VLOOKUP($O190,'records (2)'!$A:$Z,10,FALSE)</f>
        <v>003IV000010tJXkYAM</v>
      </c>
      <c r="AM190" s="26" t="str">
        <f>VLOOKUP($O190,'records (2)'!$A:$Z,11,FALSE)</f>
        <v>Service Comptable ABB FRANCE</v>
      </c>
      <c r="AN190" s="18">
        <v>1</v>
      </c>
      <c r="AO190" s="4">
        <v>1000</v>
      </c>
      <c r="AP190" s="4">
        <v>1000</v>
      </c>
      <c r="AQ190" s="20">
        <v>0</v>
      </c>
      <c r="AR190" s="6">
        <v>0</v>
      </c>
    </row>
    <row r="191" spans="1:44">
      <c r="A191" s="18" t="s">
        <v>214</v>
      </c>
      <c r="B191" s="18" t="s">
        <v>215</v>
      </c>
      <c r="C191" s="18" t="s">
        <v>216</v>
      </c>
      <c r="D191" s="18" t="s">
        <v>217</v>
      </c>
      <c r="E191" s="18" t="s">
        <v>52</v>
      </c>
      <c r="F191" s="18" t="s">
        <v>53</v>
      </c>
      <c r="G191" s="18"/>
      <c r="H191" s="19" t="s">
        <v>1216</v>
      </c>
      <c r="I191" s="23" t="s">
        <v>1217</v>
      </c>
      <c r="J191" s="24">
        <v>46023</v>
      </c>
      <c r="K191" s="24">
        <v>46387</v>
      </c>
      <c r="L191" s="24" t="s">
        <v>1218</v>
      </c>
      <c r="M191" s="24" t="s">
        <v>1219</v>
      </c>
      <c r="N191" s="24">
        <v>46023</v>
      </c>
      <c r="O191" s="24" t="str">
        <f>VLOOKUP(D191,records!$A:$U,10,FALSE)</f>
        <v>001SZ000005J0EQYA0</v>
      </c>
      <c r="P191" s="24" t="str">
        <f>VLOOKUP(D191,records!$A:$V,20,FALSE)</f>
        <v>FR60612039073</v>
      </c>
      <c r="Q191" s="24" t="str">
        <f>VLOOKUP(D191,records!$A:$V,12,FALSE)</f>
        <v>61 203 907 300 400</v>
      </c>
      <c r="R191" s="24" t="s">
        <v>1220</v>
      </c>
      <c r="S191" s="24" t="str">
        <f>VLOOKUP(D191,records!$A:$U,19,FALSE)</f>
        <v>factures.interforum@interforum.fr</v>
      </c>
      <c r="T191" s="26" t="s">
        <v>1221</v>
      </c>
      <c r="U191" s="26" t="s">
        <v>1222</v>
      </c>
      <c r="V191" s="26" t="str">
        <f>VLOOKUP($D191,records!$A:$V,3,FALSE)</f>
        <v>INTERFORUM sas</v>
      </c>
      <c r="W191" s="26"/>
      <c r="X191" s="26" t="str">
        <f>VLOOKUP($D191,records!$A:$V,9,FALSE)</f>
        <v>92 Avenue de France</v>
      </c>
      <c r="Y191" s="26" t="str">
        <f>VLOOKUP($D191,records!$A:$V,4,FALSE)</f>
        <v>PARIS</v>
      </c>
      <c r="Z191" s="26" t="str">
        <f>VLOOKUP($D191,records!$A:$V,7,FALSE)</f>
        <v>75013</v>
      </c>
      <c r="AA191" s="26" t="s">
        <v>1223</v>
      </c>
      <c r="AB191" s="26">
        <f>VLOOKUP(O191,'records (2)'!$A:$Z,8,FALSE)</f>
        <v>30</v>
      </c>
      <c r="AC191" s="26" t="b">
        <v>0</v>
      </c>
      <c r="AD191" s="26"/>
      <c r="AE191" s="26"/>
      <c r="AF191" s="26" t="str">
        <f>VLOOKUP($D191,records!$A:$V,13,FALSE)</f>
        <v>INTERFORUM sas</v>
      </c>
      <c r="AG191" s="26" t="s">
        <v>1226</v>
      </c>
      <c r="AH191" s="26" t="str">
        <f>VLOOKUP($D191,records!$A:$V,19,FALSE)</f>
        <v>factures.interforum@interforum.fr</v>
      </c>
      <c r="AI191" s="26" t="str">
        <f>VLOOKUP($D191,records!$A:$V,14,FALSE)</f>
        <v>.</v>
      </c>
      <c r="AJ191" s="26" t="str">
        <f>VLOOKUP($O191,'records (2)'!$A:$Z,14,FALSE)</f>
        <v>003IV000010su8qYAA</v>
      </c>
      <c r="AK191" s="26" t="str">
        <f>VLOOKUP($O191,'records (2)'!$A:$Z,15,FALSE)</f>
        <v>Grégory GUION-FIRMIN</v>
      </c>
      <c r="AL191" s="26" t="str">
        <f>VLOOKUP($O191,'records (2)'!$A:$Z,10,FALSE)</f>
        <v>003IV000010su8qYAA</v>
      </c>
      <c r="AM191" s="26" t="str">
        <f>VLOOKUP($O191,'records (2)'!$A:$Z,11,FALSE)</f>
        <v>Grégory GUION-FIRMIN</v>
      </c>
      <c r="AN191" s="18">
        <v>1</v>
      </c>
      <c r="AO191" s="4">
        <v>4000</v>
      </c>
      <c r="AP191" s="4">
        <v>4000</v>
      </c>
      <c r="AQ191" s="20">
        <v>0</v>
      </c>
      <c r="AR191" s="6">
        <v>0</v>
      </c>
    </row>
    <row r="192" spans="1:44">
      <c r="A192" s="18" t="s">
        <v>828</v>
      </c>
      <c r="B192" s="18" t="s">
        <v>829</v>
      </c>
      <c r="C192" s="18" t="s">
        <v>830</v>
      </c>
      <c r="D192" s="18" t="s">
        <v>831</v>
      </c>
      <c r="E192" s="18" t="s">
        <v>52</v>
      </c>
      <c r="F192" s="18" t="s">
        <v>53</v>
      </c>
      <c r="G192" s="18"/>
      <c r="H192" s="19" t="s">
        <v>1216</v>
      </c>
      <c r="I192" s="23" t="s">
        <v>1217</v>
      </c>
      <c r="J192" s="24">
        <v>46023</v>
      </c>
      <c r="K192" s="24">
        <v>46387</v>
      </c>
      <c r="L192" s="24" t="s">
        <v>1218</v>
      </c>
      <c r="M192" s="24" t="s">
        <v>1219</v>
      </c>
      <c r="N192" s="24">
        <v>46023</v>
      </c>
      <c r="O192" s="24" t="str">
        <f>VLOOKUP(D192,records!$A:$U,10,FALSE)</f>
        <v>0012p00004MSGzvAAH</v>
      </c>
      <c r="P192" s="24" t="str">
        <f>VLOOKUP(D192,records!$A:$V,20,FALSE)</f>
        <v>FR65849726161</v>
      </c>
      <c r="Q192" s="24" t="str">
        <f>VLOOKUP(D192,records!$A:$V,12,FALSE)</f>
        <v>84 972 616 100 029</v>
      </c>
      <c r="R192" s="24" t="s">
        <v>1220</v>
      </c>
      <c r="S192" s="24" t="str">
        <f>VLOOKUP(D192,records!$A:$U,19,FALSE)</f>
        <v>factures.irigo@ratpdev.com</v>
      </c>
      <c r="T192" s="26" t="s">
        <v>1221</v>
      </c>
      <c r="U192" s="26" t="s">
        <v>1222</v>
      </c>
      <c r="V192" s="26" t="str">
        <f>VLOOKUP($D192,records!$A:$V,3,FALSE)</f>
        <v>RD ANGERS sasu</v>
      </c>
      <c r="W192" s="26"/>
      <c r="X192" s="26" t="str">
        <f>VLOOKUP($D192,records!$A:$V,9,FALSE)</f>
        <v>6 rue du Bois Rinier</v>
      </c>
      <c r="Y192" s="26" t="str">
        <f>VLOOKUP($D192,records!$A:$V,4,FALSE)</f>
        <v>SAINT-BARTHÉLEMY-D'ANJOU CEDEX</v>
      </c>
      <c r="Z192" s="26" t="str">
        <f>VLOOKUP($D192,records!$A:$V,7,FALSE)</f>
        <v>49180</v>
      </c>
      <c r="AA192" s="26" t="s">
        <v>1223</v>
      </c>
      <c r="AB192" s="26">
        <f>VLOOKUP(O192,'records (2)'!$A:$Z,8,FALSE)</f>
        <v>30</v>
      </c>
      <c r="AC192" s="26" t="b">
        <v>0</v>
      </c>
      <c r="AD192" s="26"/>
      <c r="AE192" s="26"/>
      <c r="AF192" s="26" t="str">
        <f>VLOOKUP($D192,records!$A:$V,13,FALSE)</f>
        <v>RD ANGERS sasu</v>
      </c>
      <c r="AG192" s="26" t="s">
        <v>1226</v>
      </c>
      <c r="AH192" s="26" t="str">
        <f>VLOOKUP($D192,records!$A:$V,19,FALSE)</f>
        <v>factures.irigo@ratpdev.com</v>
      </c>
      <c r="AI192" s="26" t="str">
        <f>VLOOKUP($D192,records!$A:$V,14,FALSE)</f>
        <v>.</v>
      </c>
      <c r="AJ192" s="26" t="str">
        <f>VLOOKUP($O192,'records (2)'!$A:$Z,14,FALSE)</f>
        <v>003IV000010t2B6YAI</v>
      </c>
      <c r="AK192" s="26" t="str">
        <f>VLOOKUP($O192,'records (2)'!$A:$Z,15,FALSE)</f>
        <v>Irigo Factures - RD ANGERS</v>
      </c>
      <c r="AL192" s="26" t="str">
        <f>VLOOKUP($O192,'records (2)'!$A:$Z,10,FALSE)</f>
        <v>003IV000010t2B6YAI</v>
      </c>
      <c r="AM192" s="26" t="str">
        <f>VLOOKUP($O192,'records (2)'!$A:$Z,11,FALSE)</f>
        <v>Irigo Factures - RD ANGERS</v>
      </c>
      <c r="AN192" s="18">
        <v>1</v>
      </c>
      <c r="AO192" s="4">
        <v>500</v>
      </c>
      <c r="AP192" s="4">
        <v>500</v>
      </c>
      <c r="AQ192" s="20">
        <v>0</v>
      </c>
      <c r="AR192" s="6">
        <v>0</v>
      </c>
    </row>
    <row r="193" spans="1:44">
      <c r="A193" s="18" t="s">
        <v>363</v>
      </c>
      <c r="B193" s="18" t="s">
        <v>364</v>
      </c>
      <c r="C193" s="18" t="s">
        <v>365</v>
      </c>
      <c r="D193" s="18" t="s">
        <v>366</v>
      </c>
      <c r="E193" s="18" t="s">
        <v>16</v>
      </c>
      <c r="F193" s="18" t="s">
        <v>17</v>
      </c>
      <c r="G193" s="18"/>
      <c r="H193" s="19" t="s">
        <v>1216</v>
      </c>
      <c r="I193" s="23" t="s">
        <v>1217</v>
      </c>
      <c r="J193" s="24">
        <v>46023</v>
      </c>
      <c r="K193" s="24">
        <v>46387</v>
      </c>
      <c r="L193" s="24" t="s">
        <v>1218</v>
      </c>
      <c r="M193" s="24" t="s">
        <v>1219</v>
      </c>
      <c r="N193" s="24">
        <v>46023</v>
      </c>
      <c r="O193" s="24" t="str">
        <f>VLOOKUP(D193,records!$A:$U,10,FALSE)</f>
        <v>001SZ00000F7jSnYAJ</v>
      </c>
      <c r="P193" s="24" t="str">
        <f>VLOOKUP(D193,records!$A:$V,20,FALSE)</f>
        <v>FR28056502958</v>
      </c>
      <c r="Q193" s="24" t="str">
        <f>VLOOKUP(D193,records!$A:$V,12,FALSE)</f>
        <v>5 650 295 800 095</v>
      </c>
      <c r="R193" s="24" t="s">
        <v>1220</v>
      </c>
      <c r="S193" s="24" t="str">
        <f>VLOOKUP(D193,records!$A:$U,19,FALSE)</f>
        <v>factures.rossignol@rossignol.com</v>
      </c>
      <c r="T193" s="26" t="s">
        <v>1221</v>
      </c>
      <c r="U193" s="26" t="s">
        <v>1222</v>
      </c>
      <c r="V193" s="26" t="str">
        <f>VLOOKUP($D193,records!$A:$V,3,FALSE)</f>
        <v>SKIS ROSSIGNOL - CLUB ROSSIGNOL sasu</v>
      </c>
      <c r="W193" s="26" t="str">
        <f>IFERROR(VLOOKUP($D193,records!$A:$V,6,FALSE),)</f>
        <v>Ressources Humaines</v>
      </c>
      <c r="X193" s="26" t="str">
        <f>VLOOKUP($D193,records!$A:$V,9,FALSE)</f>
        <v>98 Rue Louis Barran</v>
      </c>
      <c r="Y193" s="26" t="str">
        <f>VLOOKUP($D193,records!$A:$V,4,FALSE)</f>
        <v>SAINT-JEAN-DE-MOIRANS</v>
      </c>
      <c r="Z193" s="26" t="str">
        <f>VLOOKUP($D193,records!$A:$V,7,FALSE)</f>
        <v>38430</v>
      </c>
      <c r="AA193" s="26" t="s">
        <v>1223</v>
      </c>
      <c r="AB193" s="26">
        <f>VLOOKUP(O193,'records (2)'!$A:$Z,8,FALSE)</f>
        <v>45</v>
      </c>
      <c r="AC193" s="26" t="b">
        <v>0</v>
      </c>
      <c r="AD193" s="26"/>
      <c r="AE193" s="26"/>
      <c r="AF193" s="26" t="str">
        <f>VLOOKUP($D193,records!$A:$V,13,FALSE)</f>
        <v>SKIS ROSSIGNOL - CLUB ROSSIGNOL sasu</v>
      </c>
      <c r="AG193" s="26" t="s">
        <v>1226</v>
      </c>
      <c r="AH193" s="26" t="str">
        <f>VLOOKUP($D193,records!$A:$V,19,FALSE)</f>
        <v>factures.rossignol@rossignol.com</v>
      </c>
      <c r="AI193" s="26" t="str">
        <f>VLOOKUP($D193,records!$A:$V,14,FALSE)</f>
        <v>.</v>
      </c>
      <c r="AJ193" s="26" t="str">
        <f>VLOOKUP($O193,'records (2)'!$A:$Z,14,FALSE)</f>
        <v>003IV000010tIdXYAU</v>
      </c>
      <c r="AK193" s="26" t="str">
        <f>VLOOKUP($O193,'records (2)'!$A:$Z,15,FALSE)</f>
        <v>Nathalie NIVON</v>
      </c>
      <c r="AL193" s="26" t="str">
        <f>VLOOKUP($O193,'records (2)'!$A:$Z,10,FALSE)</f>
        <v>003IV000010tJZfYAM</v>
      </c>
      <c r="AM193" s="26" t="str">
        <f>VLOOKUP($O193,'records (2)'!$A:$Z,11,FALSE)</f>
        <v>Florian VEYET</v>
      </c>
      <c r="AN193" s="18">
        <v>1</v>
      </c>
      <c r="AO193" s="4">
        <v>4000</v>
      </c>
      <c r="AP193" s="4">
        <v>4000</v>
      </c>
      <c r="AQ193" s="20">
        <v>0</v>
      </c>
      <c r="AR193" s="6">
        <v>0</v>
      </c>
    </row>
    <row r="194" spans="1:44">
      <c r="A194" s="18" t="s">
        <v>494</v>
      </c>
      <c r="B194" s="18" t="s">
        <v>495</v>
      </c>
      <c r="C194" s="18" t="s">
        <v>496</v>
      </c>
      <c r="D194" s="18" t="s">
        <v>497</v>
      </c>
      <c r="E194" s="18" t="s">
        <v>52</v>
      </c>
      <c r="F194" s="18" t="s">
        <v>53</v>
      </c>
      <c r="G194" s="18"/>
      <c r="H194" s="19" t="s">
        <v>1216</v>
      </c>
      <c r="I194" s="23" t="s">
        <v>1217</v>
      </c>
      <c r="J194" s="24">
        <v>46023</v>
      </c>
      <c r="K194" s="24">
        <v>46387</v>
      </c>
      <c r="L194" s="24" t="s">
        <v>1218</v>
      </c>
      <c r="M194" s="24" t="s">
        <v>1219</v>
      </c>
      <c r="N194" s="24">
        <v>46023</v>
      </c>
      <c r="O194" s="24" t="str">
        <f>VLOOKUP(D194,records!$A:$U,10,FALSE)</f>
        <v>0012p00004RmmCBAAZ</v>
      </c>
      <c r="P194" s="24" t="str">
        <f>VLOOKUP(D194,records!$A:$V,20,FALSE)</f>
        <v>FR36319200721</v>
      </c>
      <c r="Q194" s="24" t="str">
        <f>VLOOKUP(D194,records!$A:$V,12,FALSE)</f>
        <v>31 920 072 100 011</v>
      </c>
      <c r="R194" s="24" t="s">
        <v>1220</v>
      </c>
      <c r="S194" s="24" t="str">
        <f>VLOOKUP(D194,records!$A:$U,19,FALSE)</f>
        <v>factures@cheddite.com</v>
      </c>
      <c r="T194" s="26" t="s">
        <v>1221</v>
      </c>
      <c r="U194" s="26" t="s">
        <v>1222</v>
      </c>
      <c r="V194" s="26" t="str">
        <f>VLOOKUP($D194,records!$A:$V,3,FALSE)</f>
        <v>CHEDDITE FRANCE sa</v>
      </c>
      <c r="W194" s="26"/>
      <c r="X194" s="26" t="str">
        <f>VLOOKUP($D194,records!$A:$V,9,FALSE)</f>
        <v>99 Avenue de Lyon</v>
      </c>
      <c r="Y194" s="26" t="str">
        <f>VLOOKUP($D194,records!$A:$V,4,FALSE)</f>
        <v>BOURG-LES-VALENCE</v>
      </c>
      <c r="Z194" s="26" t="str">
        <f>VLOOKUP($D194,records!$A:$V,7,FALSE)</f>
        <v>26500</v>
      </c>
      <c r="AA194" s="26" t="s">
        <v>1223</v>
      </c>
      <c r="AB194" s="26">
        <f>VLOOKUP(O194,'records (2)'!$A:$Z,8,FALSE)</f>
        <v>30</v>
      </c>
      <c r="AC194" s="26" t="b">
        <v>0</v>
      </c>
      <c r="AD194" s="26"/>
      <c r="AE194" s="26"/>
      <c r="AF194" s="26" t="str">
        <f>VLOOKUP($D194,records!$A:$V,13,FALSE)</f>
        <v>CHEDDITE FRANCE sa</v>
      </c>
      <c r="AG194" s="26" t="s">
        <v>1226</v>
      </c>
      <c r="AH194" s="26" t="str">
        <f>VLOOKUP($D194,records!$A:$V,19,FALSE)</f>
        <v>factures@cheddite.com</v>
      </c>
      <c r="AI194" s="26" t="str">
        <f>VLOOKUP($D194,records!$A:$V,14,FALSE)</f>
        <v>.</v>
      </c>
      <c r="AJ194" s="26" t="str">
        <f>VLOOKUP($O194,'records (2)'!$A:$Z,14,FALSE)</f>
        <v>003IV000010tPaPYAU</v>
      </c>
      <c r="AK194" s="26" t="str">
        <f>VLOOKUP($O194,'records (2)'!$A:$Z,15,FALSE)</f>
        <v>Cédric GRANGE (factures)</v>
      </c>
      <c r="AL194" s="26" t="str">
        <f>VLOOKUP($O194,'records (2)'!$A:$Z,10,FALSE)</f>
        <v>003IV000010tPaOYAU</v>
      </c>
      <c r="AM194" s="26" t="str">
        <f>VLOOKUP($O194,'records (2)'!$A:$Z,11,FALSE)</f>
        <v>Jean Michel COGNAULT</v>
      </c>
      <c r="AN194" s="18">
        <v>1</v>
      </c>
      <c r="AO194" s="4">
        <v>500</v>
      </c>
      <c r="AP194" s="4">
        <v>500</v>
      </c>
      <c r="AQ194" s="20">
        <v>0</v>
      </c>
      <c r="AR194" s="6">
        <v>0</v>
      </c>
    </row>
    <row r="195" spans="1:44">
      <c r="A195" s="18" t="s">
        <v>663</v>
      </c>
      <c r="B195" s="18" t="s">
        <v>664</v>
      </c>
      <c r="C195" s="18" t="s">
        <v>664</v>
      </c>
      <c r="D195" s="18" t="s">
        <v>665</v>
      </c>
      <c r="E195" s="18" t="s">
        <v>52</v>
      </c>
      <c r="F195" s="18" t="s">
        <v>53</v>
      </c>
      <c r="G195" s="18"/>
      <c r="H195" s="19" t="s">
        <v>1216</v>
      </c>
      <c r="I195" s="23" t="s">
        <v>1217</v>
      </c>
      <c r="J195" s="24">
        <v>46023</v>
      </c>
      <c r="K195" s="24">
        <v>46387</v>
      </c>
      <c r="L195" s="24" t="s">
        <v>1218</v>
      </c>
      <c r="M195" s="24" t="s">
        <v>1219</v>
      </c>
      <c r="N195" s="24">
        <v>46023</v>
      </c>
      <c r="O195" s="24" t="str">
        <f>VLOOKUP(D195,records!$A:$U,10,FALSE)</f>
        <v>0012p00004SfzWLAAZ</v>
      </c>
      <c r="P195" s="24" t="str">
        <f>VLOOKUP(D195,records!$A:$V,20,FALSE)</f>
        <v>FR68403630049</v>
      </c>
      <c r="Q195" s="24" t="str">
        <f>VLOOKUP(D195,records!$A:$V,12,FALSE)</f>
        <v>40 363 004 900 027</v>
      </c>
      <c r="R195" s="24" t="s">
        <v>1220</v>
      </c>
      <c r="S195" s="24" t="str">
        <f>VLOOKUP(D195,records!$A:$U,19,FALSE)</f>
        <v>factures@gallaud.com</v>
      </c>
      <c r="T195" s="26" t="s">
        <v>1221</v>
      </c>
      <c r="U195" s="26" t="s">
        <v>1222</v>
      </c>
      <c r="V195" s="26" t="str">
        <f>VLOOKUP($D195,records!$A:$V,3,FALSE)</f>
        <v>SOCIETE FINANCIERE GALLAUD sas</v>
      </c>
      <c r="W195" s="26"/>
      <c r="X195" s="26" t="str">
        <f>VLOOKUP($D195,records!$A:$V,9,FALSE)</f>
        <v>Zone Industrielle Les Narrons</v>
      </c>
      <c r="Y195" s="26" t="str">
        <f>VLOOKUP($D195,records!$A:$V,4,FALSE)</f>
        <v>ARGENTON SUR CREUSE</v>
      </c>
      <c r="Z195" s="26" t="str">
        <f>VLOOKUP($D195,records!$A:$V,7,FALSE)</f>
        <v>36200</v>
      </c>
      <c r="AA195" s="26" t="s">
        <v>1223</v>
      </c>
      <c r="AB195" s="26">
        <f>VLOOKUP(O195,'records (2)'!$A:$Z,8,FALSE)</f>
        <v>30</v>
      </c>
      <c r="AC195" s="26" t="b">
        <v>0</v>
      </c>
      <c r="AD195" s="26"/>
      <c r="AE195" s="26"/>
      <c r="AF195" s="26" t="str">
        <f>VLOOKUP($D195,records!$A:$V,13,FALSE)</f>
        <v>SOCIETE FINANCIERE GALLAUD sas</v>
      </c>
      <c r="AG195" s="26" t="s">
        <v>1226</v>
      </c>
      <c r="AH195" s="26" t="str">
        <f>VLOOKUP($D195,records!$A:$V,19,FALSE)</f>
        <v>factures@gallaud.com</v>
      </c>
      <c r="AI195" s="26" t="str">
        <f>VLOOKUP($D195,records!$A:$V,14,FALSE)</f>
        <v>.</v>
      </c>
      <c r="AJ195" s="26" t="str">
        <f>VLOOKUP($O195,'records (2)'!$A:$Z,14,FALSE)</f>
        <v>003IV000010su9CYAQ</v>
      </c>
      <c r="AK195" s="26" t="str">
        <f>VLOOKUP($O195,'records (2)'!$A:$Z,15,FALSE)</f>
        <v>Céline BIMBAUD</v>
      </c>
      <c r="AL195" s="26" t="str">
        <f>VLOOKUP($O195,'records (2)'!$A:$Z,10,FALSE)</f>
        <v>003IV000010su9CYAQ</v>
      </c>
      <c r="AM195" s="26" t="str">
        <f>VLOOKUP($O195,'records (2)'!$A:$Z,11,FALSE)</f>
        <v>Céline BIMBAUD</v>
      </c>
      <c r="AN195" s="18">
        <v>1</v>
      </c>
      <c r="AO195" s="4">
        <v>1000</v>
      </c>
      <c r="AP195" s="4">
        <v>1000</v>
      </c>
      <c r="AQ195" s="20">
        <v>0</v>
      </c>
      <c r="AR195" s="6">
        <v>0</v>
      </c>
    </row>
    <row r="196" spans="1:44">
      <c r="A196" s="18" t="s">
        <v>346</v>
      </c>
      <c r="B196" s="18" t="s">
        <v>347</v>
      </c>
      <c r="C196" s="18" t="s">
        <v>347</v>
      </c>
      <c r="D196" s="18" t="s">
        <v>348</v>
      </c>
      <c r="E196" s="18" t="s">
        <v>16</v>
      </c>
      <c r="F196" s="18" t="s">
        <v>17</v>
      </c>
      <c r="G196" s="18"/>
      <c r="H196" s="19" t="s">
        <v>1216</v>
      </c>
      <c r="I196" s="23" t="s">
        <v>1217</v>
      </c>
      <c r="J196" s="24">
        <v>46023</v>
      </c>
      <c r="K196" s="24">
        <v>46387</v>
      </c>
      <c r="L196" s="24" t="s">
        <v>1218</v>
      </c>
      <c r="M196" s="24" t="s">
        <v>1219</v>
      </c>
      <c r="N196" s="24">
        <v>46023</v>
      </c>
      <c r="O196" s="24" t="str">
        <f>VLOOKUP(D196,records!$A:$U,10,FALSE)</f>
        <v>0012p00004NeUmlAAF</v>
      </c>
      <c r="P196" s="24" t="str">
        <f>VLOOKUP(D196,records!$A:$V,20,FALSE)</f>
        <v>FR80552087777</v>
      </c>
      <c r="Q196" s="24" t="str">
        <f>VLOOKUP(D196,records!$A:$V,12,FALSE)</f>
        <v>55 208 777 700 033</v>
      </c>
      <c r="R196" s="24" t="s">
        <v>1220</v>
      </c>
      <c r="S196" s="24" t="str">
        <f>VLOOKUP(D196,records!$A:$U,19,FALSE)</f>
        <v>factures@maisonberger.fr</v>
      </c>
      <c r="T196" s="26" t="s">
        <v>1221</v>
      </c>
      <c r="U196" s="26" t="s">
        <v>1222</v>
      </c>
      <c r="V196" s="26" t="str">
        <f>VLOOKUP($D196,records!$A:$V,3,FALSE)</f>
        <v>PRODUITS BERGER sasu</v>
      </c>
      <c r="W196" s="26"/>
      <c r="X196" s="26" t="str">
        <f>VLOOKUP($D196,records!$A:$V,9,FALSE)</f>
        <v>1342 rue d'Elbeuf - 
 Bourgtheroulde-Infreville</v>
      </c>
      <c r="Y196" s="26" t="str">
        <f>VLOOKUP($D196,records!$A:$V,4,FALSE)</f>
        <v>GRAND-BOURGTHEROULDE</v>
      </c>
      <c r="Z196" s="26" t="str">
        <f>VLOOKUP($D196,records!$A:$V,7,FALSE)</f>
        <v>27520</v>
      </c>
      <c r="AA196" s="26" t="s">
        <v>1223</v>
      </c>
      <c r="AB196" s="26">
        <f>VLOOKUP(O196,'records (2)'!$A:$Z,8,FALSE)</f>
        <v>30</v>
      </c>
      <c r="AC196" s="26" t="b">
        <v>0</v>
      </c>
      <c r="AD196" s="26"/>
      <c r="AE196" s="26"/>
      <c r="AF196" s="26" t="str">
        <f>VLOOKUP($D196,records!$A:$V,13,FALSE)</f>
        <v>PRODUITS BERGER sasu</v>
      </c>
      <c r="AG196" s="26" t="s">
        <v>1226</v>
      </c>
      <c r="AH196" s="26" t="str">
        <f>VLOOKUP($D196,records!$A:$V,19,FALSE)</f>
        <v>factures@maisonberger.fr</v>
      </c>
      <c r="AI196" s="26">
        <f>VLOOKUP($D196,records!$A:$V,14,FALSE)</f>
        <v>0</v>
      </c>
      <c r="AJ196" s="26" t="str">
        <f>VLOOKUP($O196,'records (2)'!$A:$Z,14,FALSE)</f>
        <v>003IV000010t2FfYAI</v>
      </c>
      <c r="AK196" s="26" t="str">
        <f>VLOOKUP($O196,'records (2)'!$A:$Z,15,FALSE)</f>
        <v>Mélodie ROLAIN (Factures)</v>
      </c>
      <c r="AL196" s="26" t="str">
        <f>VLOOKUP($O196,'records (2)'!$A:$Z,10,FALSE)</f>
        <v>003IV000010t2FfYAI</v>
      </c>
      <c r="AM196" s="26" t="str">
        <f>VLOOKUP($O196,'records (2)'!$A:$Z,11,FALSE)</f>
        <v>Mélodie ROLAIN (Factures)</v>
      </c>
      <c r="AN196" s="18">
        <v>1</v>
      </c>
      <c r="AO196" s="4">
        <v>1000</v>
      </c>
      <c r="AP196" s="4">
        <v>1000</v>
      </c>
      <c r="AQ196" s="20">
        <v>0</v>
      </c>
      <c r="AR196" s="6">
        <v>0</v>
      </c>
    </row>
    <row r="197" spans="1:44">
      <c r="A197" s="18" t="s">
        <v>306</v>
      </c>
      <c r="B197" s="18" t="s">
        <v>307</v>
      </c>
      <c r="C197" s="18" t="s">
        <v>308</v>
      </c>
      <c r="D197" s="18" t="s">
        <v>309</v>
      </c>
      <c r="E197" s="18" t="s">
        <v>16</v>
      </c>
      <c r="F197" s="18" t="s">
        <v>17</v>
      </c>
      <c r="G197" s="18"/>
      <c r="H197" s="19" t="s">
        <v>1216</v>
      </c>
      <c r="I197" s="23" t="s">
        <v>1217</v>
      </c>
      <c r="J197" s="24">
        <v>46023</v>
      </c>
      <c r="K197" s="24">
        <v>46387</v>
      </c>
      <c r="L197" s="24" t="s">
        <v>1218</v>
      </c>
      <c r="M197" s="24" t="s">
        <v>1219</v>
      </c>
      <c r="N197" s="24">
        <v>46023</v>
      </c>
      <c r="O197" s="24" t="str">
        <f>VLOOKUP(D197,records!$A:$U,10,FALSE)</f>
        <v>0012p00004TGJy0AAH</v>
      </c>
      <c r="P197" s="24" t="str">
        <f>VLOOKUP(D197,records!$A:$V,20,FALSE)</f>
        <v>FR87479042285</v>
      </c>
      <c r="Q197" s="24" t="str">
        <f>VLOOKUP(D197,records!$A:$V,12,FALSE)</f>
        <v>47 904 228 500 029</v>
      </c>
      <c r="R197" s="24" t="s">
        <v>1220</v>
      </c>
      <c r="S197" s="24" t="str">
        <f>VLOOKUP(D197,records!$A:$U,19,FALSE)</f>
        <v>factures@norac.fr</v>
      </c>
      <c r="T197" s="26" t="s">
        <v>1221</v>
      </c>
      <c r="U197" s="26" t="s">
        <v>1222</v>
      </c>
      <c r="V197" s="26" t="str">
        <f>VLOOKUP($D197,records!$A:$V,3,FALSE)</f>
        <v>NORAC sas</v>
      </c>
      <c r="W197" s="26"/>
      <c r="X197" s="26" t="str">
        <f>VLOOKUP($D197,records!$A:$V,9,FALSE)</f>
        <v>2 et 3 place Hoche</v>
      </c>
      <c r="Y197" s="26" t="str">
        <f>VLOOKUP($D197,records!$A:$V,4,FALSE)</f>
        <v>RENNES</v>
      </c>
      <c r="Z197" s="26" t="str">
        <f>VLOOKUP($D197,records!$A:$V,7,FALSE)</f>
        <v>35000</v>
      </c>
      <c r="AA197" s="26" t="s">
        <v>1223</v>
      </c>
      <c r="AB197" s="26">
        <f>VLOOKUP(O197,'records (2)'!$A:$Z,8,FALSE)</f>
        <v>30</v>
      </c>
      <c r="AC197" s="26" t="b">
        <v>0</v>
      </c>
      <c r="AD197" s="26"/>
      <c r="AE197" s="26"/>
      <c r="AF197" s="26" t="str">
        <f>VLOOKUP($D197,records!$A:$V,13,FALSE)</f>
        <v>NORAC sas</v>
      </c>
      <c r="AG197" s="26" t="s">
        <v>1226</v>
      </c>
      <c r="AH197" s="26" t="str">
        <f>VLOOKUP($D197,records!$A:$V,19,FALSE)</f>
        <v>factures@norac.fr</v>
      </c>
      <c r="AI197" s="26" t="str">
        <f>VLOOKUP($D197,records!$A:$V,14,FALSE)</f>
        <v>.</v>
      </c>
      <c r="AJ197" s="26" t="str">
        <f>VLOOKUP($O197,'records (2)'!$A:$Z,14,FALSE)</f>
        <v>003IV000010sxGsYAI</v>
      </c>
      <c r="AK197" s="26" t="str">
        <f>VLOOKUP($O197,'records (2)'!$A:$Z,15,FALSE)</f>
        <v>Kelly RAYMONDAUD LARDEY</v>
      </c>
      <c r="AL197" s="26" t="str">
        <f>VLOOKUP($O197,'records (2)'!$A:$Z,10,FALSE)</f>
        <v>003IV000010sxGsYAI</v>
      </c>
      <c r="AM197" s="26" t="str">
        <f>VLOOKUP($O197,'records (2)'!$A:$Z,11,FALSE)</f>
        <v>Kelly RAYMONDAUD LARDEY</v>
      </c>
      <c r="AN197" s="18">
        <v>1</v>
      </c>
      <c r="AO197" s="4">
        <v>21000</v>
      </c>
      <c r="AP197" s="4">
        <v>21000</v>
      </c>
      <c r="AQ197" s="20">
        <v>0</v>
      </c>
      <c r="AR197" s="6">
        <v>0</v>
      </c>
    </row>
    <row r="198" spans="1:44">
      <c r="A198" s="18" t="s">
        <v>370</v>
      </c>
      <c r="B198" s="18" t="s">
        <v>371</v>
      </c>
      <c r="C198" s="18" t="s">
        <v>372</v>
      </c>
      <c r="D198" s="18" t="s">
        <v>373</v>
      </c>
      <c r="E198" s="18" t="s">
        <v>16</v>
      </c>
      <c r="F198" s="18" t="s">
        <v>17</v>
      </c>
      <c r="G198" s="18"/>
      <c r="H198" s="19" t="s">
        <v>1216</v>
      </c>
      <c r="I198" s="23" t="s">
        <v>1217</v>
      </c>
      <c r="J198" s="24">
        <v>46023</v>
      </c>
      <c r="K198" s="24">
        <v>46387</v>
      </c>
      <c r="L198" s="24" t="s">
        <v>1218</v>
      </c>
      <c r="M198" s="24" t="s">
        <v>1219</v>
      </c>
      <c r="N198" s="24">
        <v>46023</v>
      </c>
      <c r="O198" s="24" t="str">
        <f>VLOOKUP(D198,records!$A:$U,10,FALSE)</f>
        <v>001SZ0000026yGWYAY</v>
      </c>
      <c r="P198" s="24" t="str">
        <f>VLOOKUP(D198,records!$A:$V,20,FALSE)</f>
        <v>FR63430006643</v>
      </c>
      <c r="Q198" s="24" t="str">
        <f>VLOOKUP(D198,records!$A:$V,12,FALSE)</f>
        <v>43 000 664 300 034</v>
      </c>
      <c r="R198" s="24" t="s">
        <v>1220</v>
      </c>
      <c r="S198" s="24" t="str">
        <f>VLOOKUP(D198,records!$A:$U,19,FALSE)</f>
        <v>factures@snf.com</v>
      </c>
      <c r="T198" s="26" t="s">
        <v>1221</v>
      </c>
      <c r="U198" s="26" t="s">
        <v>1222</v>
      </c>
      <c r="V198" s="26" t="str">
        <f>VLOOKUP($D198,records!$A:$V,3,FALSE)</f>
        <v>SNF SA - WATER SCIENCE</v>
      </c>
      <c r="W198" s="26"/>
      <c r="X198" s="26" t="str">
        <f>VLOOKUP($D198,records!$A:$V,9,FALSE)</f>
        <v>ZAC de Milieux, Rue Adrienne Bolland</v>
      </c>
      <c r="Y198" s="26" t="str">
        <f>VLOOKUP($D198,records!$A:$V,4,FALSE)</f>
        <v>ANDREZIEUX</v>
      </c>
      <c r="Z198" s="26" t="str">
        <f>VLOOKUP($D198,records!$A:$V,7,FALSE)</f>
        <v>42163</v>
      </c>
      <c r="AA198" s="26" t="s">
        <v>1223</v>
      </c>
      <c r="AB198" s="26">
        <f>VLOOKUP(O198,'records (2)'!$A:$Z,8,FALSE)</f>
        <v>30</v>
      </c>
      <c r="AC198" s="26" t="b">
        <v>0</v>
      </c>
      <c r="AD198" s="26"/>
      <c r="AE198" s="26"/>
      <c r="AF198" s="26" t="str">
        <f>VLOOKUP($D198,records!$A:$V,13,FALSE)</f>
        <v>SNF SA - WATER SCIENCE</v>
      </c>
      <c r="AG198" s="26" t="s">
        <v>1226</v>
      </c>
      <c r="AH198" s="26" t="str">
        <f>VLOOKUP($D198,records!$A:$V,19,FALSE)</f>
        <v>factures@snf.com</v>
      </c>
      <c r="AI198" s="26" t="str">
        <f>VLOOKUP($D198,records!$A:$V,14,FALSE)</f>
        <v>.</v>
      </c>
      <c r="AJ198" s="26" t="str">
        <f>VLOOKUP($O198,'records (2)'!$A:$Z,14,FALSE)</f>
        <v>003IV000010su8HYAQ</v>
      </c>
      <c r="AK198" s="26" t="str">
        <f>VLOOKUP($O198,'records (2)'!$A:$Z,15,FALSE)</f>
        <v>Sylvie LUQUET</v>
      </c>
      <c r="AL198" s="26" t="str">
        <f>VLOOKUP($O198,'records (2)'!$A:$Z,10,FALSE)</f>
        <v>003IV000010su8HYAQ</v>
      </c>
      <c r="AM198" s="26" t="str">
        <f>VLOOKUP($O198,'records (2)'!$A:$Z,11,FALSE)</f>
        <v>Sylvie LUQUET</v>
      </c>
      <c r="AN198" s="18">
        <v>1</v>
      </c>
      <c r="AO198" s="4">
        <v>5000</v>
      </c>
      <c r="AP198" s="4">
        <v>5000</v>
      </c>
      <c r="AQ198" s="20">
        <v>0</v>
      </c>
      <c r="AR198" s="6">
        <v>0</v>
      </c>
    </row>
    <row r="199" spans="1:44">
      <c r="A199" s="18" t="s">
        <v>1143</v>
      </c>
      <c r="B199" s="18" t="s">
        <v>1144</v>
      </c>
      <c r="C199" s="18" t="s">
        <v>1145</v>
      </c>
      <c r="D199" s="18" t="s">
        <v>1146</v>
      </c>
      <c r="E199" s="18" t="s">
        <v>52</v>
      </c>
      <c r="F199" s="18" t="s">
        <v>53</v>
      </c>
      <c r="G199" s="18"/>
      <c r="H199" s="19" t="s">
        <v>1216</v>
      </c>
      <c r="I199" s="23" t="s">
        <v>1217</v>
      </c>
      <c r="J199" s="24">
        <v>46023</v>
      </c>
      <c r="K199" s="24">
        <v>46387</v>
      </c>
      <c r="L199" s="24" t="s">
        <v>1218</v>
      </c>
      <c r="M199" s="24" t="s">
        <v>1219</v>
      </c>
      <c r="N199" s="24">
        <v>46023</v>
      </c>
      <c r="O199" s="24" t="str">
        <f>VLOOKUP(D199,records!$A:$U,10,FALSE)</f>
        <v>001SZ00000Is7a1YAB</v>
      </c>
      <c r="P199" s="24" t="str">
        <f>VLOOKUP(D199,records!$A:$V,20,FALSE)</f>
        <v>FR93830922688</v>
      </c>
      <c r="Q199" s="24" t="str">
        <f>VLOOKUP(D199,records!$A:$V,12,FALSE)</f>
        <v>83 092 268 800 015</v>
      </c>
      <c r="R199" s="24" t="s">
        <v>1220</v>
      </c>
      <c r="S199" s="24" t="str">
        <f>VLOOKUP(D199,records!$A:$U,19,FALSE)</f>
        <v>factures_picot@dirickx.com</v>
      </c>
      <c r="T199" s="26" t="s">
        <v>1221</v>
      </c>
      <c r="U199" s="26" t="s">
        <v>1222</v>
      </c>
      <c r="V199" s="26" t="str">
        <f>VLOOKUP($D199,records!$A:$V,3,FALSE)</f>
        <v>PICOT sasu</v>
      </c>
      <c r="W199" s="26"/>
      <c r="X199" s="26" t="str">
        <f>VLOOKUP($D199,records!$A:$V,9,FALSE)</f>
        <v>Le Bas Rocher</v>
      </c>
      <c r="Y199" s="26" t="str">
        <f>VLOOKUP($D199,records!$A:$V,4,FALSE)</f>
        <v>CONGRIER</v>
      </c>
      <c r="Z199" s="26" t="str">
        <f>VLOOKUP($D199,records!$A:$V,7,FALSE)</f>
        <v>53800</v>
      </c>
      <c r="AA199" s="26" t="s">
        <v>1223</v>
      </c>
      <c r="AB199" s="26">
        <f>VLOOKUP(O199,'records (2)'!$A:$Z,8,FALSE)</f>
        <v>45</v>
      </c>
      <c r="AC199" s="26" t="b">
        <v>0</v>
      </c>
      <c r="AD199" s="26"/>
      <c r="AE199" s="26"/>
      <c r="AF199" s="26" t="str">
        <f>VLOOKUP($D199,records!$A:$V,13,FALSE)</f>
        <v>PICOT sasu</v>
      </c>
      <c r="AG199" s="26" t="s">
        <v>1226</v>
      </c>
      <c r="AH199" s="26" t="str">
        <f>VLOOKUP($D199,records!$A:$V,19,FALSE)</f>
        <v>factures_picot@dirickx.com</v>
      </c>
      <c r="AI199" s="26" t="str">
        <f>VLOOKUP($D199,records!$A:$V,14,FALSE)</f>
        <v>.</v>
      </c>
      <c r="AJ199" s="26" t="str">
        <f>VLOOKUP($O199,'records (2)'!$A:$Z,14,FALSE)</f>
        <v>003IV000010tJZxYAM</v>
      </c>
      <c r="AK199" s="26" t="str">
        <f>VLOOKUP($O199,'records (2)'!$A:$Z,15,FALSE)</f>
        <v>Valérie BOUDALI</v>
      </c>
      <c r="AL199" s="26" t="str">
        <f>VLOOKUP($O199,'records (2)'!$A:$Z,10,FALSE)</f>
        <v>003IV000010tJZxYAM</v>
      </c>
      <c r="AM199" s="26" t="str">
        <f>VLOOKUP($O199,'records (2)'!$A:$Z,11,FALSE)</f>
        <v>Valérie BOUDALI</v>
      </c>
      <c r="AN199" s="18">
        <v>1</v>
      </c>
      <c r="AO199" s="4">
        <v>500</v>
      </c>
      <c r="AP199" s="4">
        <v>500</v>
      </c>
      <c r="AQ199" s="20"/>
      <c r="AR199" s="6"/>
    </row>
    <row r="200" spans="1:44">
      <c r="A200" s="18" t="s">
        <v>74</v>
      </c>
      <c r="B200" s="18" t="s">
        <v>75</v>
      </c>
      <c r="C200" s="18" t="s">
        <v>76</v>
      </c>
      <c r="D200" s="18" t="s">
        <v>77</v>
      </c>
      <c r="E200" s="18" t="s">
        <v>23</v>
      </c>
      <c r="F200" s="18" t="s">
        <v>24</v>
      </c>
      <c r="G200" s="18"/>
      <c r="H200" s="19" t="s">
        <v>1216</v>
      </c>
      <c r="I200" s="23" t="s">
        <v>1217</v>
      </c>
      <c r="J200" s="24">
        <v>46023</v>
      </c>
      <c r="K200" s="24">
        <v>46387</v>
      </c>
      <c r="L200" s="24" t="s">
        <v>1218</v>
      </c>
      <c r="M200" s="24" t="s">
        <v>1219</v>
      </c>
      <c r="N200" s="24">
        <v>46023</v>
      </c>
      <c r="O200" s="24" t="str">
        <f>VLOOKUP(D200,records!$A:$U,10,FALSE)</f>
        <v>0012p00004MW9ZbAAL</v>
      </c>
      <c r="P200" s="24" t="str">
        <f>VLOOKUP(D200,records!$A:$V,20,FALSE)</f>
        <v>FR10383102340</v>
      </c>
      <c r="Q200" s="24" t="str">
        <f>VLOOKUP(D200,records!$A:$V,12,FALSE)</f>
        <v>38 310 234 000 023</v>
      </c>
      <c r="R200" s="24" t="s">
        <v>1220</v>
      </c>
      <c r="S200" s="24" t="str">
        <f>VLOOKUP(D200,records!$A:$U,19,FALSE)</f>
        <v>facturesats@ats-centre.fr</v>
      </c>
      <c r="T200" s="26" t="s">
        <v>1221</v>
      </c>
      <c r="U200" s="26" t="s">
        <v>1222</v>
      </c>
      <c r="V200" s="26" t="str">
        <f>VLOOKUP($D200,records!$A:$V,3,FALSE)</f>
        <v>APPLICATION TRAVAUX SPECIAUX - A.T.S. sas</v>
      </c>
      <c r="W200" s="26" t="str">
        <f>IFERROR(VLOOKUP($D200,records!$A:$V,6,FALSE),)</f>
        <v>Madame Virginie PAUL</v>
      </c>
      <c r="X200" s="26" t="str">
        <f>VLOOKUP($D200,records!$A:$V,9,FALSE)</f>
        <v>4 impasse de la Briaudière</v>
      </c>
      <c r="Y200" s="26" t="str">
        <f>VLOOKUP($D200,records!$A:$V,4,FALSE)</f>
        <v>BALLAN MIRE</v>
      </c>
      <c r="Z200" s="26" t="str">
        <f>VLOOKUP($D200,records!$A:$V,7,FALSE)</f>
        <v>37510</v>
      </c>
      <c r="AA200" s="26" t="s">
        <v>1223</v>
      </c>
      <c r="AB200" s="26">
        <f>VLOOKUP(O200,'records (2)'!$A:$Z,8,FALSE)</f>
        <v>30</v>
      </c>
      <c r="AC200" s="26" t="b">
        <v>0</v>
      </c>
      <c r="AD200" s="26"/>
      <c r="AE200" s="26"/>
      <c r="AF200" s="26" t="str">
        <f>VLOOKUP($D200,records!$A:$V,13,FALSE)</f>
        <v>APPLICATION TRAVAUX SPECIAUX - A.T.S. sas</v>
      </c>
      <c r="AG200" s="26" t="s">
        <v>1226</v>
      </c>
      <c r="AH200" s="26" t="str">
        <f>VLOOKUP($D200,records!$A:$V,19,FALSE)</f>
        <v>facturesats@ats-centre.fr</v>
      </c>
      <c r="AI200" s="26" t="str">
        <f>VLOOKUP($D200,records!$A:$V,14,FALSE)</f>
        <v>.</v>
      </c>
      <c r="AJ200" s="26" t="str">
        <f>VLOOKUP($O200,'records (2)'!$A:$Z,14,FALSE)</f>
        <v>003IV000010t23DYAQ</v>
      </c>
      <c r="AK200" s="26" t="str">
        <f>VLOOKUP($O200,'records (2)'!$A:$Z,15,FALSE)</f>
        <v>Virginie PAUL (Fourn)</v>
      </c>
      <c r="AL200" s="26" t="str">
        <f>VLOOKUP($O200,'records (2)'!$A:$Z,10,FALSE)</f>
        <v>003IV000010t23DYAQ</v>
      </c>
      <c r="AM200" s="26" t="str">
        <f>VLOOKUP($O200,'records (2)'!$A:$Z,11,FALSE)</f>
        <v>Virginie PAUL (Fourn)</v>
      </c>
      <c r="AN200" s="18">
        <v>1</v>
      </c>
      <c r="AO200" s="4">
        <v>1800</v>
      </c>
      <c r="AP200" s="4">
        <v>1800</v>
      </c>
      <c r="AQ200" s="20">
        <v>0</v>
      </c>
      <c r="AR200" s="6">
        <v>0</v>
      </c>
    </row>
    <row r="201" spans="1:44">
      <c r="A201" s="18" t="s">
        <v>539</v>
      </c>
      <c r="B201" s="18" t="s">
        <v>540</v>
      </c>
      <c r="C201" s="18" t="s">
        <v>541</v>
      </c>
      <c r="D201" s="18" t="s">
        <v>542</v>
      </c>
      <c r="E201" s="18" t="s">
        <v>52</v>
      </c>
      <c r="F201" s="18" t="s">
        <v>53</v>
      </c>
      <c r="G201" s="18"/>
      <c r="H201" s="19" t="s">
        <v>1216</v>
      </c>
      <c r="I201" s="23" t="s">
        <v>1217</v>
      </c>
      <c r="J201" s="24">
        <v>46023</v>
      </c>
      <c r="K201" s="24">
        <v>46387</v>
      </c>
      <c r="L201" s="24" t="s">
        <v>1218</v>
      </c>
      <c r="M201" s="24" t="s">
        <v>1219</v>
      </c>
      <c r="N201" s="24">
        <v>46023</v>
      </c>
      <c r="O201" s="24" t="str">
        <f>VLOOKUP(D201,records!$A:$U,10,FALSE)</f>
        <v>001SZ000008v6tjYAA</v>
      </c>
      <c r="P201" s="24" t="str">
        <f>VLOOKUP(D201,records!$A:$V,20,FALSE)</f>
        <v>FR57765200811</v>
      </c>
      <c r="Q201" s="24" t="str">
        <f>VLOOKUP(D201,records!$A:$V,12,FALSE)</f>
        <v>76 520 081 100 014</v>
      </c>
      <c r="R201" s="24" t="s">
        <v>1220</v>
      </c>
      <c r="S201" s="24" t="str">
        <f>VLOOKUP(D201,records!$A:$U,19,FALSE)</f>
        <v>factures-fourn@groupe-eda.com</v>
      </c>
      <c r="T201" s="26" t="s">
        <v>1221</v>
      </c>
      <c r="U201" s="26" t="s">
        <v>1222</v>
      </c>
      <c r="V201" s="26" t="str">
        <f>VLOOKUP($D201,records!$A:$V,3,FALSE)</f>
        <v>ETABLISSEMENTS GEORGES DAVID sas</v>
      </c>
      <c r="W201" s="26"/>
      <c r="X201" s="26" t="str">
        <f>VLOOKUP($D201,records!$A:$V,9,FALSE)</f>
        <v>36-40 Rue des Carmes</v>
      </c>
      <c r="Y201" s="26" t="str">
        <f>VLOOKUP($D201,records!$A:$V,4,FALSE)</f>
        <v>OYONNAX</v>
      </c>
      <c r="Z201" s="26" t="str">
        <f>VLOOKUP($D201,records!$A:$V,7,FALSE)</f>
        <v>1100</v>
      </c>
      <c r="AA201" s="26" t="s">
        <v>1223</v>
      </c>
      <c r="AB201" s="26">
        <f>VLOOKUP(O201,'records (2)'!$A:$Z,8,FALSE)</f>
        <v>30</v>
      </c>
      <c r="AC201" s="26" t="b">
        <v>0</v>
      </c>
      <c r="AD201" s="26"/>
      <c r="AE201" s="26"/>
      <c r="AF201" s="26" t="str">
        <f>VLOOKUP($D201,records!$A:$V,13,FALSE)</f>
        <v>ETABLISSEMENTS GEORGES DAVID sas</v>
      </c>
      <c r="AG201" s="26" t="s">
        <v>1226</v>
      </c>
      <c r="AH201" s="26" t="str">
        <f>VLOOKUP($D201,records!$A:$V,19,FALSE)</f>
        <v>factures-fourn@groupe-eda.com</v>
      </c>
      <c r="AI201" s="26" t="str">
        <f>VLOOKUP($D201,records!$A:$V,14,FALSE)</f>
        <v>.</v>
      </c>
      <c r="AJ201" s="26" t="str">
        <f>VLOOKUP($O201,'records (2)'!$A:$Z,14,FALSE)</f>
        <v>003IV000010tJZSYA2</v>
      </c>
      <c r="AK201" s="26" t="str">
        <f>VLOOKUP($O201,'records (2)'!$A:$Z,15,FALSE)</f>
        <v>Aurélien JACQUET</v>
      </c>
      <c r="AL201" s="26" t="str">
        <f>VLOOKUP($O201,'records (2)'!$A:$Z,10,FALSE)</f>
        <v>003IV000010tJZSYA2</v>
      </c>
      <c r="AM201" s="26" t="str">
        <f>VLOOKUP($O201,'records (2)'!$A:$Z,11,FALSE)</f>
        <v>Aurélien JACQUET</v>
      </c>
      <c r="AN201" s="18">
        <v>1</v>
      </c>
      <c r="AO201" s="4">
        <v>3000</v>
      </c>
      <c r="AP201" s="4">
        <v>3000</v>
      </c>
      <c r="AQ201" s="20">
        <v>0</v>
      </c>
      <c r="AR201" s="6">
        <v>0</v>
      </c>
    </row>
    <row r="202" spans="1:44">
      <c r="A202" s="18" t="s">
        <v>1033</v>
      </c>
      <c r="B202" s="18" t="s">
        <v>1034</v>
      </c>
      <c r="C202" s="18" t="s">
        <v>1035</v>
      </c>
      <c r="D202" s="18" t="s">
        <v>1036</v>
      </c>
      <c r="E202" s="18" t="s">
        <v>52</v>
      </c>
      <c r="F202" s="18" t="s">
        <v>53</v>
      </c>
      <c r="G202" s="18"/>
      <c r="H202" s="19" t="s">
        <v>1216</v>
      </c>
      <c r="I202" s="23" t="s">
        <v>1217</v>
      </c>
      <c r="J202" s="24">
        <v>46023</v>
      </c>
      <c r="K202" s="24">
        <v>46387</v>
      </c>
      <c r="L202" s="24" t="s">
        <v>1218</v>
      </c>
      <c r="M202" s="24" t="s">
        <v>1219</v>
      </c>
      <c r="N202" s="24">
        <v>46023</v>
      </c>
      <c r="O202" s="24" t="str">
        <f>VLOOKUP(D202,records!$A:$U,10,FALSE)</f>
        <v>001SZ00000GK58rYAD</v>
      </c>
      <c r="P202" s="24" t="str">
        <f>VLOOKUP(D202,records!$A:$V,20,FALSE)</f>
        <v>FR33344844998</v>
      </c>
      <c r="Q202" s="24" t="str">
        <f>VLOOKUP(D202,records!$A:$V,12,FALSE)</f>
        <v>34 484 499 800 023</v>
      </c>
      <c r="R202" s="24" t="s">
        <v>1220</v>
      </c>
      <c r="S202" s="24" t="str">
        <f>VLOOKUP(D202,records!$A:$U,19,FALSE)</f>
        <v>facturesfrs.france@akwel-automotive.com</v>
      </c>
      <c r="T202" s="26" t="s">
        <v>1221</v>
      </c>
      <c r="U202" s="26" t="s">
        <v>1222</v>
      </c>
      <c r="V202" s="26" t="str">
        <f>VLOOKUP($D202,records!$A:$V,3,FALSE)</f>
        <v>AKWEL sa</v>
      </c>
      <c r="W202" s="26"/>
      <c r="X202" s="26" t="str">
        <f>VLOOKUP($D202,records!$A:$V,9,FALSE)</f>
        <v>975 Route des Burgondes</v>
      </c>
      <c r="Y202" s="26" t="str">
        <f>VLOOKUP($D202,records!$A:$V,4,FALSE)</f>
        <v>CHAMPFROMIER</v>
      </c>
      <c r="Z202" s="26" t="str">
        <f>VLOOKUP($D202,records!$A:$V,7,FALSE)</f>
        <v>1410</v>
      </c>
      <c r="AA202" s="26" t="s">
        <v>1223</v>
      </c>
      <c r="AB202" s="26">
        <f>VLOOKUP(O202,'records (2)'!$A:$Z,8,FALSE)</f>
        <v>30</v>
      </c>
      <c r="AC202" s="26" t="b">
        <f>VLOOKUP(O202,'records (4)'!$A:$C,3,FALSE)</f>
        <v>1</v>
      </c>
      <c r="AD202" s="26" t="s">
        <v>1225</v>
      </c>
      <c r="AE202" s="24">
        <v>46023</v>
      </c>
      <c r="AF202" s="26" t="str">
        <f>VLOOKUP($D202,records!$A:$V,13,FALSE)</f>
        <v>AKWEL sa</v>
      </c>
      <c r="AG202" s="26" t="s">
        <v>1226</v>
      </c>
      <c r="AH202" s="26" t="str">
        <f>VLOOKUP($D202,records!$A:$V,19,FALSE)</f>
        <v>facturesfrs.france@akwel-automotive.com</v>
      </c>
      <c r="AI202" s="26" t="str">
        <f>VLOOKUP($D202,records!$A:$V,14,FALSE)</f>
        <v>.</v>
      </c>
      <c r="AJ202" s="26" t="str">
        <f>VLOOKUP($O202,'records (2)'!$A:$Z,14,FALSE)</f>
        <v>003IV000010tJZhYAM</v>
      </c>
      <c r="AK202" s="26" t="str">
        <f>VLOOKUP($O202,'records (2)'!$A:$Z,15,FALSE)</f>
        <v>Compta Fournisseurs AKWEL</v>
      </c>
      <c r="AL202" s="26" t="str">
        <f>VLOOKUP($O202,'records (2)'!$A:$Z,10,FALSE)</f>
        <v>003IV000010tJZhYAM</v>
      </c>
      <c r="AM202" s="26" t="str">
        <f>VLOOKUP($O202,'records (2)'!$A:$Z,11,FALSE)</f>
        <v>Compta Fournisseurs AKWEL</v>
      </c>
      <c r="AN202" s="18">
        <v>1</v>
      </c>
      <c r="AO202" s="4">
        <v>3500</v>
      </c>
      <c r="AP202" s="4">
        <v>3500</v>
      </c>
      <c r="AQ202" s="20">
        <v>0</v>
      </c>
      <c r="AR202" s="6">
        <v>0</v>
      </c>
    </row>
    <row r="203" spans="1:44">
      <c r="A203" s="18" t="s">
        <v>633</v>
      </c>
      <c r="B203" s="18" t="s">
        <v>634</v>
      </c>
      <c r="C203" s="18" t="s">
        <v>635</v>
      </c>
      <c r="D203" s="18" t="s">
        <v>636</v>
      </c>
      <c r="E203" s="18" t="s">
        <v>52</v>
      </c>
      <c r="F203" s="18" t="s">
        <v>53</v>
      </c>
      <c r="G203" s="18"/>
      <c r="H203" s="19" t="s">
        <v>1216</v>
      </c>
      <c r="I203" s="23" t="s">
        <v>1217</v>
      </c>
      <c r="J203" s="24">
        <v>46023</v>
      </c>
      <c r="K203" s="24">
        <v>46387</v>
      </c>
      <c r="L203" s="24" t="s">
        <v>1218</v>
      </c>
      <c r="M203" s="24" t="s">
        <v>1219</v>
      </c>
      <c r="N203" s="24">
        <v>46023</v>
      </c>
      <c r="O203" s="24" t="str">
        <f>VLOOKUP(D203,records!$A:$U,10,FALSE)</f>
        <v>001SZ000004j6uzYAA</v>
      </c>
      <c r="P203" s="24" t="str">
        <f>VLOOKUP(D203,records!$A:$V,20,FALSE)</f>
        <v>FR21726580152</v>
      </c>
      <c r="Q203" s="24" t="str">
        <f>VLOOKUP(D203,records!$A:$V,12,FALSE)</f>
        <v>72 658 015 200 155</v>
      </c>
      <c r="R203" s="24" t="s">
        <v>1220</v>
      </c>
      <c r="S203" s="24" t="str">
        <f>VLOOKUP(D203,records!$A:$U,19,FALSE)</f>
        <v>facturesgerflorsas@gerflor.com</v>
      </c>
      <c r="T203" s="26" t="s">
        <v>1221</v>
      </c>
      <c r="U203" s="26" t="s">
        <v>1222</v>
      </c>
      <c r="V203" s="26" t="str">
        <f>VLOOKUP($D203,records!$A:$V,3,FALSE)</f>
        <v>GERFLOR sasu</v>
      </c>
      <c r="W203" s="26" t="str">
        <f>IFERROR(VLOOKUP($D203,records!$A:$V,6,FALSE),)</f>
        <v>Comptabilité Fournisseur -Centre de Service Partagé</v>
      </c>
      <c r="X203" s="26" t="str">
        <f>VLOOKUP($D203,records!$A:$V,9,FALSE)</f>
        <v>ZI du bois des lots - BP6</v>
      </c>
      <c r="Y203" s="26" t="str">
        <f>VLOOKUP($D203,records!$A:$V,4,FALSE)</f>
        <v>SAINT PAUL TROIS CHATEAUX</v>
      </c>
      <c r="Z203" s="26" t="str">
        <f>VLOOKUP($D203,records!$A:$V,7,FALSE)</f>
        <v>26130</v>
      </c>
      <c r="AA203" s="26" t="s">
        <v>1223</v>
      </c>
      <c r="AB203" s="26">
        <f>VLOOKUP(O203,'records (2)'!$A:$Z,8,FALSE)</f>
        <v>45</v>
      </c>
      <c r="AC203" s="26" t="b">
        <f>VLOOKUP(O203,'records (4)'!$A:$C,3,FALSE)</f>
        <v>1</v>
      </c>
      <c r="AD203" s="26" t="s">
        <v>1225</v>
      </c>
      <c r="AE203" s="24">
        <v>46023</v>
      </c>
      <c r="AF203" s="26" t="str">
        <f>VLOOKUP($D203,records!$A:$V,13,FALSE)</f>
        <v>GERFLOR sasu</v>
      </c>
      <c r="AG203" s="26" t="s">
        <v>1226</v>
      </c>
      <c r="AH203" s="26" t="str">
        <f>VLOOKUP($D203,records!$A:$V,19,FALSE)</f>
        <v>facturesgerflorsas@gerflor.com</v>
      </c>
      <c r="AI203" s="26" t="str">
        <f>VLOOKUP($D203,records!$A:$V,14,FALSE)</f>
        <v>.</v>
      </c>
      <c r="AJ203" s="26" t="str">
        <f>VLOOKUP($O203,'records (2)'!$A:$Z,14,FALSE)</f>
        <v>003IV000010su8hYAA</v>
      </c>
      <c r="AK203" s="26" t="str">
        <f>VLOOKUP($O203,'records (2)'!$A:$Z,15,FALSE)</f>
        <v>Christine ROUSSET</v>
      </c>
      <c r="AL203" s="26" t="str">
        <f>VLOOKUP($O203,'records (2)'!$A:$Z,10,FALSE)</f>
        <v>003IV000010tFE1YAM</v>
      </c>
      <c r="AM203" s="26" t="str">
        <f>VLOOKUP($O203,'records (2)'!$A:$Z,11,FALSE)</f>
        <v>Cécile VIOLLET</v>
      </c>
      <c r="AN203" s="18">
        <v>1</v>
      </c>
      <c r="AO203" s="4">
        <v>4000</v>
      </c>
      <c r="AP203" s="4">
        <v>4000</v>
      </c>
      <c r="AQ203" s="20">
        <v>0</v>
      </c>
      <c r="AR203" s="6">
        <v>0</v>
      </c>
    </row>
    <row r="204" spans="1:44">
      <c r="A204" s="12" t="s">
        <v>633</v>
      </c>
      <c r="B204" s="12" t="s">
        <v>635</v>
      </c>
      <c r="C204" s="18" t="s">
        <v>635</v>
      </c>
      <c r="D204" s="18" t="s">
        <v>636</v>
      </c>
      <c r="E204" s="18" t="s">
        <v>1172</v>
      </c>
      <c r="F204" s="18" t="s">
        <v>1173</v>
      </c>
      <c r="G204" s="18"/>
      <c r="H204" s="19" t="s">
        <v>1216</v>
      </c>
      <c r="I204" s="23" t="s">
        <v>1217</v>
      </c>
      <c r="J204" s="24">
        <v>46023</v>
      </c>
      <c r="K204" s="24">
        <v>46387</v>
      </c>
      <c r="L204" s="24" t="s">
        <v>1218</v>
      </c>
      <c r="M204" s="24" t="s">
        <v>1219</v>
      </c>
      <c r="N204" s="24">
        <v>46023</v>
      </c>
      <c r="O204" s="24" t="str">
        <f>VLOOKUP(D204,records!$A:$U,10,FALSE)</f>
        <v>001SZ000004j6uzYAA</v>
      </c>
      <c r="P204" s="24" t="str">
        <f>VLOOKUP(D204,records!$A:$V,20,FALSE)</f>
        <v>FR21726580152</v>
      </c>
      <c r="Q204" s="24" t="str">
        <f>VLOOKUP(D204,records!$A:$V,12,FALSE)</f>
        <v>72 658 015 200 155</v>
      </c>
      <c r="R204" s="24" t="s">
        <v>1220</v>
      </c>
      <c r="S204" s="24" t="str">
        <f>VLOOKUP(D204,records!$A:$U,19,FALSE)</f>
        <v>facturesgerflorsas@gerflor.com</v>
      </c>
      <c r="T204" s="26" t="s">
        <v>1221</v>
      </c>
      <c r="U204" s="26" t="s">
        <v>1222</v>
      </c>
      <c r="V204" s="26" t="str">
        <f>VLOOKUP($D204,records!$A:$V,3,FALSE)</f>
        <v>GERFLOR sasu</v>
      </c>
      <c r="W204" s="26" t="str">
        <f>IFERROR(VLOOKUP($D204,records!$A:$V,6,FALSE),)</f>
        <v>Comptabilité Fournisseur -Centre de Service Partagé</v>
      </c>
      <c r="X204" s="26" t="str">
        <f>VLOOKUP($D204,records!$A:$V,9,FALSE)</f>
        <v>ZI du bois des lots - BP6</v>
      </c>
      <c r="Y204" s="26" t="str">
        <f>VLOOKUP($D204,records!$A:$V,4,FALSE)</f>
        <v>SAINT PAUL TROIS CHATEAUX</v>
      </c>
      <c r="Z204" s="26" t="str">
        <f>VLOOKUP($D204,records!$A:$V,7,FALSE)</f>
        <v>26130</v>
      </c>
      <c r="AA204" s="26" t="s">
        <v>1223</v>
      </c>
      <c r="AB204" s="26">
        <f>VLOOKUP(O204,'records (2)'!$A:$Z,8,FALSE)</f>
        <v>45</v>
      </c>
      <c r="AC204" s="26" t="b">
        <f>VLOOKUP(O204,'records (4)'!$A:$C,3,FALSE)</f>
        <v>1</v>
      </c>
      <c r="AD204" s="26" t="s">
        <v>1225</v>
      </c>
      <c r="AE204" s="24">
        <v>46023</v>
      </c>
      <c r="AF204" s="26" t="str">
        <f>VLOOKUP($D204,records!$A:$V,13,FALSE)</f>
        <v>GERFLOR sasu</v>
      </c>
      <c r="AG204" s="26" t="s">
        <v>1226</v>
      </c>
      <c r="AH204" s="26" t="str">
        <f>VLOOKUP($D204,records!$A:$V,19,FALSE)</f>
        <v>facturesgerflorsas@gerflor.com</v>
      </c>
      <c r="AI204" s="26" t="str">
        <f>VLOOKUP($D204,records!$A:$V,14,FALSE)</f>
        <v>.</v>
      </c>
      <c r="AJ204" s="26" t="str">
        <f>VLOOKUP($O204,'records (2)'!$A:$Z,14,FALSE)</f>
        <v>003IV000010su8hYAA</v>
      </c>
      <c r="AK204" s="26" t="str">
        <f>VLOOKUP($O204,'records (2)'!$A:$Z,15,FALSE)</f>
        <v>Christine ROUSSET</v>
      </c>
      <c r="AL204" s="26" t="str">
        <f>VLOOKUP($O204,'records (2)'!$A:$Z,10,FALSE)</f>
        <v>003IV000010tFE1YAM</v>
      </c>
      <c r="AM204" s="26" t="str">
        <f>VLOOKUP($O204,'records (2)'!$A:$Z,11,FALSE)</f>
        <v>Cécile VIOLLET</v>
      </c>
      <c r="AN204" s="18">
        <v>1</v>
      </c>
      <c r="AO204" s="4">
        <v>600</v>
      </c>
      <c r="AP204" s="4">
        <v>600</v>
      </c>
      <c r="AQ204" s="20">
        <v>0</v>
      </c>
      <c r="AR204" s="6" t="s">
        <v>1174</v>
      </c>
    </row>
    <row r="205" spans="1:44">
      <c r="A205" s="12" t="s">
        <v>633</v>
      </c>
      <c r="B205" s="12" t="s">
        <v>635</v>
      </c>
      <c r="C205" s="18" t="s">
        <v>635</v>
      </c>
      <c r="D205" s="18" t="s">
        <v>636</v>
      </c>
      <c r="E205" s="18" t="s">
        <v>1177</v>
      </c>
      <c r="F205" s="18" t="s">
        <v>1178</v>
      </c>
      <c r="G205" s="18"/>
      <c r="H205" s="19" t="s">
        <v>1216</v>
      </c>
      <c r="I205" s="23" t="s">
        <v>1217</v>
      </c>
      <c r="J205" s="24">
        <v>46023</v>
      </c>
      <c r="K205" s="24">
        <v>46387</v>
      </c>
      <c r="L205" s="24" t="s">
        <v>1218</v>
      </c>
      <c r="M205" s="24" t="s">
        <v>1219</v>
      </c>
      <c r="N205" s="24">
        <v>46023</v>
      </c>
      <c r="O205" s="24" t="str">
        <f>VLOOKUP(D205,records!$A:$U,10,FALSE)</f>
        <v>001SZ000004j6uzYAA</v>
      </c>
      <c r="P205" s="24" t="str">
        <f>VLOOKUP(D205,records!$A:$V,20,FALSE)</f>
        <v>FR21726580152</v>
      </c>
      <c r="Q205" s="24" t="str">
        <f>VLOOKUP(D205,records!$A:$V,12,FALSE)</f>
        <v>72 658 015 200 155</v>
      </c>
      <c r="R205" s="24" t="s">
        <v>1220</v>
      </c>
      <c r="S205" s="24" t="str">
        <f>VLOOKUP(D205,records!$A:$U,19,FALSE)</f>
        <v>facturesgerflorsas@gerflor.com</v>
      </c>
      <c r="T205" s="26" t="s">
        <v>1221</v>
      </c>
      <c r="U205" s="26" t="s">
        <v>1222</v>
      </c>
      <c r="V205" s="26" t="str">
        <f>VLOOKUP($D205,records!$A:$V,3,FALSE)</f>
        <v>GERFLOR sasu</v>
      </c>
      <c r="W205" s="26" t="str">
        <f>IFERROR(VLOOKUP($D205,records!$A:$V,6,FALSE),)</f>
        <v>Comptabilité Fournisseur -Centre de Service Partagé</v>
      </c>
      <c r="X205" s="26" t="str">
        <f>VLOOKUP($D205,records!$A:$V,9,FALSE)</f>
        <v>ZI du bois des lots - BP6</v>
      </c>
      <c r="Y205" s="26" t="str">
        <f>VLOOKUP($D205,records!$A:$V,4,FALSE)</f>
        <v>SAINT PAUL TROIS CHATEAUX</v>
      </c>
      <c r="Z205" s="26" t="str">
        <f>VLOOKUP($D205,records!$A:$V,7,FALSE)</f>
        <v>26130</v>
      </c>
      <c r="AA205" s="26" t="s">
        <v>1223</v>
      </c>
      <c r="AB205" s="26">
        <f>VLOOKUP(O205,'records (2)'!$A:$Z,8,FALSE)</f>
        <v>45</v>
      </c>
      <c r="AC205" s="26" t="b">
        <f>VLOOKUP(O205,'records (4)'!$A:$C,3,FALSE)</f>
        <v>1</v>
      </c>
      <c r="AD205" s="26" t="s">
        <v>1225</v>
      </c>
      <c r="AE205" s="24">
        <v>46023</v>
      </c>
      <c r="AF205" s="26" t="str">
        <f>VLOOKUP($D205,records!$A:$V,13,FALSE)</f>
        <v>GERFLOR sasu</v>
      </c>
      <c r="AG205" s="26" t="s">
        <v>1226</v>
      </c>
      <c r="AH205" s="26" t="str">
        <f>VLOOKUP($D205,records!$A:$V,19,FALSE)</f>
        <v>facturesgerflorsas@gerflor.com</v>
      </c>
      <c r="AI205" s="26" t="str">
        <f>VLOOKUP($D205,records!$A:$V,14,FALSE)</f>
        <v>.</v>
      </c>
      <c r="AJ205" s="26" t="str">
        <f>VLOOKUP($O205,'records (2)'!$A:$Z,14,FALSE)</f>
        <v>003IV000010su8hYAA</v>
      </c>
      <c r="AK205" s="26" t="str">
        <f>VLOOKUP($O205,'records (2)'!$A:$Z,15,FALSE)</f>
        <v>Christine ROUSSET</v>
      </c>
      <c r="AL205" s="26" t="str">
        <f>VLOOKUP($O205,'records (2)'!$A:$Z,10,FALSE)</f>
        <v>003IV000010tFE1YAM</v>
      </c>
      <c r="AM205" s="26" t="str">
        <f>VLOOKUP($O205,'records (2)'!$A:$Z,11,FALSE)</f>
        <v>Cécile VIOLLET</v>
      </c>
      <c r="AN205" s="18">
        <v>1</v>
      </c>
      <c r="AO205" s="4">
        <v>750</v>
      </c>
      <c r="AP205" s="4">
        <v>750</v>
      </c>
      <c r="AQ205" s="20">
        <v>0</v>
      </c>
      <c r="AR205" s="6" t="s">
        <v>1174</v>
      </c>
    </row>
    <row r="206" spans="1:44">
      <c r="A206" s="18" t="s">
        <v>1014</v>
      </c>
      <c r="B206" s="18" t="s">
        <v>1015</v>
      </c>
      <c r="C206" s="18" t="s">
        <v>1016</v>
      </c>
      <c r="D206" s="18" t="s">
        <v>1017</v>
      </c>
      <c r="E206" s="18" t="s">
        <v>52</v>
      </c>
      <c r="F206" s="18" t="s">
        <v>53</v>
      </c>
      <c r="G206" s="18"/>
      <c r="H206" s="19" t="s">
        <v>1216</v>
      </c>
      <c r="I206" s="23" t="s">
        <v>1217</v>
      </c>
      <c r="J206" s="24">
        <v>46023</v>
      </c>
      <c r="K206" s="24">
        <v>46387</v>
      </c>
      <c r="L206" s="24" t="s">
        <v>1218</v>
      </c>
      <c r="M206" s="24" t="s">
        <v>1219</v>
      </c>
      <c r="N206" s="24">
        <v>46023</v>
      </c>
      <c r="O206" s="24" t="str">
        <f>VLOOKUP(D206,records!$A:$U,10,FALSE)</f>
        <v>0012p00004Q988TAAR</v>
      </c>
      <c r="P206" s="24" t="str">
        <f>VLOOKUP(D206,records!$A:$V,20,FALSE)</f>
        <v>FR82334961943</v>
      </c>
      <c r="Q206" s="24" t="str">
        <f>VLOOKUP(D206,records!$A:$V,12,FALSE)</f>
        <v>33 496 194 300 019</v>
      </c>
      <c r="R206" s="24" t="s">
        <v>1220</v>
      </c>
      <c r="S206" s="24" t="str">
        <f>VLOOKUP(D206,records!$A:$U,19,FALSE)</f>
        <v>fcryo.factures@fivesgroup.com</v>
      </c>
      <c r="T206" s="26" t="s">
        <v>1221</v>
      </c>
      <c r="U206" s="26" t="s">
        <v>1222</v>
      </c>
      <c r="V206" s="26" t="str">
        <f>VLOOKUP($D206,records!$A:$V,3,FALSE)</f>
        <v>FIVES CRYO sas</v>
      </c>
      <c r="W206" s="26"/>
      <c r="X206" s="26" t="str">
        <f>VLOOKUP($D206,records!$A:$V,9,FALSE)</f>
        <v>25 rue du Fort</v>
      </c>
      <c r="Y206" s="26" t="str">
        <f>VLOOKUP($D206,records!$A:$V,4,FALSE)</f>
        <v>GOLBEY</v>
      </c>
      <c r="Z206" s="26" t="str">
        <f>VLOOKUP($D206,records!$A:$V,7,FALSE)</f>
        <v>88190</v>
      </c>
      <c r="AA206" s="26" t="s">
        <v>1223</v>
      </c>
      <c r="AB206" s="26">
        <f>VLOOKUP(O206,'records (2)'!$A:$Z,8,FALSE)</f>
        <v>30</v>
      </c>
      <c r="AC206" s="26" t="b">
        <v>0</v>
      </c>
      <c r="AD206" s="26"/>
      <c r="AE206" s="26"/>
      <c r="AF206" s="26" t="str">
        <f>VLOOKUP($D206,records!$A:$V,13,FALSE)</f>
        <v>FIVES CRYO sas</v>
      </c>
      <c r="AG206" s="26" t="s">
        <v>1226</v>
      </c>
      <c r="AH206" s="26" t="str">
        <f>VLOOKUP($D206,records!$A:$V,19,FALSE)</f>
        <v>fcryo.factures@fivesgroup.com</v>
      </c>
      <c r="AI206" s="26" t="str">
        <f>VLOOKUP($D206,records!$A:$V,14,FALSE)</f>
        <v>.</v>
      </c>
      <c r="AJ206" s="26" t="str">
        <f>VLOOKUP($O206,'records (2)'!$A:$Z,14,FALSE)</f>
        <v>003IV000010t2FRYAY</v>
      </c>
      <c r="AK206" s="26" t="str">
        <f>VLOOKUP($O206,'records (2)'!$A:$Z,15,FALSE)</f>
        <v>Hélène CUEFF</v>
      </c>
      <c r="AL206" s="26" t="str">
        <f>VLOOKUP($O206,'records (2)'!$A:$Z,10,FALSE)</f>
        <v>003IV000010t2FRYAY</v>
      </c>
      <c r="AM206" s="26" t="str">
        <f>VLOOKUP($O206,'records (2)'!$A:$Z,11,FALSE)</f>
        <v>Hélène CUEFF</v>
      </c>
      <c r="AN206" s="18">
        <v>1</v>
      </c>
      <c r="AO206" s="4">
        <v>2500</v>
      </c>
      <c r="AP206" s="4">
        <v>2500</v>
      </c>
      <c r="AQ206" s="20">
        <v>0</v>
      </c>
      <c r="AR206" s="6">
        <v>0</v>
      </c>
    </row>
    <row r="207" spans="1:44">
      <c r="A207" s="18" t="s">
        <v>532</v>
      </c>
      <c r="B207" s="18" t="s">
        <v>533</v>
      </c>
      <c r="C207" s="18" t="s">
        <v>533</v>
      </c>
      <c r="D207" s="18" t="s">
        <v>534</v>
      </c>
      <c r="E207" s="18" t="s">
        <v>52</v>
      </c>
      <c r="F207" s="18" t="s">
        <v>53</v>
      </c>
      <c r="G207" s="18"/>
      <c r="H207" s="19" t="s">
        <v>1216</v>
      </c>
      <c r="I207" s="23" t="s">
        <v>1217</v>
      </c>
      <c r="J207" s="24">
        <v>46023</v>
      </c>
      <c r="K207" s="24">
        <v>46387</v>
      </c>
      <c r="L207" s="24" t="s">
        <v>1218</v>
      </c>
      <c r="M207" s="24" t="s">
        <v>1219</v>
      </c>
      <c r="N207" s="24">
        <v>46023</v>
      </c>
      <c r="O207" s="24" t="str">
        <f>VLOOKUP(D207,records!$A:$U,10,FALSE)</f>
        <v>001SZ000006i9oxYAA</v>
      </c>
      <c r="P207" s="24" t="str">
        <f>VLOOKUP(D207,records!$A:$V,20,FALSE)</f>
        <v>FR36499318178</v>
      </c>
      <c r="Q207" s="24" t="str">
        <f>VLOOKUP(D207,records!$A:$V,12,FALSE)</f>
        <v>49 931 817 800 021</v>
      </c>
      <c r="R207" s="24" t="s">
        <v>1220</v>
      </c>
      <c r="S207" s="24" t="str">
        <f>VLOOKUP(D207,records!$A:$U,19,FALSE)</f>
        <v>fgfin@dimotrans-group.com</v>
      </c>
      <c r="T207" s="26" t="s">
        <v>1221</v>
      </c>
      <c r="U207" s="26" t="s">
        <v>1222</v>
      </c>
      <c r="V207" s="26" t="str">
        <f>VLOOKUP($D207,records!$A:$V,3,FALSE)</f>
        <v>FINANCIERE DIMOTRANS sasu</v>
      </c>
      <c r="W207" s="26"/>
      <c r="X207" s="26" t="str">
        <f>VLOOKUP($D207,records!$A:$V,9,FALSE)</f>
        <v>Chemin du bois des Aies</v>
      </c>
      <c r="Y207" s="26" t="str">
        <f>VLOOKUP($D207,records!$A:$V,4,FALSE)</f>
        <v>PUSIGNAN</v>
      </c>
      <c r="Z207" s="26" t="str">
        <f>VLOOKUP($D207,records!$A:$V,7,FALSE)</f>
        <v>69282</v>
      </c>
      <c r="AA207" s="26" t="s">
        <v>1223</v>
      </c>
      <c r="AB207" s="26">
        <f>VLOOKUP(O207,'records (2)'!$A:$Z,8,FALSE)</f>
        <v>30</v>
      </c>
      <c r="AC207" s="26" t="b">
        <v>0</v>
      </c>
      <c r="AD207" s="26"/>
      <c r="AE207" s="26"/>
      <c r="AF207" s="26" t="str">
        <f>VLOOKUP($D207,records!$A:$V,13,FALSE)</f>
        <v>FINANCIERE DIMOTRANS sas</v>
      </c>
      <c r="AG207" s="26" t="s">
        <v>1226</v>
      </c>
      <c r="AH207" s="26" t="str">
        <f>VLOOKUP($D207,records!$A:$V,19,FALSE)</f>
        <v>fgfin@dimotrans-group.com</v>
      </c>
      <c r="AI207" s="26" t="str">
        <f>VLOOKUP($D207,records!$A:$V,14,FALSE)</f>
        <v>.</v>
      </c>
      <c r="AJ207" s="26" t="str">
        <f>VLOOKUP($O207,'records (2)'!$A:$Z,14,FALSE)</f>
        <v>003IV000010su94YAA</v>
      </c>
      <c r="AK207" s="26" t="str">
        <f>VLOOKUP($O207,'records (2)'!$A:$Z,15,FALSE)</f>
        <v>Malika BOUZERA</v>
      </c>
      <c r="AL207" s="26" t="str">
        <f>VLOOKUP($O207,'records (2)'!$A:$Z,10,FALSE)</f>
        <v>003IV000010su94YAA</v>
      </c>
      <c r="AM207" s="26" t="str">
        <f>VLOOKUP($O207,'records (2)'!$A:$Z,11,FALSE)</f>
        <v>Malika BOUZERA</v>
      </c>
      <c r="AN207" s="18">
        <v>1</v>
      </c>
      <c r="AO207" s="4">
        <v>4000</v>
      </c>
      <c r="AP207" s="4">
        <v>4000</v>
      </c>
      <c r="AQ207" s="20">
        <v>0</v>
      </c>
      <c r="AR207" s="6">
        <v>0</v>
      </c>
    </row>
    <row r="208" spans="1:44">
      <c r="A208" s="18" t="s">
        <v>594</v>
      </c>
      <c r="B208" s="18" t="s">
        <v>595</v>
      </c>
      <c r="C208" s="18" t="s">
        <v>595</v>
      </c>
      <c r="D208" s="18" t="s">
        <v>596</v>
      </c>
      <c r="E208" s="18" t="s">
        <v>52</v>
      </c>
      <c r="F208" s="18" t="s">
        <v>53</v>
      </c>
      <c r="G208" s="18"/>
      <c r="H208" s="19" t="s">
        <v>1216</v>
      </c>
      <c r="I208" s="23" t="s">
        <v>1217</v>
      </c>
      <c r="J208" s="24">
        <v>46023</v>
      </c>
      <c r="K208" s="24">
        <v>46387</v>
      </c>
      <c r="L208" s="24" t="s">
        <v>1218</v>
      </c>
      <c r="M208" s="24" t="s">
        <v>1219</v>
      </c>
      <c r="N208" s="24">
        <v>46023</v>
      </c>
      <c r="O208" s="24" t="str">
        <f>VLOOKUP(D208,records!$A:$U,10,FALSE)</f>
        <v>0012p00004TGvUGAA1</v>
      </c>
      <c r="P208" s="24" t="str">
        <f>VLOOKUP(D208,records!$A:$V,20,FALSE)</f>
        <v>FR14488385915</v>
      </c>
      <c r="Q208" s="24" t="str">
        <f>VLOOKUP(D208,records!$A:$V,12,FALSE)</f>
        <v>48 838 591 500 027</v>
      </c>
      <c r="R208" s="24" t="s">
        <v>1220</v>
      </c>
      <c r="S208" s="24" t="str">
        <f>VLOOKUP(D208,records!$A:$U,19,FALSE)</f>
        <v>finance.farmea@fareva.com</v>
      </c>
      <c r="T208" s="26" t="s">
        <v>1221</v>
      </c>
      <c r="U208" s="26" t="s">
        <v>1222</v>
      </c>
      <c r="V208" s="26" t="str">
        <f>VLOOKUP($D208,records!$A:$V,3,FALSE)</f>
        <v>FARMEA sasu</v>
      </c>
      <c r="W208" s="26"/>
      <c r="X208" s="26" t="str">
        <f>VLOOKUP($D208,records!$A:$V,9,FALSE)</f>
        <v>10 rue Bouché Thomas</v>
      </c>
      <c r="Y208" s="26" t="str">
        <f>VLOOKUP($D208,records!$A:$V,4,FALSE)</f>
        <v>ANGERS</v>
      </c>
      <c r="Z208" s="26" t="str">
        <f>VLOOKUP($D208,records!$A:$V,7,FALSE)</f>
        <v>49007</v>
      </c>
      <c r="AA208" s="26" t="s">
        <v>1223</v>
      </c>
      <c r="AB208" s="26">
        <f>VLOOKUP(O208,'records (2)'!$A:$Z,8,FALSE)</f>
        <v>45</v>
      </c>
      <c r="AC208" s="26" t="b">
        <v>0</v>
      </c>
      <c r="AD208" s="26"/>
      <c r="AE208" s="26"/>
      <c r="AF208" s="26" t="str">
        <f>VLOOKUP($D208,records!$A:$V,13,FALSE)</f>
        <v>FARMEA sasu</v>
      </c>
      <c r="AG208" s="26" t="s">
        <v>1226</v>
      </c>
      <c r="AH208" s="26" t="str">
        <f>VLOOKUP($D208,records!$A:$V,19,FALSE)</f>
        <v>finance.farmea@fareva.com</v>
      </c>
      <c r="AI208" s="26" t="str">
        <f>VLOOKUP($D208,records!$A:$V,14,FALSE)</f>
        <v>.</v>
      </c>
      <c r="AJ208" s="26" t="str">
        <f>VLOOKUP($O208,'records (2)'!$A:$Z,14,FALSE)</f>
        <v>003IV000010tIeWYAU</v>
      </c>
      <c r="AK208" s="26" t="str">
        <f>VLOOKUP($O208,'records (2)'!$A:$Z,15,FALSE)</f>
        <v>Département Finances FARMEA</v>
      </c>
      <c r="AL208" s="26" t="str">
        <f>VLOOKUP($O208,'records (2)'!$A:$Z,10,FALSE)</f>
        <v>003IV000010tIeWYAU</v>
      </c>
      <c r="AM208" s="26" t="str">
        <f>VLOOKUP($O208,'records (2)'!$A:$Z,11,FALSE)</f>
        <v>Département Finances FARMEA</v>
      </c>
      <c r="AN208" s="18">
        <v>1</v>
      </c>
      <c r="AO208" s="4">
        <v>1000</v>
      </c>
      <c r="AP208" s="4">
        <v>1000</v>
      </c>
      <c r="AQ208" s="20">
        <v>0</v>
      </c>
      <c r="AR208" s="6">
        <v>0</v>
      </c>
    </row>
    <row r="209" spans="1:44">
      <c r="A209" s="18" t="s">
        <v>952</v>
      </c>
      <c r="B209" s="18" t="s">
        <v>953</v>
      </c>
      <c r="C209" s="18" t="s">
        <v>953</v>
      </c>
      <c r="D209" s="18" t="s">
        <v>954</v>
      </c>
      <c r="E209" s="18" t="s">
        <v>52</v>
      </c>
      <c r="F209" s="18" t="s">
        <v>53</v>
      </c>
      <c r="G209" s="18"/>
      <c r="H209" s="19" t="s">
        <v>1216</v>
      </c>
      <c r="I209" s="23" t="s">
        <v>1217</v>
      </c>
      <c r="J209" s="24">
        <v>46023</v>
      </c>
      <c r="K209" s="24">
        <v>46387</v>
      </c>
      <c r="L209" s="24" t="s">
        <v>1218</v>
      </c>
      <c r="M209" s="24" t="s">
        <v>1219</v>
      </c>
      <c r="N209" s="24">
        <v>46023</v>
      </c>
      <c r="O209" s="24" t="str">
        <f>VLOOKUP(D209,records!$A:$U,10,FALSE)</f>
        <v>001SZ000003f5qIYAQ</v>
      </c>
      <c r="P209" s="24" t="str">
        <f>VLOOKUP(D209,records!$A:$V,20,FALSE)</f>
        <v>FR34837150424</v>
      </c>
      <c r="Q209" s="24" t="str">
        <f>VLOOKUP(D209,records!$A:$V,12,FALSE)</f>
        <v>83 715 042 400 039</v>
      </c>
      <c r="R209" s="24" t="s">
        <v>1220</v>
      </c>
      <c r="S209" s="24" t="str">
        <f>VLOOKUP(D209,records!$A:$U,19,FALSE)</f>
        <v>finance.fr@wavin.com</v>
      </c>
      <c r="T209" s="26" t="s">
        <v>1221</v>
      </c>
      <c r="U209" s="26" t="s">
        <v>1222</v>
      </c>
      <c r="V209" s="26" t="str">
        <f>VLOOKUP($D209,records!$A:$V,3,FALSE)</f>
        <v>WAVIN FRANCE sasu</v>
      </c>
      <c r="W209" s="26"/>
      <c r="X209" s="26" t="str">
        <f>VLOOKUP($D209,records!$A:$V,9,FALSE)</f>
        <v>1 ZI La Feuillouse</v>
      </c>
      <c r="Y209" s="26" t="str">
        <f>VLOOKUP($D209,records!$A:$V,4,FALSE)</f>
        <v>VARENNES SUR ALLIER</v>
      </c>
      <c r="Z209" s="26" t="str">
        <f>VLOOKUP($D209,records!$A:$V,7,FALSE)</f>
        <v>3150</v>
      </c>
      <c r="AA209" s="26" t="s">
        <v>1223</v>
      </c>
      <c r="AB209" s="26">
        <f>VLOOKUP(O209,'records (2)'!$A:$Z,8,FALSE)</f>
        <v>30</v>
      </c>
      <c r="AC209" s="26" t="b">
        <f>VLOOKUP(O209,'records (4)'!$A:$C,3,FALSE)</f>
        <v>1</v>
      </c>
      <c r="AD209" s="26" t="s">
        <v>1225</v>
      </c>
      <c r="AE209" s="24">
        <v>46023</v>
      </c>
      <c r="AF209" s="26" t="str">
        <f>VLOOKUP($D209,records!$A:$V,13,FALSE)</f>
        <v>WAVIN FRANCE sasu</v>
      </c>
      <c r="AG209" s="26" t="s">
        <v>1226</v>
      </c>
      <c r="AH209" s="26" t="str">
        <f>VLOOKUP($D209,records!$A:$V,19,FALSE)</f>
        <v>finance.fr@wavin.com</v>
      </c>
      <c r="AI209" s="26" t="str">
        <f>VLOOKUP($D209,records!$A:$V,14,FALSE)</f>
        <v>.</v>
      </c>
      <c r="AJ209" s="26" t="str">
        <f>VLOOKUP($O209,'records (2)'!$A:$Z,14,FALSE)</f>
        <v>003IV000010t45KYAQ</v>
      </c>
      <c r="AK209" s="26" t="str">
        <f>VLOOKUP($O209,'records (2)'!$A:$Z,15,FALSE)</f>
        <v>Béatrice VERNISSE</v>
      </c>
      <c r="AL209" s="26" t="str">
        <f>VLOOKUP($O209,'records (2)'!$A:$Z,10,FALSE)</f>
        <v>003IV000010t45KYAQ</v>
      </c>
      <c r="AM209" s="26" t="str">
        <f>VLOOKUP($O209,'records (2)'!$A:$Z,11,FALSE)</f>
        <v>Béatrice VERNISSE</v>
      </c>
      <c r="AN209" s="18">
        <v>1</v>
      </c>
      <c r="AO209" s="4">
        <v>500</v>
      </c>
      <c r="AP209" s="4">
        <v>500</v>
      </c>
      <c r="AQ209" s="20">
        <v>0</v>
      </c>
      <c r="AR209" s="6">
        <v>0</v>
      </c>
    </row>
    <row r="210" spans="1:44">
      <c r="A210" s="18" t="s">
        <v>128</v>
      </c>
      <c r="B210" s="18" t="s">
        <v>129</v>
      </c>
      <c r="C210" s="18" t="s">
        <v>130</v>
      </c>
      <c r="D210" s="18" t="s">
        <v>131</v>
      </c>
      <c r="E210" s="18" t="s">
        <v>16</v>
      </c>
      <c r="F210" s="18" t="s">
        <v>17</v>
      </c>
      <c r="G210" s="18"/>
      <c r="H210" s="19" t="s">
        <v>1216</v>
      </c>
      <c r="I210" s="23" t="s">
        <v>1217</v>
      </c>
      <c r="J210" s="24">
        <v>46023</v>
      </c>
      <c r="K210" s="24">
        <v>46387</v>
      </c>
      <c r="L210" s="24" t="s">
        <v>1218</v>
      </c>
      <c r="M210" s="24" t="s">
        <v>1219</v>
      </c>
      <c r="N210" s="24">
        <v>46023</v>
      </c>
      <c r="O210" s="24" t="str">
        <f>VLOOKUP(D210,records!$A:$U,10,FALSE)</f>
        <v>001SZ0000037tcLYAQ</v>
      </c>
      <c r="P210" s="24" t="str">
        <f>VLOOKUP(D210,records!$A:$V,20,FALSE)</f>
        <v>FR43558503959</v>
      </c>
      <c r="Q210" s="24" t="str">
        <f>VLOOKUP(D210,records!$A:$V,12,FALSE)</f>
        <v>55 850 395 900 022</v>
      </c>
      <c r="R210" s="24" t="s">
        <v>1220</v>
      </c>
      <c r="S210" s="24" t="str">
        <f>VLOOKUP(D210,records!$A:$U,19,FALSE)</f>
        <v>financefr@csmingredients.com</v>
      </c>
      <c r="T210" s="26" t="s">
        <v>1221</v>
      </c>
      <c r="U210" s="26" t="s">
        <v>1222</v>
      </c>
      <c r="V210" s="26" t="str">
        <f>VLOOKUP($D210,records!$A:$V,3,FALSE)</f>
        <v>CSM FRANCE sas</v>
      </c>
      <c r="W210" s="26"/>
      <c r="X210" s="26" t="str">
        <f>VLOOKUP($D210,records!$A:$V,9,FALSE)</f>
        <v>18 Rue de la Robertsau</v>
      </c>
      <c r="Y210" s="26" t="str">
        <f>VLOOKUP($D210,records!$A:$V,4,FALSE)</f>
        <v>BISCHHEIM</v>
      </c>
      <c r="Z210" s="26" t="str">
        <f>VLOOKUP($D210,records!$A:$V,7,FALSE)</f>
        <v>67800</v>
      </c>
      <c r="AA210" s="26" t="s">
        <v>1223</v>
      </c>
      <c r="AB210" s="26">
        <f>VLOOKUP(O210,'records (2)'!$A:$Z,8,FALSE)</f>
        <v>30</v>
      </c>
      <c r="AC210" s="26" t="b">
        <f>VLOOKUP(O210,'records (4)'!$A:$C,3,FALSE)</f>
        <v>1</v>
      </c>
      <c r="AD210" s="26" t="s">
        <v>1225</v>
      </c>
      <c r="AE210" s="24">
        <v>46023</v>
      </c>
      <c r="AF210" s="26" t="str">
        <f>VLOOKUP($D210,records!$A:$V,13,FALSE)</f>
        <v>CSM FRANCE sas</v>
      </c>
      <c r="AG210" s="26" t="s">
        <v>1226</v>
      </c>
      <c r="AH210" s="26" t="str">
        <f>VLOOKUP($D210,records!$A:$V,19,FALSE)</f>
        <v>financefr@csmingredients.com</v>
      </c>
      <c r="AI210" s="26" t="str">
        <f>VLOOKUP($D210,records!$A:$V,14,FALSE)</f>
        <v>.</v>
      </c>
      <c r="AJ210" s="26" t="str">
        <f>VLOOKUP($O210,'records (2)'!$A:$Z,14,FALSE)</f>
        <v>003IV000010tI5QYAU</v>
      </c>
      <c r="AK210" s="26" t="str">
        <f>VLOOKUP($O210,'records (2)'!$A:$Z,15,FALSE)</f>
        <v>Sabine UHLMANN</v>
      </c>
      <c r="AL210" s="26" t="str">
        <f>VLOOKUP($O210,'records (2)'!$A:$Z,10,FALSE)</f>
        <v>003IV000010tTqfYAE</v>
      </c>
      <c r="AM210" s="26" t="str">
        <f>VLOOKUP($O210,'records (2)'!$A:$Z,11,FALSE)</f>
        <v>Adresse Démat et recouvrement CSM FRANCE sas</v>
      </c>
      <c r="AN210" s="18">
        <v>1</v>
      </c>
      <c r="AO210" s="4">
        <v>1000</v>
      </c>
      <c r="AP210" s="4">
        <v>1000</v>
      </c>
      <c r="AQ210" s="20">
        <v>0</v>
      </c>
      <c r="AR210" s="6">
        <v>0</v>
      </c>
    </row>
    <row r="211" spans="1:44">
      <c r="A211" s="18" t="s">
        <v>616</v>
      </c>
      <c r="B211" s="18" t="s">
        <v>617</v>
      </c>
      <c r="C211" s="18" t="s">
        <v>1176</v>
      </c>
      <c r="D211" s="18" t="s">
        <v>618</v>
      </c>
      <c r="E211" s="18" t="s">
        <v>52</v>
      </c>
      <c r="F211" s="18" t="s">
        <v>53</v>
      </c>
      <c r="G211" s="18"/>
      <c r="H211" s="19" t="s">
        <v>1216</v>
      </c>
      <c r="I211" s="23" t="s">
        <v>1217</v>
      </c>
      <c r="J211" s="24">
        <v>46023</v>
      </c>
      <c r="K211" s="24">
        <v>46387</v>
      </c>
      <c r="L211" s="24" t="s">
        <v>1218</v>
      </c>
      <c r="M211" s="24" t="s">
        <v>1219</v>
      </c>
      <c r="N211" s="24">
        <v>46023</v>
      </c>
      <c r="O211" s="24" t="str">
        <f>VLOOKUP(D211,records!$A:$U,10,FALSE)</f>
        <v>001SZ0000092rCqYAI</v>
      </c>
      <c r="P211" s="24" t="str">
        <f>VLOOKUP(D211,records!$A:$V,20,FALSE)</f>
        <v>FR17419875786</v>
      </c>
      <c r="Q211" s="24" t="str">
        <f>VLOOKUP(D211,records!$A:$V,12,FALSE)</f>
        <v>41 987 578 600 032</v>
      </c>
      <c r="R211" s="24" t="s">
        <v>1220</v>
      </c>
      <c r="S211" s="24" t="str">
        <f>VLOOKUP(D211,records!$A:$U,19,FALSE)</f>
        <v>fk_france@fresenius-kabi.com</v>
      </c>
      <c r="T211" s="26" t="s">
        <v>1221</v>
      </c>
      <c r="U211" s="26" t="s">
        <v>1222</v>
      </c>
      <c r="V211" s="26" t="str">
        <f>VLOOKUP($D211,records!$A:$V,3,FALSE)</f>
        <v>FRESENIUS KABI FRANCE sas</v>
      </c>
      <c r="W211" s="26" t="str">
        <f>IFERROR(VLOOKUP($D211,records!$A:$V,6,FALSE),)</f>
        <v>Centre de coût 1N0308</v>
      </c>
      <c r="X211" s="26" t="str">
        <f>VLOOKUP($D211,records!$A:$V,9,FALSE)</f>
        <v>5 PLACE DU MARIVEL</v>
      </c>
      <c r="Y211" s="26" t="str">
        <f>VLOOKUP($D211,records!$A:$V,4,FALSE)</f>
        <v>SEVRES CEDEX</v>
      </c>
      <c r="Z211" s="26" t="str">
        <f>VLOOKUP($D211,records!$A:$V,7,FALSE)</f>
        <v>92316</v>
      </c>
      <c r="AA211" s="26" t="s">
        <v>1223</v>
      </c>
      <c r="AB211" s="26">
        <f>VLOOKUP(O211,'records (2)'!$A:$Z,8,FALSE)</f>
        <v>60</v>
      </c>
      <c r="AC211" s="26" t="b">
        <v>0</v>
      </c>
      <c r="AD211" s="26"/>
      <c r="AE211" s="26"/>
      <c r="AF211" s="26" t="str">
        <f>VLOOKUP($D211,records!$A:$V,13,FALSE)</f>
        <v>FRESENIUS KABI FRANCE sas</v>
      </c>
      <c r="AG211" s="26" t="s">
        <v>1226</v>
      </c>
      <c r="AH211" s="26" t="str">
        <f>VLOOKUP($D211,records!$A:$V,19,FALSE)</f>
        <v>fk_france@fresenius-kabi.com</v>
      </c>
      <c r="AI211" s="26" t="s">
        <v>1233</v>
      </c>
      <c r="AJ211" s="26" t="str">
        <f>VLOOKUP($O211,'records (2)'!$A:$Z,14,FALSE)</f>
        <v>003IV000010su9IYAQ</v>
      </c>
      <c r="AK211" s="26" t="str">
        <f>VLOOKUP($O211,'records (2)'!$A:$Z,15,FALSE)</f>
        <v>Compta FRESENIUS KABI</v>
      </c>
      <c r="AL211" s="26" t="str">
        <f>VLOOKUP($O211,'records (2)'!$A:$Z,10,FALSE)</f>
        <v>003IV000010su9IYAQ</v>
      </c>
      <c r="AM211" s="26" t="str">
        <f>VLOOKUP($O211,'records (2)'!$A:$Z,11,FALSE)</f>
        <v>Compta FRESENIUS KABI</v>
      </c>
      <c r="AN211" s="18">
        <v>1</v>
      </c>
      <c r="AO211" s="4">
        <v>4500</v>
      </c>
      <c r="AP211" s="4">
        <v>4500</v>
      </c>
      <c r="AQ211" s="20">
        <v>0</v>
      </c>
      <c r="AR211" s="6">
        <v>0</v>
      </c>
    </row>
    <row r="212" spans="1:44">
      <c r="A212" s="12" t="s">
        <v>616</v>
      </c>
      <c r="B212" s="12" t="s">
        <v>1175</v>
      </c>
      <c r="C212" s="18" t="s">
        <v>1176</v>
      </c>
      <c r="D212" s="18" t="s">
        <v>618</v>
      </c>
      <c r="E212" s="18" t="s">
        <v>1172</v>
      </c>
      <c r="F212" s="18" t="s">
        <v>1173</v>
      </c>
      <c r="G212" s="18"/>
      <c r="H212" s="19" t="s">
        <v>1216</v>
      </c>
      <c r="I212" s="23" t="s">
        <v>1217</v>
      </c>
      <c r="J212" s="24">
        <v>46023</v>
      </c>
      <c r="K212" s="24">
        <v>46387</v>
      </c>
      <c r="L212" s="24" t="s">
        <v>1218</v>
      </c>
      <c r="M212" s="24" t="s">
        <v>1219</v>
      </c>
      <c r="N212" s="24">
        <v>46023</v>
      </c>
      <c r="O212" s="24" t="str">
        <f>VLOOKUP(D212,records!$A:$U,10,FALSE)</f>
        <v>001SZ0000092rCqYAI</v>
      </c>
      <c r="P212" s="24" t="str">
        <f>VLOOKUP(D212,records!$A:$V,20,FALSE)</f>
        <v>FR17419875786</v>
      </c>
      <c r="Q212" s="24" t="str">
        <f>VLOOKUP(D212,records!$A:$V,12,FALSE)</f>
        <v>41 987 578 600 032</v>
      </c>
      <c r="R212" s="24" t="s">
        <v>1220</v>
      </c>
      <c r="S212" s="24" t="str">
        <f>VLOOKUP(D212,records!$A:$U,19,FALSE)</f>
        <v>fk_france@fresenius-kabi.com</v>
      </c>
      <c r="T212" s="26" t="s">
        <v>1221</v>
      </c>
      <c r="U212" s="26" t="s">
        <v>1222</v>
      </c>
      <c r="V212" s="26" t="str">
        <f>VLOOKUP($D212,records!$A:$V,3,FALSE)</f>
        <v>FRESENIUS KABI FRANCE sas</v>
      </c>
      <c r="W212" s="26" t="str">
        <f>IFERROR(VLOOKUP($D212,records!$A:$V,6,FALSE),)</f>
        <v>Centre de coût 1N0308</v>
      </c>
      <c r="X212" s="26" t="str">
        <f>VLOOKUP($D212,records!$A:$V,9,FALSE)</f>
        <v>5 PLACE DU MARIVEL</v>
      </c>
      <c r="Y212" s="26" t="str">
        <f>VLOOKUP($D212,records!$A:$V,4,FALSE)</f>
        <v>SEVRES CEDEX</v>
      </c>
      <c r="Z212" s="26" t="str">
        <f>VLOOKUP($D212,records!$A:$V,7,FALSE)</f>
        <v>92316</v>
      </c>
      <c r="AA212" s="26" t="s">
        <v>1223</v>
      </c>
      <c r="AB212" s="26">
        <f>VLOOKUP(O212,'records (2)'!$A:$Z,8,FALSE)</f>
        <v>60</v>
      </c>
      <c r="AC212" s="26" t="b">
        <v>0</v>
      </c>
      <c r="AD212" s="26"/>
      <c r="AE212" s="26"/>
      <c r="AF212" s="26" t="str">
        <f>VLOOKUP($D212,records!$A:$V,13,FALSE)</f>
        <v>FRESENIUS KABI FRANCE sas</v>
      </c>
      <c r="AG212" s="26" t="s">
        <v>1226</v>
      </c>
      <c r="AH212" s="26" t="str">
        <f>VLOOKUP($D212,records!$A:$V,19,FALSE)</f>
        <v>fk_france@fresenius-kabi.com</v>
      </c>
      <c r="AI212" s="26" t="s">
        <v>1233</v>
      </c>
      <c r="AJ212" s="26" t="str">
        <f>VLOOKUP($O212,'records (2)'!$A:$Z,14,FALSE)</f>
        <v>003IV000010su9IYAQ</v>
      </c>
      <c r="AK212" s="26" t="str">
        <f>VLOOKUP($O212,'records (2)'!$A:$Z,15,FALSE)</f>
        <v>Compta FRESENIUS KABI</v>
      </c>
      <c r="AL212" s="26" t="str">
        <f>VLOOKUP($O212,'records (2)'!$A:$Z,10,FALSE)</f>
        <v>003IV000010su9IYAQ</v>
      </c>
      <c r="AM212" s="26" t="str">
        <f>VLOOKUP($O212,'records (2)'!$A:$Z,11,FALSE)</f>
        <v>Compta FRESENIUS KABI</v>
      </c>
      <c r="AN212" s="18">
        <v>1</v>
      </c>
      <c r="AO212" s="4">
        <v>1200</v>
      </c>
      <c r="AP212" s="4">
        <v>1200</v>
      </c>
      <c r="AQ212" s="20">
        <v>0</v>
      </c>
      <c r="AR212" s="6" t="s">
        <v>1174</v>
      </c>
    </row>
    <row r="213" spans="1:44">
      <c r="A213" s="12" t="s">
        <v>616</v>
      </c>
      <c r="B213" s="12" t="s">
        <v>1176</v>
      </c>
      <c r="C213" s="18" t="s">
        <v>1176</v>
      </c>
      <c r="D213" s="18" t="s">
        <v>618</v>
      </c>
      <c r="E213" s="18" t="s">
        <v>1177</v>
      </c>
      <c r="F213" s="18" t="s">
        <v>1178</v>
      </c>
      <c r="G213" s="18"/>
      <c r="H213" s="19" t="s">
        <v>1216</v>
      </c>
      <c r="I213" s="23" t="s">
        <v>1217</v>
      </c>
      <c r="J213" s="24">
        <v>46023</v>
      </c>
      <c r="K213" s="24">
        <v>46387</v>
      </c>
      <c r="L213" s="24" t="s">
        <v>1218</v>
      </c>
      <c r="M213" s="24" t="s">
        <v>1219</v>
      </c>
      <c r="N213" s="24">
        <v>46023</v>
      </c>
      <c r="O213" s="24" t="str">
        <f>VLOOKUP(D213,records!$A:$U,10,FALSE)</f>
        <v>001SZ0000092rCqYAI</v>
      </c>
      <c r="P213" s="24" t="str">
        <f>VLOOKUP(D213,records!$A:$V,20,FALSE)</f>
        <v>FR17419875786</v>
      </c>
      <c r="Q213" s="24" t="str">
        <f>VLOOKUP(D213,records!$A:$V,12,FALSE)</f>
        <v>41 987 578 600 032</v>
      </c>
      <c r="R213" s="24" t="s">
        <v>1220</v>
      </c>
      <c r="S213" s="24" t="str">
        <f>VLOOKUP(D213,records!$A:$U,19,FALSE)</f>
        <v>fk_france@fresenius-kabi.com</v>
      </c>
      <c r="T213" s="26" t="s">
        <v>1221</v>
      </c>
      <c r="U213" s="26" t="s">
        <v>1222</v>
      </c>
      <c r="V213" s="26" t="str">
        <f>VLOOKUP($D213,records!$A:$V,3,FALSE)</f>
        <v>FRESENIUS KABI FRANCE sas</v>
      </c>
      <c r="W213" s="26" t="str">
        <f>IFERROR(VLOOKUP($D213,records!$A:$V,6,FALSE),)</f>
        <v>Centre de coût 1N0308</v>
      </c>
      <c r="X213" s="26" t="str">
        <f>VLOOKUP($D213,records!$A:$V,9,FALSE)</f>
        <v>5 PLACE DU MARIVEL</v>
      </c>
      <c r="Y213" s="26" t="str">
        <f>VLOOKUP($D213,records!$A:$V,4,FALSE)</f>
        <v>SEVRES CEDEX</v>
      </c>
      <c r="Z213" s="26" t="str">
        <f>VLOOKUP($D213,records!$A:$V,7,FALSE)</f>
        <v>92316</v>
      </c>
      <c r="AA213" s="26" t="s">
        <v>1223</v>
      </c>
      <c r="AB213" s="26">
        <f>VLOOKUP(O213,'records (2)'!$A:$Z,8,FALSE)</f>
        <v>60</v>
      </c>
      <c r="AC213" s="26" t="b">
        <v>0</v>
      </c>
      <c r="AD213" s="26"/>
      <c r="AE213" s="26"/>
      <c r="AF213" s="26" t="str">
        <f>VLOOKUP($D213,records!$A:$V,13,FALSE)</f>
        <v>FRESENIUS KABI FRANCE sas</v>
      </c>
      <c r="AG213" s="26" t="s">
        <v>1226</v>
      </c>
      <c r="AH213" s="26" t="str">
        <f>VLOOKUP($D213,records!$A:$V,19,FALSE)</f>
        <v>fk_france@fresenius-kabi.com</v>
      </c>
      <c r="AI213" s="26" t="s">
        <v>1233</v>
      </c>
      <c r="AJ213" s="26" t="str">
        <f>VLOOKUP($O213,'records (2)'!$A:$Z,14,FALSE)</f>
        <v>003IV000010su9IYAQ</v>
      </c>
      <c r="AK213" s="26" t="str">
        <f>VLOOKUP($O213,'records (2)'!$A:$Z,15,FALSE)</f>
        <v>Compta FRESENIUS KABI</v>
      </c>
      <c r="AL213" s="26" t="str">
        <f>VLOOKUP($O213,'records (2)'!$A:$Z,10,FALSE)</f>
        <v>003IV000010su9IYAQ</v>
      </c>
      <c r="AM213" s="26" t="str">
        <f>VLOOKUP($O213,'records (2)'!$A:$Z,11,FALSE)</f>
        <v>Compta FRESENIUS KABI</v>
      </c>
      <c r="AN213" s="18">
        <v>1</v>
      </c>
      <c r="AO213" s="4">
        <v>1000</v>
      </c>
      <c r="AP213" s="4">
        <v>1000</v>
      </c>
      <c r="AQ213" s="20">
        <v>0</v>
      </c>
      <c r="AR213" s="6" t="s">
        <v>1174</v>
      </c>
    </row>
    <row r="214" spans="1:44">
      <c r="A214" s="18" t="s">
        <v>165</v>
      </c>
      <c r="B214" s="18" t="s">
        <v>166</v>
      </c>
      <c r="C214" s="18" t="s">
        <v>167</v>
      </c>
      <c r="D214" s="18" t="s">
        <v>168</v>
      </c>
      <c r="E214" s="18" t="s">
        <v>23</v>
      </c>
      <c r="F214" s="18" t="s">
        <v>24</v>
      </c>
      <c r="G214" s="18"/>
      <c r="H214" s="19" t="s">
        <v>1216</v>
      </c>
      <c r="I214" s="23" t="s">
        <v>1217</v>
      </c>
      <c r="J214" s="24">
        <v>46023</v>
      </c>
      <c r="K214" s="24">
        <v>46387</v>
      </c>
      <c r="L214" s="24" t="s">
        <v>1218</v>
      </c>
      <c r="M214" s="24" t="s">
        <v>1219</v>
      </c>
      <c r="N214" s="24">
        <v>46023</v>
      </c>
      <c r="O214" s="24" t="str">
        <f>VLOOKUP(D214,records!$A:$U,10,FALSE)</f>
        <v>0012p00004RASj4AAH</v>
      </c>
      <c r="P214" s="24" t="str">
        <f>VLOOKUP(D214,records!$A:$V,20,FALSE)</f>
        <v>FR58352320279</v>
      </c>
      <c r="Q214" s="24" t="str">
        <f>VLOOKUP(D214,records!$A:$V,12,FALSE)</f>
        <v>35 232 027 900 073</v>
      </c>
      <c r="R214" s="24" t="s">
        <v>1220</v>
      </c>
      <c r="S214" s="24" t="str">
        <f>VLOOKUP(D214,records!$A:$U,19,FALSE)</f>
        <v>fmcfr.ap@fmc.com</v>
      </c>
      <c r="T214" s="26" t="s">
        <v>1221</v>
      </c>
      <c r="U214" s="26" t="s">
        <v>1222</v>
      </c>
      <c r="V214" s="26" t="str">
        <f>VLOOKUP($D214,records!$A:$V,3,FALSE)</f>
        <v>FMC FRANCE sasu</v>
      </c>
      <c r="W214" s="26"/>
      <c r="X214" s="26" t="str">
        <f>VLOOKUP($D214,records!$A:$V,9,FALSE)</f>
        <v>11 bis Quai Perrache</v>
      </c>
      <c r="Y214" s="26" t="str">
        <f>VLOOKUP($D214,records!$A:$V,4,FALSE)</f>
        <v>LYON</v>
      </c>
      <c r="Z214" s="26" t="str">
        <f>VLOOKUP($D214,records!$A:$V,7,FALSE)</f>
        <v>69002</v>
      </c>
      <c r="AA214" s="26" t="s">
        <v>1223</v>
      </c>
      <c r="AB214" s="26">
        <f>VLOOKUP(O214,'records (2)'!$A:$Z,8,FALSE)</f>
        <v>30</v>
      </c>
      <c r="AC214" s="26" t="b">
        <v>0</v>
      </c>
      <c r="AD214" s="26"/>
      <c r="AE214" s="26"/>
      <c r="AF214" s="26" t="str">
        <f>VLOOKUP($D214,records!$A:$V,13,FALSE)</f>
        <v>FMC FRANCE sasu</v>
      </c>
      <c r="AG214" s="26" t="s">
        <v>1226</v>
      </c>
      <c r="AH214" s="26" t="str">
        <f>VLOOKUP($D214,records!$A:$V,19,FALSE)</f>
        <v>fmcfr.ap@fmc.com</v>
      </c>
      <c r="AI214" s="26" t="str">
        <f>VLOOKUP($D214,records!$A:$V,14,FALSE)</f>
        <v>.</v>
      </c>
      <c r="AJ214" s="26" t="str">
        <f>VLOOKUP($O214,'records (2)'!$A:$Z,14,FALSE)</f>
        <v>003IV000010tIdxYAE</v>
      </c>
      <c r="AK214" s="26" t="str">
        <f>VLOOKUP($O214,'records (2)'!$A:$Z,15,FALSE)</f>
        <v>Anne MUGNIER</v>
      </c>
      <c r="AL214" s="26" t="str">
        <f>VLOOKUP($O214,'records (2)'!$A:$Z,10,FALSE)</f>
        <v>003IV000010tIdxYAE</v>
      </c>
      <c r="AM214" s="26" t="str">
        <f>VLOOKUP($O214,'records (2)'!$A:$Z,11,FALSE)</f>
        <v>Anne MUGNIER</v>
      </c>
      <c r="AN214" s="18">
        <v>1</v>
      </c>
      <c r="AO214" s="4">
        <v>2232</v>
      </c>
      <c r="AP214" s="4">
        <v>2232</v>
      </c>
      <c r="AQ214" s="20">
        <v>0</v>
      </c>
      <c r="AR214" s="6">
        <v>0</v>
      </c>
    </row>
    <row r="215" spans="1:44">
      <c r="A215" s="18" t="s">
        <v>597</v>
      </c>
      <c r="B215" s="18" t="s">
        <v>598</v>
      </c>
      <c r="C215" s="18" t="s">
        <v>599</v>
      </c>
      <c r="D215" s="18" t="s">
        <v>600</v>
      </c>
      <c r="E215" s="18" t="s">
        <v>52</v>
      </c>
      <c r="F215" s="18" t="s">
        <v>53</v>
      </c>
      <c r="G215" s="18"/>
      <c r="H215" s="19" t="s">
        <v>1216</v>
      </c>
      <c r="I215" s="23" t="s">
        <v>1217</v>
      </c>
      <c r="J215" s="24">
        <v>46023</v>
      </c>
      <c r="K215" s="24">
        <v>46387</v>
      </c>
      <c r="L215" s="24" t="s">
        <v>1218</v>
      </c>
      <c r="M215" s="24" t="s">
        <v>1219</v>
      </c>
      <c r="N215" s="24">
        <v>46023</v>
      </c>
      <c r="O215" s="24" t="str">
        <f>VLOOKUP(D215,records!$A:$U,10,FALSE)</f>
        <v>001SZ000003spJyYAI</v>
      </c>
      <c r="P215" s="24" t="str">
        <f>VLOOKUP(D215,records!$A:$V,20,FALSE)</f>
        <v>FR37433907748</v>
      </c>
      <c r="Q215" s="24" t="str">
        <f>VLOOKUP(D215,records!$A:$V,12,FALSE)</f>
        <v>43 390 774 800 019</v>
      </c>
      <c r="R215" s="24" t="s">
        <v>1220</v>
      </c>
      <c r="S215" s="24" t="str">
        <f>VLOOKUP(D215,records!$A:$U,19,FALSE)</f>
        <v>fmof_stjean.invoices@tenneco.com</v>
      </c>
      <c r="T215" s="26" t="s">
        <v>1221</v>
      </c>
      <c r="U215" s="26" t="s">
        <v>1222</v>
      </c>
      <c r="V215" s="26" t="str">
        <f>VLOOKUP($D215,records!$A:$V,3,FALSE)</f>
        <v>FEDERAL MOGUL OPERATIONS FRANCE SAS</v>
      </c>
      <c r="W215" s="26"/>
      <c r="X215" s="26" t="str">
        <f>VLOOKUP($D215,records!$A:$V,9,FALSE)</f>
        <v>13 Place Paul Bert</v>
      </c>
      <c r="Y215" s="26" t="str">
        <f>VLOOKUP($D215,records!$A:$V,4,FALSE)</f>
        <v>ST JEAN DE LA RUELLE</v>
      </c>
      <c r="Z215" s="26" t="str">
        <f>VLOOKUP($D215,records!$A:$V,7,FALSE)</f>
        <v>45140</v>
      </c>
      <c r="AA215" s="26" t="s">
        <v>1223</v>
      </c>
      <c r="AB215" s="26">
        <f>VLOOKUP(O215,'records (2)'!$A:$Z,8,FALSE)</f>
        <v>30</v>
      </c>
      <c r="AC215" s="26" t="b">
        <v>0</v>
      </c>
      <c r="AD215" s="26"/>
      <c r="AE215" s="26"/>
      <c r="AF215" s="26" t="str">
        <f>VLOOKUP($D215,records!$A:$V,13,FALSE)</f>
        <v>FEDERAL MOGUL OPERATIONS FRANCE SAS</v>
      </c>
      <c r="AG215" s="26" t="s">
        <v>1226</v>
      </c>
      <c r="AH215" s="26" t="str">
        <f>VLOOKUP($D215,records!$A:$V,19,FALSE)</f>
        <v>fmof_stjean.invoices@tenneco.com</v>
      </c>
      <c r="AI215" s="26" t="str">
        <f>VLOOKUP($D215,records!$A:$V,14,FALSE)</f>
        <v>.</v>
      </c>
      <c r="AJ215" s="26" t="str">
        <f>VLOOKUP($O215,'records (2)'!$A:$Z,14,FALSE)</f>
        <v>003IV000010tSn5YAE</v>
      </c>
      <c r="AK215" s="26" t="str">
        <f>VLOOKUP($O215,'records (2)'!$A:$Z,15,FALSE)</f>
        <v>Béatrice MALET</v>
      </c>
      <c r="AL215" s="26" t="str">
        <f>VLOOKUP($O215,'records (2)'!$A:$Z,10,FALSE)</f>
        <v>003IV000010tSn4YAE</v>
      </c>
      <c r="AM215" s="26" t="str">
        <f>VLOOKUP($O215,'records (2)'!$A:$Z,11,FALSE)</f>
        <v>Shared services AP Pologne FEDERAL MOGUL</v>
      </c>
      <c r="AN215" s="18">
        <v>1</v>
      </c>
      <c r="AO215" s="4">
        <v>1000</v>
      </c>
      <c r="AP215" s="4">
        <v>1000</v>
      </c>
      <c r="AQ215" s="20">
        <v>0</v>
      </c>
      <c r="AR215" s="6">
        <v>0</v>
      </c>
    </row>
    <row r="216" spans="1:44">
      <c r="A216" s="18" t="s">
        <v>450</v>
      </c>
      <c r="B216" s="18" t="s">
        <v>451</v>
      </c>
      <c r="C216" s="18" t="s">
        <v>452</v>
      </c>
      <c r="D216" s="18" t="s">
        <v>453</v>
      </c>
      <c r="E216" s="18" t="s">
        <v>52</v>
      </c>
      <c r="F216" s="18" t="s">
        <v>53</v>
      </c>
      <c r="G216" s="18"/>
      <c r="H216" s="19" t="s">
        <v>1216</v>
      </c>
      <c r="I216" s="23" t="s">
        <v>1217</v>
      </c>
      <c r="J216" s="24">
        <v>46023</v>
      </c>
      <c r="K216" s="24">
        <v>46387</v>
      </c>
      <c r="L216" s="24" t="s">
        <v>1218</v>
      </c>
      <c r="M216" s="24" t="s">
        <v>1219</v>
      </c>
      <c r="N216" s="24">
        <v>46023</v>
      </c>
      <c r="O216" s="24" t="str">
        <f>VLOOKUP(D216,records!$A:$U,10,FALSE)</f>
        <v>0012p00004QeRmPAAV</v>
      </c>
      <c r="P216" s="24" t="str">
        <f>VLOOKUP(D216,records!$A:$V,20,FALSE)</f>
        <v>FR45790261242</v>
      </c>
      <c r="Q216" s="24" t="str">
        <f>VLOOKUP(D216,records!$A:$V,12,FALSE)</f>
        <v>79 026 124 200 016</v>
      </c>
      <c r="R216" s="24" t="s">
        <v>1220</v>
      </c>
      <c r="S216" s="24" t="str">
        <f>VLOOKUP(D216,records!$A:$U,19,FALSE)</f>
        <v>fournisseurs.compta@montpellier-bs.com</v>
      </c>
      <c r="T216" s="26" t="s">
        <v>1221</v>
      </c>
      <c r="U216" s="26" t="s">
        <v>1222</v>
      </c>
      <c r="V216" s="26" t="str">
        <f>VLOOKUP($D216,records!$A:$V,3,FALSE)</f>
        <v>MBS association</v>
      </c>
      <c r="W216" s="26" t="str">
        <f>IFERROR(VLOOKUP($D216,records!$A:$V,6,FALSE),)</f>
        <v>Montpellier Business School</v>
      </c>
      <c r="X216" s="26" t="str">
        <f>VLOOKUP($D216,records!$A:$V,9,FALSE)</f>
        <v>2300, Avenue des Moulins</v>
      </c>
      <c r="Y216" s="26" t="str">
        <f>VLOOKUP($D216,records!$A:$V,4,FALSE)</f>
        <v>MONTPELLIER</v>
      </c>
      <c r="Z216" s="26" t="str">
        <f>VLOOKUP($D216,records!$A:$V,7,FALSE)</f>
        <v>34185</v>
      </c>
      <c r="AA216" s="26" t="s">
        <v>1223</v>
      </c>
      <c r="AB216" s="26">
        <f>VLOOKUP(O216,'records (2)'!$A:$Z,8,FALSE)</f>
        <v>30</v>
      </c>
      <c r="AC216" s="26" t="b">
        <v>0</v>
      </c>
      <c r="AD216" s="26"/>
      <c r="AE216" s="26"/>
      <c r="AF216" s="26" t="str">
        <f>VLOOKUP($D216,records!$A:$V,13,FALSE)</f>
        <v>MBS association</v>
      </c>
      <c r="AG216" s="26" t="s">
        <v>1226</v>
      </c>
      <c r="AH216" s="26" t="str">
        <f>VLOOKUP($D216,records!$A:$V,19,FALSE)</f>
        <v>fournisseurs.compta@montpellier-bs.com</v>
      </c>
      <c r="AI216" s="26" t="str">
        <f>VLOOKUP($D216,records!$A:$V,14,FALSE)</f>
        <v>.</v>
      </c>
      <c r="AJ216" s="26" t="str">
        <f>VLOOKUP($O216,'records (2)'!$A:$Z,14,FALSE)</f>
        <v>003IV000010tIiFYAU</v>
      </c>
      <c r="AK216" s="26" t="str">
        <f>VLOOKUP($O216,'records (2)'!$A:$Z,15,FALSE)</f>
        <v>Angélique FRANCESCATTI</v>
      </c>
      <c r="AL216" s="26" t="str">
        <f>VLOOKUP($O216,'records (2)'!$A:$Z,10,FALSE)</f>
        <v>003IV000010t3BdYAI</v>
      </c>
      <c r="AM216" s="26" t="str">
        <f>VLOOKUP($O216,'records (2)'!$A:$Z,11,FALSE)</f>
        <v>Compta Fournisseurs MBS</v>
      </c>
      <c r="AN216" s="18">
        <v>1</v>
      </c>
      <c r="AO216" s="4">
        <v>500</v>
      </c>
      <c r="AP216" s="4">
        <v>500</v>
      </c>
      <c r="AQ216" s="20">
        <v>0</v>
      </c>
      <c r="AR216" s="6">
        <v>0</v>
      </c>
    </row>
    <row r="217" spans="1:44">
      <c r="A217" s="18" t="s">
        <v>1241</v>
      </c>
      <c r="B217" s="18" t="s">
        <v>1160</v>
      </c>
      <c r="C217" s="18" t="s">
        <v>1242</v>
      </c>
      <c r="D217" s="22" t="s">
        <v>1243</v>
      </c>
      <c r="E217" s="18" t="s">
        <v>52</v>
      </c>
      <c r="F217" s="18" t="s">
        <v>53</v>
      </c>
      <c r="G217" s="22" t="s">
        <v>1160</v>
      </c>
      <c r="H217" s="19" t="s">
        <v>1216</v>
      </c>
      <c r="I217" s="23" t="s">
        <v>1217</v>
      </c>
      <c r="J217" s="24">
        <v>46023</v>
      </c>
      <c r="K217" s="24">
        <v>46387</v>
      </c>
      <c r="L217" s="24" t="s">
        <v>1218</v>
      </c>
      <c r="M217" s="24" t="s">
        <v>1219</v>
      </c>
      <c r="N217" s="24">
        <v>46023</v>
      </c>
      <c r="O217" s="24" t="s">
        <v>1244</v>
      </c>
      <c r="P217" s="24" t="s">
        <v>1245</v>
      </c>
      <c r="Q217" s="27">
        <v>77556332300010</v>
      </c>
      <c r="R217" s="24" t="s">
        <v>1220</v>
      </c>
      <c r="S217" s="29" t="s">
        <v>1246</v>
      </c>
      <c r="T217" s="26" t="s">
        <v>1221</v>
      </c>
      <c r="U217" s="26" t="s">
        <v>1222</v>
      </c>
      <c r="V217" s="26" t="s">
        <v>1247</v>
      </c>
      <c r="W217" s="26"/>
      <c r="X217" s="26" t="s">
        <v>1248</v>
      </c>
      <c r="Y217" s="26" t="s">
        <v>1249</v>
      </c>
      <c r="Z217" s="26">
        <v>16100</v>
      </c>
      <c r="AA217" s="26" t="s">
        <v>1223</v>
      </c>
      <c r="AB217" s="26">
        <v>60</v>
      </c>
      <c r="AC217" s="26" t="b">
        <f>VLOOKUP(O217,'records (4)'!$A:$C,3,FALSE)</f>
        <v>1</v>
      </c>
      <c r="AD217" s="26" t="s">
        <v>1225</v>
      </c>
      <c r="AE217" s="24">
        <v>46023</v>
      </c>
      <c r="AF217" s="26" t="s">
        <v>1250</v>
      </c>
      <c r="AG217" s="26" t="s">
        <v>1226</v>
      </c>
      <c r="AH217" s="29" t="s">
        <v>1246</v>
      </c>
      <c r="AI217" s="26" t="s">
        <v>1233</v>
      </c>
      <c r="AJ217" s="26" t="s">
        <v>1251</v>
      </c>
      <c r="AK217" s="26" t="s">
        <v>1252</v>
      </c>
      <c r="AL217" s="26" t="s">
        <v>1251</v>
      </c>
      <c r="AM217" s="26" t="s">
        <v>1252</v>
      </c>
      <c r="AN217" s="18">
        <v>1</v>
      </c>
      <c r="AO217" s="4">
        <v>500</v>
      </c>
      <c r="AP217" s="4">
        <v>500</v>
      </c>
      <c r="AQ217" s="20" t="s">
        <v>1253</v>
      </c>
      <c r="AR217" s="6" t="s">
        <v>1158</v>
      </c>
    </row>
    <row r="218" spans="1:44">
      <c r="A218" s="18" t="s">
        <v>1241</v>
      </c>
      <c r="B218" s="18" t="s">
        <v>1161</v>
      </c>
      <c r="C218" s="18" t="s">
        <v>1242</v>
      </c>
      <c r="D218" s="22" t="s">
        <v>1243</v>
      </c>
      <c r="E218" s="18" t="s">
        <v>52</v>
      </c>
      <c r="F218" s="18" t="s">
        <v>53</v>
      </c>
      <c r="G218" s="22" t="s">
        <v>1161</v>
      </c>
      <c r="H218" s="19" t="s">
        <v>1216</v>
      </c>
      <c r="I218" s="23" t="s">
        <v>1217</v>
      </c>
      <c r="J218" s="24">
        <v>46023</v>
      </c>
      <c r="K218" s="24">
        <v>46387</v>
      </c>
      <c r="L218" s="24" t="s">
        <v>1218</v>
      </c>
      <c r="M218" s="24" t="s">
        <v>1219</v>
      </c>
      <c r="N218" s="24">
        <v>46023</v>
      </c>
      <c r="O218" s="24" t="s">
        <v>1244</v>
      </c>
      <c r="P218" s="24" t="s">
        <v>1245</v>
      </c>
      <c r="Q218" s="27">
        <v>77556332300010</v>
      </c>
      <c r="R218" s="24" t="s">
        <v>1220</v>
      </c>
      <c r="S218" s="29" t="s">
        <v>1246</v>
      </c>
      <c r="T218" s="26" t="s">
        <v>1221</v>
      </c>
      <c r="U218" s="26" t="s">
        <v>1222</v>
      </c>
      <c r="V218" s="26" t="s">
        <v>1247</v>
      </c>
      <c r="W218" s="26"/>
      <c r="X218" s="26" t="s">
        <v>1248</v>
      </c>
      <c r="Y218" s="26" t="s">
        <v>1249</v>
      </c>
      <c r="Z218" s="26">
        <v>16100</v>
      </c>
      <c r="AA218" s="26" t="s">
        <v>1223</v>
      </c>
      <c r="AB218" s="26">
        <v>60</v>
      </c>
      <c r="AC218" s="26" t="b">
        <f>VLOOKUP(O218,'records (4)'!$A:$C,3,FALSE)</f>
        <v>1</v>
      </c>
      <c r="AD218" s="26" t="s">
        <v>1225</v>
      </c>
      <c r="AE218" s="24">
        <v>46023</v>
      </c>
      <c r="AF218" s="26" t="s">
        <v>1250</v>
      </c>
      <c r="AG218" s="26" t="s">
        <v>1226</v>
      </c>
      <c r="AH218" s="29" t="s">
        <v>1246</v>
      </c>
      <c r="AI218" s="26" t="s">
        <v>1233</v>
      </c>
      <c r="AJ218" s="26" t="s">
        <v>1251</v>
      </c>
      <c r="AK218" s="26" t="s">
        <v>1252</v>
      </c>
      <c r="AL218" s="26" t="s">
        <v>1251</v>
      </c>
      <c r="AM218" s="26" t="s">
        <v>1252</v>
      </c>
      <c r="AN218" s="18">
        <v>1</v>
      </c>
      <c r="AO218" s="4">
        <v>500</v>
      </c>
      <c r="AP218" s="4">
        <v>500</v>
      </c>
      <c r="AQ218" s="20">
        <v>0</v>
      </c>
      <c r="AR218" s="6">
        <v>0</v>
      </c>
    </row>
    <row r="219" spans="1:44">
      <c r="A219" s="18" t="s">
        <v>58</v>
      </c>
      <c r="B219" s="18" t="s">
        <v>59</v>
      </c>
      <c r="C219" s="18" t="s">
        <v>59</v>
      </c>
      <c r="D219" s="18" t="s">
        <v>60</v>
      </c>
      <c r="E219" s="18" t="s">
        <v>23</v>
      </c>
      <c r="F219" s="18" t="s">
        <v>24</v>
      </c>
      <c r="G219" s="18"/>
      <c r="H219" s="19" t="s">
        <v>1216</v>
      </c>
      <c r="I219" s="23" t="s">
        <v>1217</v>
      </c>
      <c r="J219" s="24">
        <v>46023</v>
      </c>
      <c r="K219" s="24">
        <v>46387</v>
      </c>
      <c r="L219" s="24" t="s">
        <v>1218</v>
      </c>
      <c r="M219" s="24" t="s">
        <v>1219</v>
      </c>
      <c r="N219" s="24">
        <v>46023</v>
      </c>
      <c r="O219" s="24" t="str">
        <f>VLOOKUP(D219,records!$A:$U,10,FALSE)</f>
        <v>0012p00004NKVGbAAP</v>
      </c>
      <c r="P219" s="24" t="str">
        <f>VLOOKUP(D219,records!$A:$V,20,FALSE)</f>
        <v>FR05397909938</v>
      </c>
      <c r="Q219" s="24" t="str">
        <f>VLOOKUP(D219,records!$A:$V,12,FALSE)</f>
        <v>39 790 993 800 136</v>
      </c>
      <c r="R219" s="24" t="s">
        <v>1220</v>
      </c>
      <c r="S219" s="24" t="str">
        <f>VLOOKUP(D219,records!$A:$U,19,FALSE)</f>
        <v>fournisseurs@abrisud.fr</v>
      </c>
      <c r="T219" s="26" t="s">
        <v>1221</v>
      </c>
      <c r="U219" s="26" t="s">
        <v>1222</v>
      </c>
      <c r="V219" s="26" t="str">
        <f>VLOOKUP($D219,records!$A:$V,3,FALSE)</f>
        <v>ABRISUD sasu</v>
      </c>
      <c r="W219" s="26" t="str">
        <f>IFERROR(VLOOKUP($D219,records!$A:$V,6,FALSE),)</f>
        <v>Comptabilité Fournisseurs</v>
      </c>
      <c r="X219" s="26" t="str">
        <f>VLOOKUP($D219,records!$A:$V,9,FALSE)</f>
        <v>ZI du Pont Peyrin</v>
      </c>
      <c r="Y219" s="26" t="str">
        <f>VLOOKUP($D219,records!$A:$V,4,FALSE)</f>
        <v>L'ISLE JOURDAIN</v>
      </c>
      <c r="Z219" s="26" t="str">
        <f>VLOOKUP($D219,records!$A:$V,7,FALSE)</f>
        <v>32600</v>
      </c>
      <c r="AA219" s="26" t="s">
        <v>1223</v>
      </c>
      <c r="AB219" s="26">
        <f>VLOOKUP(O219,'records (2)'!$A:$Z,8,FALSE)</f>
        <v>30</v>
      </c>
      <c r="AC219" s="26" t="b">
        <v>0</v>
      </c>
      <c r="AD219" s="26"/>
      <c r="AE219" s="26"/>
      <c r="AF219" s="26" t="str">
        <f>VLOOKUP($D219,records!$A:$V,13,FALSE)</f>
        <v>ABRISUD sasu</v>
      </c>
      <c r="AG219" s="26" t="s">
        <v>1226</v>
      </c>
      <c r="AH219" s="26" t="str">
        <f>VLOOKUP($D219,records!$A:$V,19,FALSE)</f>
        <v>fournisseurs@abrisud.fr</v>
      </c>
      <c r="AI219" s="26" t="str">
        <f>VLOOKUP($D219,records!$A:$V,14,FALSE)</f>
        <v>.</v>
      </c>
      <c r="AJ219" s="26" t="str">
        <f>VLOOKUP($O219,'records (2)'!$A:$Z,14,FALSE)</f>
        <v>003IV000010tQHrYAM</v>
      </c>
      <c r="AK219" s="26" t="str">
        <f>VLOOKUP($O219,'records (2)'!$A:$Z,15,FALSE)</f>
        <v>Cendrine BORDJIHANE (Fourn)</v>
      </c>
      <c r="AL219" s="26" t="str">
        <f>VLOOKUP($O219,'records (2)'!$A:$Z,10,FALSE)</f>
        <v>003IV000010tQHrYAM</v>
      </c>
      <c r="AM219" s="26" t="str">
        <f>VLOOKUP($O219,'records (2)'!$A:$Z,11,FALSE)</f>
        <v>Cendrine BORDJIHANE (Fourn)</v>
      </c>
      <c r="AN219" s="18">
        <v>1</v>
      </c>
      <c r="AO219" s="4">
        <v>1800</v>
      </c>
      <c r="AP219" s="4">
        <v>1800</v>
      </c>
      <c r="AQ219" s="20">
        <v>0</v>
      </c>
      <c r="AR219" s="6">
        <v>0</v>
      </c>
    </row>
    <row r="220" spans="1:44">
      <c r="A220" s="18" t="s">
        <v>265</v>
      </c>
      <c r="B220" s="18" t="s">
        <v>266</v>
      </c>
      <c r="C220" s="18" t="s">
        <v>267</v>
      </c>
      <c r="D220" s="18" t="s">
        <v>268</v>
      </c>
      <c r="E220" s="18" t="s">
        <v>16</v>
      </c>
      <c r="F220" s="18" t="s">
        <v>17</v>
      </c>
      <c r="G220" s="18"/>
      <c r="H220" s="19" t="s">
        <v>1216</v>
      </c>
      <c r="I220" s="23" t="s">
        <v>1217</v>
      </c>
      <c r="J220" s="24">
        <v>46023</v>
      </c>
      <c r="K220" s="24">
        <v>46387</v>
      </c>
      <c r="L220" s="24" t="s">
        <v>1218</v>
      </c>
      <c r="M220" s="24" t="s">
        <v>1219</v>
      </c>
      <c r="N220" s="24">
        <v>46023</v>
      </c>
      <c r="O220" s="24" t="str">
        <f>VLOOKUP(D220,records!$A:$U,10,FALSE)</f>
        <v>0012p00004UIjdcAAD</v>
      </c>
      <c r="P220" s="24" t="str">
        <f>VLOOKUP(D220,records!$A:$V,20,FALSE)</f>
        <v>FR53483100301</v>
      </c>
      <c r="Q220" s="24" t="str">
        <f>VLOOKUP(D220,records!$A:$V,12,FALSE)</f>
        <v>48 310 030 100 033</v>
      </c>
      <c r="R220" s="24" t="s">
        <v>1220</v>
      </c>
      <c r="S220" s="24" t="str">
        <f>VLOOKUP(D220,records!$A:$U,19,FALSE)</f>
        <v>fournisseurs@locmaria.fr</v>
      </c>
      <c r="T220" s="26" t="s">
        <v>1221</v>
      </c>
      <c r="U220" s="26" t="s">
        <v>1222</v>
      </c>
      <c r="V220" s="26" t="str">
        <f>VLOOKUP($D220,records!$A:$V,3,FALSE)</f>
        <v>LOC MARIA BISCUITS sasu</v>
      </c>
      <c r="W220" s="26"/>
      <c r="X220" s="26" t="str">
        <f>VLOOKUP($D220,records!$A:$V,9,FALSE)</f>
        <v>1 rue de Pélineuc</v>
      </c>
      <c r="Y220" s="26" t="str">
        <f>VLOOKUP($D220,records!$A:$V,4,FALSE)</f>
        <v>LANVALLAY</v>
      </c>
      <c r="Z220" s="26" t="str">
        <f>VLOOKUP($D220,records!$A:$V,7,FALSE)</f>
        <v>22100</v>
      </c>
      <c r="AA220" s="26" t="s">
        <v>1223</v>
      </c>
      <c r="AB220" s="26">
        <f>VLOOKUP(O220,'records (2)'!$A:$Z,8,FALSE)</f>
        <v>30</v>
      </c>
      <c r="AC220" s="26" t="b">
        <v>0</v>
      </c>
      <c r="AD220" s="26"/>
      <c r="AE220" s="26"/>
      <c r="AF220" s="26" t="str">
        <f>VLOOKUP($D220,records!$A:$V,13,FALSE)</f>
        <v>LOC MARIA BISCUITS sasu</v>
      </c>
      <c r="AG220" s="26" t="s">
        <v>1226</v>
      </c>
      <c r="AH220" s="26" t="str">
        <f>VLOOKUP($D220,records!$A:$V,19,FALSE)</f>
        <v>fournisseurs@locmaria.fr</v>
      </c>
      <c r="AI220" s="26" t="str">
        <f>VLOOKUP($D220,records!$A:$V,14,FALSE)</f>
        <v>.</v>
      </c>
      <c r="AJ220" s="26" t="str">
        <f>VLOOKUP($O220,'records (2)'!$A:$Z,14,FALSE)</f>
        <v>003IV000010tJa4YAE</v>
      </c>
      <c r="AK220" s="26" t="str">
        <f>VLOOKUP($O220,'records (2)'!$A:$Z,15,FALSE)</f>
        <v>Sylvie ANGER</v>
      </c>
      <c r="AL220" s="26" t="str">
        <f>VLOOKUP($O220,'records (2)'!$A:$Z,10,FALSE)</f>
        <v>003IV000010tJa4YAE</v>
      </c>
      <c r="AM220" s="26" t="str">
        <f>VLOOKUP($O220,'records (2)'!$A:$Z,11,FALSE)</f>
        <v>Sylvie ANGER</v>
      </c>
      <c r="AN220" s="18">
        <v>1</v>
      </c>
      <c r="AO220" s="4">
        <v>3000</v>
      </c>
      <c r="AP220" s="4">
        <v>3000</v>
      </c>
      <c r="AQ220" s="20">
        <v>0</v>
      </c>
      <c r="AR220" s="6">
        <v>0</v>
      </c>
    </row>
    <row r="221" spans="1:44">
      <c r="A221" s="18" t="s">
        <v>391</v>
      </c>
      <c r="B221" s="18" t="s">
        <v>392</v>
      </c>
      <c r="C221" s="18" t="s">
        <v>393</v>
      </c>
      <c r="D221" s="18" t="s">
        <v>394</v>
      </c>
      <c r="E221" s="18" t="s">
        <v>16</v>
      </c>
      <c r="F221" s="18" t="s">
        <v>17</v>
      </c>
      <c r="G221" s="18"/>
      <c r="H221" s="19" t="s">
        <v>1216</v>
      </c>
      <c r="I221" s="23" t="s">
        <v>1217</v>
      </c>
      <c r="J221" s="24">
        <v>46023</v>
      </c>
      <c r="K221" s="24">
        <v>46387</v>
      </c>
      <c r="L221" s="24" t="s">
        <v>1218</v>
      </c>
      <c r="M221" s="24" t="s">
        <v>1219</v>
      </c>
      <c r="N221" s="24">
        <v>46023</v>
      </c>
      <c r="O221" s="24" t="str">
        <f>VLOOKUP(D221,records!$A:$U,10,FALSE)</f>
        <v>0012p00004U0KYmAAN</v>
      </c>
      <c r="P221" s="24" t="str">
        <f>VLOOKUP(D221,records!$A:$V,20,FALSE)</f>
        <v>FR16786116681</v>
      </c>
      <c r="Q221" s="24" t="str">
        <f>VLOOKUP(D221,records!$A:$V,12,FALSE)</f>
        <v>78 611 668 100 010</v>
      </c>
      <c r="R221" s="24" t="s">
        <v>1220</v>
      </c>
      <c r="S221" s="24" t="str">
        <f>VLOOKUP(D221,records!$A:$U,19,FALSE)</f>
        <v>fournisseurs@styves.uco.fr</v>
      </c>
      <c r="T221" s="26" t="s">
        <v>1237</v>
      </c>
      <c r="U221" s="26" t="s">
        <v>1222</v>
      </c>
      <c r="V221" s="26" t="str">
        <f>VLOOKUP($D221,records!$A:$V,3,FALSE)</f>
        <v>ASSOCIATION SAINT-YVES (UCO)</v>
      </c>
      <c r="W221" s="26"/>
      <c r="X221" s="26" t="str">
        <f>VLOOKUP($D221,records!$A:$V,9,FALSE)</f>
        <v>3 place André Leroy - BP 10808</v>
      </c>
      <c r="Y221" s="26" t="str">
        <f>VLOOKUP($D221,records!$A:$V,4,FALSE)</f>
        <v>ANGERS CEDEX 1</v>
      </c>
      <c r="Z221" s="26" t="str">
        <f>VLOOKUP($D221,records!$A:$V,7,FALSE)</f>
        <v>49008</v>
      </c>
      <c r="AA221" s="26" t="s">
        <v>1223</v>
      </c>
      <c r="AB221" s="26">
        <f>VLOOKUP(O221,'records (2)'!$A:$Z,8,FALSE)</f>
        <v>30</v>
      </c>
      <c r="AC221" s="26" t="b">
        <v>0</v>
      </c>
      <c r="AD221" s="26"/>
      <c r="AE221" s="26"/>
      <c r="AF221" s="26" t="str">
        <f>VLOOKUP($D221,records!$A:$V,13,FALSE)</f>
        <v>ASSOCIATION SAINT-YVES (UCO)</v>
      </c>
      <c r="AG221" s="26" t="s">
        <v>1226</v>
      </c>
      <c r="AH221" s="26" t="str">
        <f>VLOOKUP($D221,records!$A:$V,19,FALSE)</f>
        <v>fournisseurs@styves.uco.fr</v>
      </c>
      <c r="AI221" s="26" t="str">
        <f>VLOOKUP($D221,records!$A:$V,14,FALSE)</f>
        <v>.</v>
      </c>
      <c r="AJ221" s="26" t="str">
        <f>VLOOKUP($O221,'records (2)'!$A:$Z,14,FALSE)</f>
        <v>003IV000010su86YAA</v>
      </c>
      <c r="AK221" s="26" t="str">
        <f>VLOOKUP($O221,'records (2)'!$A:$Z,15,FALSE)</f>
        <v>Christophe CHAMP (comptabilite)</v>
      </c>
      <c r="AL221" s="26" t="str">
        <f>VLOOKUP($O221,'records (2)'!$A:$Z,10,FALSE)</f>
        <v>003IV000010su86YAA</v>
      </c>
      <c r="AM221" s="26" t="str">
        <f>VLOOKUP($O221,'records (2)'!$A:$Z,11,FALSE)</f>
        <v>Christophe CHAMP (comptabilite)</v>
      </c>
      <c r="AN221" s="18">
        <v>1</v>
      </c>
      <c r="AO221" s="4">
        <v>1000</v>
      </c>
      <c r="AP221" s="4">
        <v>1000</v>
      </c>
      <c r="AQ221" s="20"/>
      <c r="AR221" s="6"/>
    </row>
    <row r="222" spans="1:44">
      <c r="A222" s="18" t="s">
        <v>1067</v>
      </c>
      <c r="B222" s="18" t="s">
        <v>1068</v>
      </c>
      <c r="C222" s="18" t="s">
        <v>1069</v>
      </c>
      <c r="D222" s="18" t="s">
        <v>1070</v>
      </c>
      <c r="E222" s="18" t="s">
        <v>52</v>
      </c>
      <c r="F222" s="18" t="s">
        <v>53</v>
      </c>
      <c r="G222" s="18"/>
      <c r="H222" s="19" t="s">
        <v>1216</v>
      </c>
      <c r="I222" s="23" t="s">
        <v>1217</v>
      </c>
      <c r="J222" s="24">
        <v>46023</v>
      </c>
      <c r="K222" s="24">
        <v>46387</v>
      </c>
      <c r="L222" s="24" t="s">
        <v>1218</v>
      </c>
      <c r="M222" s="24" t="s">
        <v>1219</v>
      </c>
      <c r="N222" s="24">
        <v>46023</v>
      </c>
      <c r="O222" s="24" t="str">
        <f>VLOOKUP(D222,records!$A:$U,10,FALSE)</f>
        <v>001SZ00000IGD0iYAH</v>
      </c>
      <c r="P222" s="24" t="str">
        <f>VLOOKUP(D222,records!$A:$V,20,FALSE)</f>
        <v>FR58778116038</v>
      </c>
      <c r="Q222" s="24" t="str">
        <f>VLOOKUP(D222,records!$A:$V,12,FALSE)</f>
        <v>77 811 603 800 010</v>
      </c>
      <c r="R222" s="24" t="s">
        <v>1220</v>
      </c>
      <c r="S222" s="24" t="str">
        <f>VLOOKUP(D222,records!$A:$U,19,FALSE)</f>
        <v>frap@parker.com</v>
      </c>
      <c r="T222" s="26" t="s">
        <v>1221</v>
      </c>
      <c r="U222" s="26" t="s">
        <v>1222</v>
      </c>
      <c r="V222" s="26" t="str">
        <f>VLOOKUP($D222,records!$A:$V,3,FALSE)</f>
        <v>PARKER HANNIFIN FRANCE sasu</v>
      </c>
      <c r="W222" s="26"/>
      <c r="X222" s="26" t="str">
        <f>VLOOKUP($D222,records!$A:$V,9,FALSE)</f>
        <v>17 Rue des Bûchillons
 CS80524 Ville la Grand</v>
      </c>
      <c r="Y222" s="26" t="str">
        <f>VLOOKUP($D222,records!$A:$V,4,FALSE)</f>
        <v>ANNEMASSE CEDEX</v>
      </c>
      <c r="Z222" s="26" t="str">
        <f>VLOOKUP($D222,records!$A:$V,7,FALSE)</f>
        <v>74112</v>
      </c>
      <c r="AA222" s="26" t="s">
        <v>1223</v>
      </c>
      <c r="AB222" s="26">
        <f>VLOOKUP(O222,'records (2)'!$A:$Z,8,FALSE)</f>
        <v>45</v>
      </c>
      <c r="AC222" s="26" t="b">
        <v>0</v>
      </c>
      <c r="AD222" s="26"/>
      <c r="AE222" s="26"/>
      <c r="AF222" s="26" t="str">
        <f>VLOOKUP($D222,records!$A:$V,13,FALSE)</f>
        <v>PARKER HANNIFIN FRANCE sasu</v>
      </c>
      <c r="AG222" s="26" t="s">
        <v>1226</v>
      </c>
      <c r="AH222" s="26" t="str">
        <f>VLOOKUP($D222,records!$A:$V,19,FALSE)</f>
        <v>frap@parker.com</v>
      </c>
      <c r="AI222" s="26" t="str">
        <f>VLOOKUP($D222,records!$A:$V,14,FALSE)</f>
        <v>.</v>
      </c>
      <c r="AJ222" s="26" t="str">
        <f>VLOOKUP($O222,'records (2)'!$A:$Z,14,FALSE)</f>
        <v>003IV000010tJZoYAM</v>
      </c>
      <c r="AK222" s="26" t="str">
        <f>VLOOKUP($O222,'records (2)'!$A:$Z,15,FALSE)</f>
        <v>Urszula SKIBICKA</v>
      </c>
      <c r="AL222" s="26" t="str">
        <f>VLOOKUP($O222,'records (2)'!$A:$Z,10,FALSE)</f>
        <v>003IV000010tJZoYAM</v>
      </c>
      <c r="AM222" s="26" t="str">
        <f>VLOOKUP($O222,'records (2)'!$A:$Z,11,FALSE)</f>
        <v>Urszula SKIBICKA</v>
      </c>
      <c r="AN222" s="18">
        <v>1</v>
      </c>
      <c r="AO222" s="4">
        <v>3500</v>
      </c>
      <c r="AP222" s="4">
        <v>3500</v>
      </c>
      <c r="AQ222" s="20">
        <v>0</v>
      </c>
      <c r="AR222" s="6">
        <v>0</v>
      </c>
    </row>
    <row r="223" spans="1:44">
      <c r="A223" s="18" t="s">
        <v>12</v>
      </c>
      <c r="B223" s="18" t="s">
        <v>13</v>
      </c>
      <c r="C223" s="18" t="s">
        <v>14</v>
      </c>
      <c r="D223" s="18" t="s">
        <v>15</v>
      </c>
      <c r="E223" s="18" t="s">
        <v>16</v>
      </c>
      <c r="F223" s="18" t="s">
        <v>17</v>
      </c>
      <c r="G223" s="18"/>
      <c r="H223" s="19" t="s">
        <v>1216</v>
      </c>
      <c r="I223" s="23" t="s">
        <v>1217</v>
      </c>
      <c r="J223" s="24">
        <v>46023</v>
      </c>
      <c r="K223" s="24">
        <v>46387</v>
      </c>
      <c r="L223" s="24" t="s">
        <v>1218</v>
      </c>
      <c r="M223" s="24" t="s">
        <v>1219</v>
      </c>
      <c r="N223" s="24">
        <v>46023</v>
      </c>
      <c r="O223" s="24" t="str">
        <f>VLOOKUP(D223,records!$A:$U,10,FALSE)</f>
        <v>0012p00004Rejx5AAB</v>
      </c>
      <c r="P223" s="24" t="str">
        <f>VLOOKUP(D223,records!$A:$V,20,FALSE)</f>
        <v>FR67821453313</v>
      </c>
      <c r="Q223" s="24" t="str">
        <f>VLOOKUP(D223,records!$A:$V,12,FALSE)</f>
        <v>82 145 331 300 016</v>
      </c>
      <c r="R223" s="24" t="s">
        <v>1220</v>
      </c>
      <c r="S223" s="24" t="str">
        <f>VLOOKUP(D223,records!$A:$U,19,FALSE)</f>
        <v>frsaccountspayable.ccc@kuraray.com</v>
      </c>
      <c r="T223" s="26" t="s">
        <v>1221</v>
      </c>
      <c r="U223" s="26" t="s">
        <v>1222</v>
      </c>
      <c r="V223" s="26" t="str">
        <f>VLOOKUP($D223,records!$A:$V,3,FALSE)</f>
        <v>CHEMVIRON FRANCE SAS</v>
      </c>
      <c r="W223" s="26"/>
      <c r="X223" s="26" t="str">
        <f>VLOOKUP($D223,records!$A:$V,9,FALSE)</f>
        <v>58 Avenue de Wagram</v>
      </c>
      <c r="Y223" s="26" t="str">
        <f>VLOOKUP($D223,records!$A:$V,4,FALSE)</f>
        <v>PARIS</v>
      </c>
      <c r="Z223" s="26" t="str">
        <f>VLOOKUP($D223,records!$A:$V,7,FALSE)</f>
        <v>75017</v>
      </c>
      <c r="AA223" s="26" t="s">
        <v>1223</v>
      </c>
      <c r="AB223" s="26">
        <f>VLOOKUP(O223,'records (2)'!$A:$Z,8,FALSE)</f>
        <v>30</v>
      </c>
      <c r="AC223" s="26" t="b">
        <v>0</v>
      </c>
      <c r="AD223" s="26"/>
      <c r="AE223" s="26"/>
      <c r="AF223" s="26" t="str">
        <f>VLOOKUP($D223,records!$A:$V,13,FALSE)</f>
        <v>CHEMVIRON FRANCE SAS</v>
      </c>
      <c r="AG223" s="26" t="s">
        <v>1226</v>
      </c>
      <c r="AH223" s="26" t="str">
        <f>VLOOKUP($D223,records!$A:$V,19,FALSE)</f>
        <v>frsaccountspayable.ccc@kuraray.com</v>
      </c>
      <c r="AI223" s="26" t="str">
        <f>VLOOKUP($D223,records!$A:$V,14,FALSE)</f>
        <v>.</v>
      </c>
      <c r="AJ223" s="26" t="str">
        <f>VLOOKUP($O223,'records (2)'!$A:$Z,14,FALSE)</f>
        <v>003IV000010tJZXYA2</v>
      </c>
      <c r="AK223" s="26" t="str">
        <f>VLOOKUP($O223,'records (2)'!$A:$Z,15,FALSE)</f>
        <v>Stéphanie PASCAL</v>
      </c>
      <c r="AL223" s="26" t="str">
        <f>VLOOKUP($O223,'records (2)'!$A:$Z,10,FALSE)</f>
        <v>003IV000010tJZXYA2</v>
      </c>
      <c r="AM223" s="26" t="str">
        <f>VLOOKUP($O223,'records (2)'!$A:$Z,11,FALSE)</f>
        <v>Stéphanie PASCAL</v>
      </c>
      <c r="AN223" s="18">
        <v>1</v>
      </c>
      <c r="AO223" s="4">
        <v>1000</v>
      </c>
      <c r="AP223" s="4">
        <v>1000</v>
      </c>
      <c r="AQ223" s="20">
        <v>0</v>
      </c>
      <c r="AR223" s="6">
        <v>0</v>
      </c>
    </row>
    <row r="224" spans="1:44">
      <c r="A224" s="12" t="s">
        <v>12</v>
      </c>
      <c r="B224" s="12" t="s">
        <v>1171</v>
      </c>
      <c r="C224" s="18" t="s">
        <v>14</v>
      </c>
      <c r="D224" s="18" t="s">
        <v>15</v>
      </c>
      <c r="E224" s="18" t="s">
        <v>1172</v>
      </c>
      <c r="F224" s="18" t="s">
        <v>1173</v>
      </c>
      <c r="G224" s="18"/>
      <c r="H224" s="19" t="s">
        <v>1216</v>
      </c>
      <c r="I224" s="23" t="s">
        <v>1217</v>
      </c>
      <c r="J224" s="24">
        <v>46023</v>
      </c>
      <c r="K224" s="24">
        <v>46387</v>
      </c>
      <c r="L224" s="24" t="s">
        <v>1218</v>
      </c>
      <c r="M224" s="24" t="s">
        <v>1219</v>
      </c>
      <c r="N224" s="24">
        <v>46023</v>
      </c>
      <c r="O224" s="24" t="str">
        <f>VLOOKUP(D224,records!$A:$U,10,FALSE)</f>
        <v>0012p00004Rejx5AAB</v>
      </c>
      <c r="P224" s="24" t="str">
        <f>VLOOKUP(D224,records!$A:$V,20,FALSE)</f>
        <v>FR67821453313</v>
      </c>
      <c r="Q224" s="24" t="str">
        <f>VLOOKUP(D224,records!$A:$V,12,FALSE)</f>
        <v>82 145 331 300 016</v>
      </c>
      <c r="R224" s="24" t="s">
        <v>1220</v>
      </c>
      <c r="S224" s="24" t="str">
        <f>VLOOKUP(D224,records!$A:$U,19,FALSE)</f>
        <v>frsaccountspayable.ccc@kuraray.com</v>
      </c>
      <c r="T224" s="26" t="s">
        <v>1221</v>
      </c>
      <c r="U224" s="26" t="s">
        <v>1222</v>
      </c>
      <c r="V224" s="26" t="str">
        <f>VLOOKUP($D224,records!$A:$V,3,FALSE)</f>
        <v>CHEMVIRON FRANCE SAS</v>
      </c>
      <c r="W224" s="26"/>
      <c r="X224" s="26" t="str">
        <f>VLOOKUP($D224,records!$A:$V,9,FALSE)</f>
        <v>58 Avenue de Wagram</v>
      </c>
      <c r="Y224" s="26" t="str">
        <f>VLOOKUP($D224,records!$A:$V,4,FALSE)</f>
        <v>PARIS</v>
      </c>
      <c r="Z224" s="26" t="str">
        <f>VLOOKUP($D224,records!$A:$V,7,FALSE)</f>
        <v>75017</v>
      </c>
      <c r="AA224" s="26" t="s">
        <v>1223</v>
      </c>
      <c r="AB224" s="26">
        <f>VLOOKUP(O224,'records (2)'!$A:$Z,8,FALSE)</f>
        <v>30</v>
      </c>
      <c r="AC224" s="26" t="b">
        <v>0</v>
      </c>
      <c r="AD224" s="26"/>
      <c r="AE224" s="26"/>
      <c r="AF224" s="26" t="str">
        <f>VLOOKUP($D224,records!$A:$V,13,FALSE)</f>
        <v>CHEMVIRON FRANCE SAS</v>
      </c>
      <c r="AG224" s="26" t="s">
        <v>1226</v>
      </c>
      <c r="AH224" s="26" t="str">
        <f>VLOOKUP($D224,records!$A:$V,19,FALSE)</f>
        <v>frsaccountspayable.ccc@kuraray.com</v>
      </c>
      <c r="AI224" s="26" t="str">
        <f>VLOOKUP($D224,records!$A:$V,14,FALSE)</f>
        <v>.</v>
      </c>
      <c r="AJ224" s="26" t="str">
        <f>VLOOKUP($O224,'records (2)'!$A:$Z,14,FALSE)</f>
        <v>003IV000010tJZXYA2</v>
      </c>
      <c r="AK224" s="26" t="str">
        <f>VLOOKUP($O224,'records (2)'!$A:$Z,15,FALSE)</f>
        <v>Stéphanie PASCAL</v>
      </c>
      <c r="AL224" s="26" t="str">
        <f>VLOOKUP($O224,'records (2)'!$A:$Z,10,FALSE)</f>
        <v>003IV000010tJZXYA2</v>
      </c>
      <c r="AM224" s="26" t="str">
        <f>VLOOKUP($O224,'records (2)'!$A:$Z,11,FALSE)</f>
        <v>Stéphanie PASCAL</v>
      </c>
      <c r="AN224" s="18">
        <v>1</v>
      </c>
      <c r="AO224" s="4">
        <v>1200</v>
      </c>
      <c r="AP224" s="4">
        <v>1200</v>
      </c>
      <c r="AQ224" s="20">
        <v>0</v>
      </c>
      <c r="AR224" s="6" t="s">
        <v>1174</v>
      </c>
    </row>
    <row r="225" spans="1:44">
      <c r="A225" s="18" t="s">
        <v>1051</v>
      </c>
      <c r="B225" s="18" t="s">
        <v>1052</v>
      </c>
      <c r="C225" s="18" t="s">
        <v>1053</v>
      </c>
      <c r="D225" s="18" t="s">
        <v>1054</v>
      </c>
      <c r="E225" s="18" t="s">
        <v>16</v>
      </c>
      <c r="F225" s="18" t="s">
        <v>17</v>
      </c>
      <c r="G225" s="18"/>
      <c r="H225" s="19" t="s">
        <v>1216</v>
      </c>
      <c r="I225" s="23" t="s">
        <v>1217</v>
      </c>
      <c r="J225" s="24">
        <v>46023</v>
      </c>
      <c r="K225" s="24">
        <v>46387</v>
      </c>
      <c r="L225" s="24" t="s">
        <v>1218</v>
      </c>
      <c r="M225" s="24" t="s">
        <v>1219</v>
      </c>
      <c r="N225" s="24">
        <v>46023</v>
      </c>
      <c r="O225" s="24" t="str">
        <f>VLOOKUP(D225,records!$A:$U,10,FALSE)</f>
        <v>001SZ000009sklTYAQ</v>
      </c>
      <c r="P225" s="24" t="str">
        <f>VLOOKUP(D225,records!$A:$V,20,FALSE)</f>
        <v>FR49438307381</v>
      </c>
      <c r="Q225" s="24" t="str">
        <f>VLOOKUP(D225,records!$A:$V,12,FALSE)</f>
        <v>43 830 738 100 030</v>
      </c>
      <c r="R225" s="24" t="s">
        <v>1220</v>
      </c>
      <c r="S225" s="24" t="str">
        <f>VLOOKUP(D225,records!$A:$U,19,FALSE)</f>
        <v>frsapservices@columbia.com</v>
      </c>
      <c r="T225" s="26" t="s">
        <v>1221</v>
      </c>
      <c r="U225" s="26" t="s">
        <v>1222</v>
      </c>
      <c r="V225" s="26" t="str">
        <f>VLOOKUP($D225,records!$A:$V,3,FALSE)</f>
        <v>COLUMBIA SPORTSWEAR DISTRIBUTION sas</v>
      </c>
      <c r="W225" s="26"/>
      <c r="X225" s="26" t="str">
        <f>VLOOKUP($D225,records!$A:$V,9,FALSE)</f>
        <v>1542 avenue des Deux Vallées - 
 Parc d'activité Actipole de l'A2</v>
      </c>
      <c r="Y225" s="26" t="str">
        <f>VLOOKUP($D225,records!$A:$V,4,FALSE)</f>
        <v>RAILLENCOURT-SAINTE-OLLE</v>
      </c>
      <c r="Z225" s="26" t="str">
        <f>VLOOKUP($D225,records!$A:$V,7,FALSE)</f>
        <v>59554</v>
      </c>
      <c r="AA225" s="26" t="s">
        <v>1223</v>
      </c>
      <c r="AB225" s="26">
        <f>VLOOKUP(O225,'records (2)'!$A:$Z,8,FALSE)</f>
        <v>30</v>
      </c>
      <c r="AC225" s="26" t="b">
        <v>0</v>
      </c>
      <c r="AD225" s="26"/>
      <c r="AE225" s="26"/>
      <c r="AF225" s="26" t="str">
        <f>VLOOKUP($D225,records!$A:$V,13,FALSE)</f>
        <v>COLUMBIA SPORTSWEAR DISTRIBUTION sas</v>
      </c>
      <c r="AG225" s="26" t="s">
        <v>1226</v>
      </c>
      <c r="AH225" s="26" t="str">
        <f>VLOOKUP($D225,records!$A:$V,19,FALSE)</f>
        <v>frsapservices@columbia.com</v>
      </c>
      <c r="AI225" s="26" t="str">
        <f>VLOOKUP($D225,records!$A:$V,14,FALSE)</f>
        <v>.</v>
      </c>
      <c r="AJ225" s="26" t="str">
        <f>VLOOKUP($O225,'records (2)'!$A:$Z,14,FALSE)</f>
        <v>003IV000010tJajYAE</v>
      </c>
      <c r="AK225" s="26" t="str">
        <f>VLOOKUP($O225,'records (2)'!$A:$Z,15,FALSE)</f>
        <v>Gilles SCHNEIDER</v>
      </c>
      <c r="AL225" s="26" t="str">
        <f>VLOOKUP($O225,'records (2)'!$A:$Z,10,FALSE)</f>
        <v>003IV000010tJajYAE</v>
      </c>
      <c r="AM225" s="26" t="str">
        <f>VLOOKUP($O225,'records (2)'!$A:$Z,11,FALSE)</f>
        <v>Gilles SCHNEIDER</v>
      </c>
      <c r="AN225" s="18">
        <v>1</v>
      </c>
      <c r="AO225" s="4">
        <v>3000</v>
      </c>
      <c r="AP225" s="4">
        <v>3000</v>
      </c>
      <c r="AQ225" s="20">
        <v>0</v>
      </c>
      <c r="AR225" s="6">
        <v>0</v>
      </c>
    </row>
    <row r="226" spans="1:44">
      <c r="A226" s="18" t="s">
        <v>917</v>
      </c>
      <c r="B226" s="18" t="s">
        <v>918</v>
      </c>
      <c r="C226" s="18" t="s">
        <v>918</v>
      </c>
      <c r="D226" s="18" t="s">
        <v>919</v>
      </c>
      <c r="E226" s="18" t="s">
        <v>52</v>
      </c>
      <c r="F226" s="18" t="s">
        <v>53</v>
      </c>
      <c r="G226" s="18"/>
      <c r="H226" s="19" t="s">
        <v>1216</v>
      </c>
      <c r="I226" s="23" t="s">
        <v>1217</v>
      </c>
      <c r="J226" s="24">
        <v>46023</v>
      </c>
      <c r="K226" s="24">
        <v>46387</v>
      </c>
      <c r="L226" s="24" t="s">
        <v>1218</v>
      </c>
      <c r="M226" s="24" t="s">
        <v>1219</v>
      </c>
      <c r="N226" s="24">
        <v>46023</v>
      </c>
      <c r="O226" s="24" t="str">
        <f>VLOOKUP(D226,records!$A:$U,10,FALSE)</f>
        <v>0012p00004RJ0z9AAD</v>
      </c>
      <c r="P226" s="24" t="str">
        <f>VLOOKUP(D226,records!$A:$V,20,FALSE)</f>
        <v>FR31339494833</v>
      </c>
      <c r="Q226" s="24" t="str">
        <f>VLOOKUP(D226,records!$A:$V,12,FALSE)</f>
        <v>33 949 483 300 025</v>
      </c>
      <c r="R226" s="24" t="s">
        <v>1220</v>
      </c>
      <c r="S226" s="24" t="str">
        <f>VLOOKUP(D226,records!$A:$U,19,FALSE)</f>
        <v>frsu.compta.fournisseurs@swisskrono.com</v>
      </c>
      <c r="T226" s="26" t="s">
        <v>1221</v>
      </c>
      <c r="U226" s="26" t="s">
        <v>1222</v>
      </c>
      <c r="V226" s="26" t="str">
        <f>VLOOKUP($D226,records!$A:$V,3,FALSE)</f>
        <v>SWISS KRONO SAS</v>
      </c>
      <c r="W226" s="26" t="str">
        <f>IFERROR(VLOOKUP($D226,records!$A:$V,6,FALSE),)</f>
        <v>Service Comptabilité fournisseurs</v>
      </c>
      <c r="X226" s="26" t="str">
        <f>VLOOKUP($D226,records!$A:$V,9,FALSE)</f>
        <v>Route de Cerdon</v>
      </c>
      <c r="Y226" s="26" t="str">
        <f>VLOOKUP($D226,records!$A:$V,4,FALSE)</f>
        <v>SULLY SUR LOIRE</v>
      </c>
      <c r="Z226" s="26" t="str">
        <f>VLOOKUP($D226,records!$A:$V,7,FALSE)</f>
        <v>45600</v>
      </c>
      <c r="AA226" s="26" t="s">
        <v>1223</v>
      </c>
      <c r="AB226" s="26">
        <f>VLOOKUP(O226,'records (2)'!$A:$Z,8,FALSE)</f>
        <v>30</v>
      </c>
      <c r="AC226" s="26" t="b">
        <v>0</v>
      </c>
      <c r="AD226" s="26"/>
      <c r="AE226" s="26"/>
      <c r="AF226" s="26" t="str">
        <f>VLOOKUP($D226,records!$A:$V,13,FALSE)</f>
        <v>SWISS KRONO SAS</v>
      </c>
      <c r="AG226" s="26" t="s">
        <v>1226</v>
      </c>
      <c r="AH226" s="26" t="str">
        <f>VLOOKUP($D226,records!$A:$V,19,FALSE)</f>
        <v>frsu.compta.fournisseurs@swisskrono.com</v>
      </c>
      <c r="AI226" s="26" t="str">
        <f>VLOOKUP($D226,records!$A:$V,14,FALSE)</f>
        <v>.</v>
      </c>
      <c r="AJ226" s="26" t="str">
        <f>VLOOKUP($O226,'records (2)'!$A:$Z,14,FALSE)</f>
        <v>003IV000010tRW3YAM</v>
      </c>
      <c r="AK226" s="26" t="str">
        <f>VLOOKUP($O226,'records (2)'!$A:$Z,15,FALSE)</f>
        <v>Sophie PANCRASSIN (frsu.compta)</v>
      </c>
      <c r="AL226" s="26" t="str">
        <f>VLOOKUP($O226,'records (2)'!$A:$Z,10,FALSE)</f>
        <v>003IV000010tRW3YAM</v>
      </c>
      <c r="AM226" s="26" t="str">
        <f>VLOOKUP($O226,'records (2)'!$A:$Z,11,FALSE)</f>
        <v>Sophie PANCRASSIN (frsu.compta)</v>
      </c>
      <c r="AN226" s="18">
        <v>1</v>
      </c>
      <c r="AO226" s="4">
        <v>1000</v>
      </c>
      <c r="AP226" s="4">
        <v>1000</v>
      </c>
      <c r="AQ226" s="20">
        <v>0</v>
      </c>
      <c r="AR226" s="6">
        <v>0</v>
      </c>
    </row>
    <row r="227" spans="1:44">
      <c r="A227" s="18" t="s">
        <v>247</v>
      </c>
      <c r="B227" s="18" t="s">
        <v>248</v>
      </c>
      <c r="C227" s="18" t="s">
        <v>249</v>
      </c>
      <c r="D227" s="18" t="s">
        <v>250</v>
      </c>
      <c r="E227" s="18" t="s">
        <v>23</v>
      </c>
      <c r="F227" s="18" t="s">
        <v>24</v>
      </c>
      <c r="G227" s="18"/>
      <c r="H227" s="19" t="s">
        <v>1216</v>
      </c>
      <c r="I227" s="23" t="s">
        <v>1217</v>
      </c>
      <c r="J227" s="24">
        <v>46023</v>
      </c>
      <c r="K227" s="24">
        <v>46387</v>
      </c>
      <c r="L227" s="24" t="s">
        <v>1218</v>
      </c>
      <c r="M227" s="24" t="s">
        <v>1219</v>
      </c>
      <c r="N227" s="24">
        <v>46023</v>
      </c>
      <c r="O227" s="24" t="str">
        <f>VLOOKUP(D227,records!$A:$U,10,FALSE)</f>
        <v>0012p00004PnMdVAAV</v>
      </c>
      <c r="P227" s="24" t="str">
        <f>VLOOKUP(D227,records!$A:$V,20,FALSE)</f>
        <v>FR48815387832</v>
      </c>
      <c r="Q227" s="24" t="str">
        <f>VLOOKUP(D227,records!$A:$V,12,FALSE)</f>
        <v>81 538 783 200 018</v>
      </c>
      <c r="R227" s="24" t="s">
        <v>1220</v>
      </c>
      <c r="S227" s="24" t="str">
        <f>VLOOKUP(D227,records!$A:$U,19,FALSE)</f>
        <v>g.paugam@groupe-telegramme-services.fr</v>
      </c>
      <c r="T227" s="26" t="s">
        <v>1221</v>
      </c>
      <c r="U227" s="26" t="s">
        <v>1222</v>
      </c>
      <c r="V227" s="26" t="str">
        <f>VLOOKUP($D227,records!$A:$V,3,FALSE)</f>
        <v>GROUPE TELEGRAMME SERVICES sasu</v>
      </c>
      <c r="W227" s="26"/>
      <c r="X227" s="26" t="str">
        <f>VLOOKUP($D227,records!$A:$V,9,FALSE)</f>
        <v>7 Voie d'accès au Port</v>
      </c>
      <c r="Y227" s="26" t="str">
        <f>VLOOKUP($D227,records!$A:$V,4,FALSE)</f>
        <v>MORLAIX</v>
      </c>
      <c r="Z227" s="26" t="str">
        <f>VLOOKUP($D227,records!$A:$V,7,FALSE)</f>
        <v>29600</v>
      </c>
      <c r="AA227" s="26" t="s">
        <v>1223</v>
      </c>
      <c r="AB227" s="26">
        <f>VLOOKUP(O227,'records (2)'!$A:$Z,8,FALSE)</f>
        <v>30</v>
      </c>
      <c r="AC227" s="26" t="b">
        <v>0</v>
      </c>
      <c r="AD227" s="26"/>
      <c r="AE227" s="26"/>
      <c r="AF227" s="26" t="str">
        <f>VLOOKUP($D227,records!$A:$V,13,FALSE)</f>
        <v>GROUPE TELEGRAMME SERVICES sasu</v>
      </c>
      <c r="AG227" s="26" t="s">
        <v>1226</v>
      </c>
      <c r="AH227" s="26" t="str">
        <f>VLOOKUP($D227,records!$A:$V,19,FALSE)</f>
        <v>g.paugam@groupe-telegramme-services.fr</v>
      </c>
      <c r="AI227" s="26" t="str">
        <f>VLOOKUP($D227,records!$A:$V,14,FALSE)</f>
        <v>.</v>
      </c>
      <c r="AJ227" s="26" t="str">
        <f>VLOOKUP($O227,'records (2)'!$A:$Z,14,FALSE)</f>
        <v>003IV000010su8uYAA</v>
      </c>
      <c r="AK227" s="26" t="str">
        <f>VLOOKUP($O227,'records (2)'!$A:$Z,15,FALSE)</f>
        <v>Bénédicte LE DOUJET (factures)</v>
      </c>
      <c r="AL227" s="26" t="str">
        <f>VLOOKUP($O227,'records (2)'!$A:$Z,10,FALSE)</f>
        <v>003IV000010su8uYAA</v>
      </c>
      <c r="AM227" s="26" t="str">
        <f>VLOOKUP($O227,'records (2)'!$A:$Z,11,FALSE)</f>
        <v>Bénédicte LE DOUJET (factures)</v>
      </c>
      <c r="AN227" s="18">
        <v>1</v>
      </c>
      <c r="AO227" s="4">
        <v>3600</v>
      </c>
      <c r="AP227" s="4">
        <v>3600</v>
      </c>
      <c r="AQ227" s="20">
        <v>0</v>
      </c>
      <c r="AR227" s="6">
        <v>0</v>
      </c>
    </row>
    <row r="228" spans="1:44">
      <c r="A228" s="18" t="s">
        <v>741</v>
      </c>
      <c r="B228" s="18" t="s">
        <v>742</v>
      </c>
      <c r="C228" s="18" t="s">
        <v>743</v>
      </c>
      <c r="D228" s="18" t="s">
        <v>744</v>
      </c>
      <c r="E228" s="18" t="s">
        <v>52</v>
      </c>
      <c r="F228" s="18" t="s">
        <v>53</v>
      </c>
      <c r="G228" s="18"/>
      <c r="H228" s="19" t="s">
        <v>1216</v>
      </c>
      <c r="I228" s="23" t="s">
        <v>1217</v>
      </c>
      <c r="J228" s="24">
        <v>46023</v>
      </c>
      <c r="K228" s="24">
        <v>46387</v>
      </c>
      <c r="L228" s="24" t="s">
        <v>1218</v>
      </c>
      <c r="M228" s="24" t="s">
        <v>1219</v>
      </c>
      <c r="N228" s="24">
        <v>46023</v>
      </c>
      <c r="O228" s="24" t="str">
        <f>VLOOKUP(D228,records!$A:$U,10,FALSE)</f>
        <v>0012p00004UHmPUAA1</v>
      </c>
      <c r="P228" s="24" t="str">
        <f>VLOOKUP(D228,records!$A:$V,20,FALSE)</f>
        <v>FR43682011440</v>
      </c>
      <c r="Q228" s="24" t="str">
        <f>VLOOKUP(D228,records!$A:$V,12,FALSE)</f>
        <v>6 820 114 400 026</v>
      </c>
      <c r="R228" s="24" t="s">
        <v>1220</v>
      </c>
      <c r="S228" s="24" t="str">
        <f>VLOOKUP(D228,records!$A:$U,19,FALSE)</f>
        <v>g_lfr_comptabilite@lindalgroup.com</v>
      </c>
      <c r="T228" s="26" t="s">
        <v>1221</v>
      </c>
      <c r="U228" s="26" t="s">
        <v>1222</v>
      </c>
      <c r="V228" s="26" t="str">
        <f>VLOOKUP($D228,records!$A:$V,3,FALSE)</f>
        <v>LINDAL FRANCE sas</v>
      </c>
      <c r="W228" s="26"/>
      <c r="X228" s="26" t="str">
        <f>VLOOKUP($D228,records!$A:$V,9,FALSE)</f>
        <v>4 rue Gustave Eiffel</v>
      </c>
      <c r="Y228" s="26" t="str">
        <f>VLOOKUP($D228,records!$A:$V,4,FALSE)</f>
        <v>VAL DE BRIEY</v>
      </c>
      <c r="Z228" s="26" t="str">
        <f>VLOOKUP($D228,records!$A:$V,7,FALSE)</f>
        <v>54150</v>
      </c>
      <c r="AA228" s="26" t="s">
        <v>1223</v>
      </c>
      <c r="AB228" s="26">
        <f>VLOOKUP(O228,'records (2)'!$A:$Z,8,FALSE)</f>
        <v>30</v>
      </c>
      <c r="AC228" s="26" t="b">
        <v>0</v>
      </c>
      <c r="AD228" s="26"/>
      <c r="AE228" s="26"/>
      <c r="AF228" s="26" t="str">
        <f>VLOOKUP($D228,records!$A:$V,13,FALSE)</f>
        <v>LINDAL FRANCE sas</v>
      </c>
      <c r="AG228" s="26" t="s">
        <v>1226</v>
      </c>
      <c r="AH228" s="26" t="str">
        <f>VLOOKUP($D228,records!$A:$V,19,FALSE)</f>
        <v>g_lfr_comptabilite@lindalgroup.com</v>
      </c>
      <c r="AI228" s="26" t="str">
        <f>VLOOKUP($D228,records!$A:$V,14,FALSE)</f>
        <v>.</v>
      </c>
      <c r="AJ228" s="26" t="str">
        <f>VLOOKUP($O228,'records (2)'!$A:$Z,14,FALSE)</f>
        <v>003IV000010tPaKYAU</v>
      </c>
      <c r="AK228" s="26" t="str">
        <f>VLOOKUP($O228,'records (2)'!$A:$Z,15,FALSE)</f>
        <v>Sonia LUDOVICO</v>
      </c>
      <c r="AL228" s="26" t="str">
        <f>VLOOKUP($O228,'records (2)'!$A:$Z,10,FALSE)</f>
        <v>003IV000010tPaKYAU</v>
      </c>
      <c r="AM228" s="26" t="str">
        <f>VLOOKUP($O228,'records (2)'!$A:$Z,11,FALSE)</f>
        <v>Sonia LUDOVICO</v>
      </c>
      <c r="AN228" s="18">
        <v>1</v>
      </c>
      <c r="AO228" s="4">
        <v>1000</v>
      </c>
      <c r="AP228" s="4">
        <v>1000</v>
      </c>
      <c r="AQ228" s="20">
        <v>0</v>
      </c>
      <c r="AR228" s="6">
        <v>0</v>
      </c>
    </row>
    <row r="229" spans="1:44">
      <c r="A229" s="18" t="s">
        <v>1043</v>
      </c>
      <c r="B229" s="18" t="s">
        <v>1044</v>
      </c>
      <c r="C229" s="18" t="s">
        <v>1045</v>
      </c>
      <c r="D229" s="18" t="s">
        <v>1046</v>
      </c>
      <c r="E229" s="18" t="s">
        <v>52</v>
      </c>
      <c r="F229" s="18" t="s">
        <v>53</v>
      </c>
      <c r="G229" s="18"/>
      <c r="H229" s="19" t="s">
        <v>1216</v>
      </c>
      <c r="I229" s="23" t="s">
        <v>1217</v>
      </c>
      <c r="J229" s="24">
        <v>46023</v>
      </c>
      <c r="K229" s="24">
        <v>46387</v>
      </c>
      <c r="L229" s="24" t="s">
        <v>1218</v>
      </c>
      <c r="M229" s="24" t="s">
        <v>1219</v>
      </c>
      <c r="N229" s="24">
        <v>46023</v>
      </c>
      <c r="O229" s="24" t="str">
        <f>VLOOKUP(D229,records!$A:$U,10,FALSE)</f>
        <v>0012p00004RejP0AAJ</v>
      </c>
      <c r="P229" s="24" t="str">
        <f>VLOOKUP(D229,records!$A:$V,20,FALSE)</f>
        <v>FR02399240001</v>
      </c>
      <c r="Q229" s="24" t="str">
        <f>VLOOKUP(D229,records!$A:$V,12,FALSE)</f>
        <v>39 924 000 100 046</v>
      </c>
      <c r="R229" s="24" t="s">
        <v>1220</v>
      </c>
      <c r="S229" s="24" t="str">
        <f>VLOOKUP(D229,records!$A:$U,19,FALSE)</f>
        <v>gabriel.dalin@ball.com</v>
      </c>
      <c r="T229" s="26" t="s">
        <v>1221</v>
      </c>
      <c r="U229" s="26" t="s">
        <v>1222</v>
      </c>
      <c r="V229" s="26" t="str">
        <f>VLOOKUP($D229,records!$A:$V,3,FALSE)</f>
        <v>BALL AEROSOL PACKAGING FRANCE S.A.S</v>
      </c>
      <c r="W229" s="26"/>
      <c r="X229" s="26" t="str">
        <f>VLOOKUP($D229,records!$A:$V,9,FALSE)</f>
        <v>105 imp de la Valserine, Chatillon en Michaille</v>
      </c>
      <c r="Y229" s="26" t="str">
        <f>VLOOKUP($D229,records!$A:$V,4,FALSE)</f>
        <v>VALSERHONE</v>
      </c>
      <c r="Z229" s="26" t="str">
        <f>VLOOKUP($D229,records!$A:$V,7,FALSE)</f>
        <v>1200</v>
      </c>
      <c r="AA229" s="26" t="s">
        <v>1223</v>
      </c>
      <c r="AB229" s="26">
        <f>VLOOKUP(O229,'records (2)'!$A:$Z,8,FALSE)</f>
        <v>30</v>
      </c>
      <c r="AC229" s="26" t="b">
        <v>0</v>
      </c>
      <c r="AD229" s="26"/>
      <c r="AE229" s="26"/>
      <c r="AF229" s="26" t="str">
        <f>VLOOKUP($D229,records!$A:$V,13,FALSE)</f>
        <v>BALL AEROSOL PACKAGING FRANCE S.A.S</v>
      </c>
      <c r="AG229" s="26" t="s">
        <v>1226</v>
      </c>
      <c r="AH229" s="26" t="str">
        <f>VLOOKUP($D229,records!$A:$V,19,FALSE)</f>
        <v>gabriel.dalin@ball.com</v>
      </c>
      <c r="AI229" s="26" t="str">
        <f>VLOOKUP($D229,records!$A:$V,14,FALSE)</f>
        <v>.</v>
      </c>
      <c r="AJ229" s="26" t="str">
        <f>VLOOKUP($O229,'records (2)'!$A:$Z,14,FALSE)</f>
        <v>003IV000010tRdYYAU</v>
      </c>
      <c r="AK229" s="26" t="str">
        <f>VLOOKUP($O229,'records (2)'!$A:$Z,15,FALSE)</f>
        <v>Gabriel DALIN</v>
      </c>
      <c r="AL229" s="26" t="str">
        <f>VLOOKUP($O229,'records (2)'!$A:$Z,10,FALSE)</f>
        <v>003IV000010tRdYYAU</v>
      </c>
      <c r="AM229" s="26" t="str">
        <f>VLOOKUP($O229,'records (2)'!$A:$Z,11,FALSE)</f>
        <v>Gabriel DALIN</v>
      </c>
      <c r="AN229" s="18">
        <v>1</v>
      </c>
      <c r="AO229" s="4">
        <v>1000</v>
      </c>
      <c r="AP229" s="4">
        <v>1000</v>
      </c>
      <c r="AQ229" s="20">
        <v>0</v>
      </c>
      <c r="AR229" s="6">
        <v>0</v>
      </c>
    </row>
    <row r="230" spans="1:44">
      <c r="A230" s="18" t="s">
        <v>853</v>
      </c>
      <c r="B230" s="18" t="s">
        <v>854</v>
      </c>
      <c r="C230" s="18" t="s">
        <v>854</v>
      </c>
      <c r="D230" s="18" t="s">
        <v>855</v>
      </c>
      <c r="E230" s="18" t="s">
        <v>52</v>
      </c>
      <c r="F230" s="18" t="s">
        <v>53</v>
      </c>
      <c r="G230" s="18"/>
      <c r="H230" s="19" t="s">
        <v>1216</v>
      </c>
      <c r="I230" s="23" t="s">
        <v>1217</v>
      </c>
      <c r="J230" s="24">
        <v>46023</v>
      </c>
      <c r="K230" s="24">
        <v>46387</v>
      </c>
      <c r="L230" s="24" t="s">
        <v>1218</v>
      </c>
      <c r="M230" s="24" t="s">
        <v>1219</v>
      </c>
      <c r="N230" s="24">
        <v>46023</v>
      </c>
      <c r="O230" s="24" t="str">
        <f>VLOOKUP(D230,records!$A:$U,10,FALSE)</f>
        <v>001SZ000004I86UYAS</v>
      </c>
      <c r="P230" s="24" t="str">
        <f>VLOOKUP(D230,records!$A:$V,20,FALSE)</f>
        <v>FR73395047426</v>
      </c>
      <c r="Q230" s="24" t="str">
        <f>VLOOKUP(D230,records!$A:$V,12,FALSE)</f>
        <v>39 504 742 600 014</v>
      </c>
      <c r="R230" s="24" t="s">
        <v>1220</v>
      </c>
      <c r="S230" s="24" t="str">
        <f>VLOOKUP(D230,records!$A:$U,19,FALSE)</f>
        <v>gaelle.demeule@st-ji.com</v>
      </c>
      <c r="T230" s="26" t="s">
        <v>1221</v>
      </c>
      <c r="U230" s="26" t="s">
        <v>1222</v>
      </c>
      <c r="V230" s="26" t="str">
        <f>VLOOKUP($D230,records!$A:$V,3,FALSE)</f>
        <v>SAINT JEAN INDUSTRIES sas</v>
      </c>
      <c r="W230" s="26"/>
      <c r="X230" s="26" t="str">
        <f>VLOOKUP($D230,records!$A:$V,9,FALSE)</f>
        <v>ZAC Des Gouchoux, BP186</v>
      </c>
      <c r="Y230" s="26" t="str">
        <f>VLOOKUP($D230,records!$A:$V,4,FALSE)</f>
        <v>SAINT JEAN D'ARDIERES</v>
      </c>
      <c r="Z230" s="26" t="str">
        <f>VLOOKUP($D230,records!$A:$V,7,FALSE)</f>
        <v>69220</v>
      </c>
      <c r="AA230" s="26" t="s">
        <v>1223</v>
      </c>
      <c r="AB230" s="26">
        <f>VLOOKUP(O230,'records (2)'!$A:$Z,8,FALSE)</f>
        <v>30</v>
      </c>
      <c r="AC230" s="26" t="b">
        <v>0</v>
      </c>
      <c r="AD230" s="26"/>
      <c r="AE230" s="26"/>
      <c r="AF230" s="26" t="str">
        <f>VLOOKUP($D230,records!$A:$V,13,FALSE)</f>
        <v>SAINT JEAN INDUSTRIES sas</v>
      </c>
      <c r="AG230" s="26" t="s">
        <v>1226</v>
      </c>
      <c r="AH230" s="26" t="str">
        <f>VLOOKUP($D230,records!$A:$V,19,FALSE)</f>
        <v>gaelle.demeule@st-ji.com</v>
      </c>
      <c r="AI230" s="26" t="str">
        <f>VLOOKUP($D230,records!$A:$V,14,FALSE)</f>
        <v>.</v>
      </c>
      <c r="AJ230" s="26" t="str">
        <f>VLOOKUP($O230,'records (2)'!$A:$Z,14,FALSE)</f>
        <v>003IV000010su8cYAA</v>
      </c>
      <c r="AK230" s="26" t="str">
        <f>VLOOKUP($O230,'records (2)'!$A:$Z,15,FALSE)</f>
        <v>Gaelle DEMEULE</v>
      </c>
      <c r="AL230" s="26" t="str">
        <f>VLOOKUP($O230,'records (2)'!$A:$Z,10,FALSE)</f>
        <v>003IV000010su8cYAA</v>
      </c>
      <c r="AM230" s="26" t="str">
        <f>VLOOKUP($O230,'records (2)'!$A:$Z,11,FALSE)</f>
        <v>Gaelle DEMEULE</v>
      </c>
      <c r="AN230" s="18">
        <v>1</v>
      </c>
      <c r="AO230" s="4">
        <v>2000</v>
      </c>
      <c r="AP230" s="4">
        <v>2000</v>
      </c>
      <c r="AQ230" s="20">
        <v>0</v>
      </c>
      <c r="AR230" s="6">
        <v>0</v>
      </c>
    </row>
    <row r="231" spans="1:44">
      <c r="A231" s="18" t="s">
        <v>519</v>
      </c>
      <c r="B231" s="18" t="s">
        <v>520</v>
      </c>
      <c r="C231" s="18" t="s">
        <v>521</v>
      </c>
      <c r="D231" s="18" t="s">
        <v>522</v>
      </c>
      <c r="E231" s="18" t="s">
        <v>52</v>
      </c>
      <c r="F231" s="18" t="s">
        <v>53</v>
      </c>
      <c r="G231" s="18"/>
      <c r="H231" s="19" t="s">
        <v>1216</v>
      </c>
      <c r="I231" s="23" t="s">
        <v>1217</v>
      </c>
      <c r="J231" s="24">
        <v>46023</v>
      </c>
      <c r="K231" s="24">
        <v>46387</v>
      </c>
      <c r="L231" s="24" t="s">
        <v>1218</v>
      </c>
      <c r="M231" s="24" t="s">
        <v>1219</v>
      </c>
      <c r="N231" s="24">
        <v>46023</v>
      </c>
      <c r="O231" s="24" t="str">
        <f>VLOOKUP(D231,records!$A:$U,10,FALSE)</f>
        <v>001SZ000000nFZ1YAM</v>
      </c>
      <c r="P231" s="24" t="str">
        <f>VLOOKUP(D231,records!$A:$V,20,FALSE)</f>
        <v>FR90327205373</v>
      </c>
      <c r="Q231" s="24" t="str">
        <f>VLOOKUP(D231,records!$A:$V,12,FALSE)</f>
        <v>32 720 537 300 027</v>
      </c>
      <c r="R231" s="24" t="s">
        <v>1220</v>
      </c>
      <c r="S231" s="24" t="str">
        <f>VLOOKUP(D231,records!$A:$U,19,FALSE)</f>
        <v>gbr-wantage.frssc-ap@eur.crowncork.com</v>
      </c>
      <c r="T231" s="26" t="s">
        <v>1221</v>
      </c>
      <c r="U231" s="26" t="s">
        <v>1222</v>
      </c>
      <c r="V231" s="26" t="str">
        <f>VLOOKUP($D231,records!$A:$V,3,FALSE)</f>
        <v>CROWN BEVCAN FRANCE SAS</v>
      </c>
      <c r="W231" s="26"/>
      <c r="X231" s="26" t="str">
        <f>VLOOKUP($D231,records!$A:$V,9,FALSE)</f>
        <v>203 Boulevard de Finland Parc Eiffel - 
 Energie BP 18</v>
      </c>
      <c r="Y231" s="26" t="str">
        <f>VLOOKUP($D231,records!$A:$V,4,FALSE)</f>
        <v>CUSTINES</v>
      </c>
      <c r="Z231" s="26" t="str">
        <f>VLOOKUP($D231,records!$A:$V,7,FALSE)</f>
        <v>54670</v>
      </c>
      <c r="AA231" s="26" t="s">
        <v>1223</v>
      </c>
      <c r="AB231" s="26">
        <f>VLOOKUP(O231,'records (2)'!$A:$Z,8,FALSE)</f>
        <v>30</v>
      </c>
      <c r="AC231" s="26" t="b">
        <v>0</v>
      </c>
      <c r="AD231" s="26"/>
      <c r="AE231" s="26"/>
      <c r="AF231" s="26" t="str">
        <f>VLOOKUP($D231,records!$A:$V,13,FALSE)</f>
        <v>CROWN BEVCAN FRANCE SAS</v>
      </c>
      <c r="AG231" s="26" t="s">
        <v>1226</v>
      </c>
      <c r="AH231" s="26" t="str">
        <f>VLOOKUP($D231,records!$A:$V,19,FALSE)</f>
        <v>gbr-wantage.frssc-ap@eur.crowncork.com</v>
      </c>
      <c r="AI231" s="26" t="str">
        <f>VLOOKUP($D231,records!$A:$V,14,FALSE)</f>
        <v>.</v>
      </c>
      <c r="AJ231" s="26" t="str">
        <f>VLOOKUP($O231,'records (2)'!$A:$Z,14,FALSE)</f>
        <v>003IV000010tJZyYAM</v>
      </c>
      <c r="AK231" s="26" t="str">
        <f>VLOOKUP($O231,'records (2)'!$A:$Z,15,FALSE)</f>
        <v>Virginie JOUVE</v>
      </c>
      <c r="AL231" s="26" t="str">
        <f>VLOOKUP($O231,'records (2)'!$A:$Z,10,FALSE)</f>
        <v>003IV000010tJZyYAM</v>
      </c>
      <c r="AM231" s="26" t="str">
        <f>VLOOKUP($O231,'records (2)'!$A:$Z,11,FALSE)</f>
        <v>Virginie JOUVE</v>
      </c>
      <c r="AN231" s="18">
        <v>1</v>
      </c>
      <c r="AO231" s="4">
        <v>500</v>
      </c>
      <c r="AP231" s="4">
        <v>500</v>
      </c>
      <c r="AQ231" s="20">
        <v>0</v>
      </c>
      <c r="AR231" s="6">
        <v>0</v>
      </c>
    </row>
    <row r="232" spans="1:44">
      <c r="A232" s="18" t="s">
        <v>109</v>
      </c>
      <c r="B232" s="18" t="s">
        <v>110</v>
      </c>
      <c r="C232" s="18" t="s">
        <v>111</v>
      </c>
      <c r="D232" s="18" t="s">
        <v>112</v>
      </c>
      <c r="E232" s="18" t="s">
        <v>16</v>
      </c>
      <c r="F232" s="18" t="s">
        <v>17</v>
      </c>
      <c r="G232" s="18"/>
      <c r="H232" s="19" t="s">
        <v>1216</v>
      </c>
      <c r="I232" s="23" t="s">
        <v>1217</v>
      </c>
      <c r="J232" s="24">
        <v>46023</v>
      </c>
      <c r="K232" s="24">
        <v>46387</v>
      </c>
      <c r="L232" s="24" t="s">
        <v>1218</v>
      </c>
      <c r="M232" s="24" t="s">
        <v>1219</v>
      </c>
      <c r="N232" s="24">
        <v>46023</v>
      </c>
      <c r="O232" s="24" t="str">
        <f>VLOOKUP(D232,records!$A:$U,10,FALSE)</f>
        <v>0012p00004RDXHiAAP</v>
      </c>
      <c r="P232" s="24" t="str">
        <f>VLOOKUP(D232,records!$A:$V,20,FALSE)</f>
        <v>FR60642044374</v>
      </c>
      <c r="Q232" s="24" t="str">
        <f>VLOOKUP(D232,records!$A:$V,12,FALSE)</f>
        <v>64 204 437 400 501</v>
      </c>
      <c r="R232" s="24" t="s">
        <v>1220</v>
      </c>
      <c r="S232" s="24" t="str">
        <f>VLOOKUP(D232,records!$A:$U,19,FALSE)</f>
        <v>gfaucher@littelfuse.com</v>
      </c>
      <c r="T232" s="26" t="s">
        <v>1221</v>
      </c>
      <c r="U232" s="26" t="s">
        <v>1222</v>
      </c>
      <c r="V232" s="26" t="str">
        <f>VLOOKUP($D232,records!$A:$V,3,FALSE)</f>
        <v>C&amp;K COMPONENTS SAS</v>
      </c>
      <c r="W232" s="26"/>
      <c r="X232" s="26" t="str">
        <f>VLOOKUP($D232,records!$A:$V,9,FALSE)</f>
        <v>2 Rue Berthollet</v>
      </c>
      <c r="Y232" s="26" t="str">
        <f>VLOOKUP($D232,records!$A:$V,4,FALSE)</f>
        <v>DOLE</v>
      </c>
      <c r="Z232" s="26" t="str">
        <f>VLOOKUP($D232,records!$A:$V,7,FALSE)</f>
        <v>39100</v>
      </c>
      <c r="AA232" s="26" t="s">
        <v>1223</v>
      </c>
      <c r="AB232" s="26">
        <f>VLOOKUP(O232,'records (2)'!$A:$Z,8,FALSE)</f>
        <v>30</v>
      </c>
      <c r="AC232" s="26" t="b">
        <f>VLOOKUP(O232,'records (4)'!$A:$C,3,FALSE)</f>
        <v>1</v>
      </c>
      <c r="AD232" s="26" t="s">
        <v>1225</v>
      </c>
      <c r="AE232" s="24">
        <v>46023</v>
      </c>
      <c r="AF232" s="26" t="str">
        <f>VLOOKUP($D232,records!$A:$V,13,FALSE)</f>
        <v>C&amp;K COMPONENTS SAS</v>
      </c>
      <c r="AG232" s="26" t="s">
        <v>1226</v>
      </c>
      <c r="AH232" s="26" t="str">
        <f>VLOOKUP($D232,records!$A:$V,19,FALSE)</f>
        <v>gfaucher@littelfuse.com</v>
      </c>
      <c r="AI232" s="26" t="str">
        <f>VLOOKUP($D232,records!$A:$V,14,FALSE)</f>
        <v>.</v>
      </c>
      <c r="AJ232" s="26" t="str">
        <f>VLOOKUP($O232,'records (2)'!$A:$Z,14,FALSE)</f>
        <v>003IV000010tJZPYA2</v>
      </c>
      <c r="AK232" s="26" t="str">
        <f>VLOOKUP($O232,'records (2)'!$A:$Z,15,FALSE)</f>
        <v>Gersende FAUCHER</v>
      </c>
      <c r="AL232" s="26" t="str">
        <f>VLOOKUP($O232,'records (2)'!$A:$Z,10,FALSE)</f>
        <v>003IV000010tJZPYA2</v>
      </c>
      <c r="AM232" s="26" t="str">
        <f>VLOOKUP($O232,'records (2)'!$A:$Z,11,FALSE)</f>
        <v>Gersende FAUCHER</v>
      </c>
      <c r="AN232" s="18">
        <v>1</v>
      </c>
      <c r="AO232" s="4">
        <v>2000</v>
      </c>
      <c r="AP232" s="4">
        <v>2000</v>
      </c>
      <c r="AQ232" s="20">
        <v>0</v>
      </c>
      <c r="AR232" s="6">
        <v>0</v>
      </c>
    </row>
    <row r="233" spans="1:44">
      <c r="A233" s="18" t="s">
        <v>561</v>
      </c>
      <c r="B233" s="18" t="s">
        <v>562</v>
      </c>
      <c r="C233" s="18" t="s">
        <v>563</v>
      </c>
      <c r="D233" s="18" t="s">
        <v>564</v>
      </c>
      <c r="E233" s="18" t="s">
        <v>52</v>
      </c>
      <c r="F233" s="18" t="s">
        <v>53</v>
      </c>
      <c r="G233" s="18"/>
      <c r="H233" s="19" t="s">
        <v>1216</v>
      </c>
      <c r="I233" s="23" t="s">
        <v>1217</v>
      </c>
      <c r="J233" s="24">
        <v>46023</v>
      </c>
      <c r="K233" s="24">
        <v>46387</v>
      </c>
      <c r="L233" s="24" t="s">
        <v>1218</v>
      </c>
      <c r="M233" s="24" t="s">
        <v>1219</v>
      </c>
      <c r="N233" s="24">
        <v>46023</v>
      </c>
      <c r="O233" s="24" t="str">
        <f>VLOOKUP(D233,records!$A:$U,10,FALSE)</f>
        <v>0012p00004NKu78AAD</v>
      </c>
      <c r="P233" s="24" t="str">
        <f>VLOOKUP(D233,records!$A:$V,20,FALSE)</f>
        <v>FR75383669553</v>
      </c>
      <c r="Q233" s="24" t="str">
        <f>VLOOKUP(D233,records!$A:$V,12,FALSE)</f>
        <v>38 366 955 300 018</v>
      </c>
      <c r="R233" s="24" t="s">
        <v>1220</v>
      </c>
      <c r="S233" s="24" t="str">
        <f>VLOOKUP(D233,records!$A:$U,19,FALSE)</f>
        <v>helene.valaize@estivin.fr</v>
      </c>
      <c r="T233" s="26" t="s">
        <v>1221</v>
      </c>
      <c r="U233" s="26" t="s">
        <v>1222</v>
      </c>
      <c r="V233" s="26" t="str">
        <f>VLOOKUP($D233,records!$A:$V,3,FALSE)</f>
        <v>ESTIVIN GROUPE HOLDING FINANCE sas - EGHF</v>
      </c>
      <c r="W233" s="26" t="str">
        <f>IFERROR(VLOOKUP($D233,records!$A:$V,6,FALSE),)</f>
        <v>Service RH</v>
      </c>
      <c r="X233" s="26" t="str">
        <f>VLOOKUP($D233,records!$A:$V,9,FALSE)</f>
        <v>Avenue Vatel</v>
      </c>
      <c r="Y233" s="26" t="str">
        <f>VLOOKUP($D233,records!$A:$V,4,FALSE)</f>
        <v>TOURS</v>
      </c>
      <c r="Z233" s="26" t="str">
        <f>VLOOKUP($D233,records!$A:$V,7,FALSE)</f>
        <v>37000</v>
      </c>
      <c r="AA233" s="26" t="s">
        <v>1223</v>
      </c>
      <c r="AB233" s="26">
        <f>VLOOKUP(O233,'records (2)'!$A:$Z,8,FALSE)</f>
        <v>30</v>
      </c>
      <c r="AC233" s="26" t="b">
        <v>0</v>
      </c>
      <c r="AD233" s="26"/>
      <c r="AE233" s="26"/>
      <c r="AF233" s="26" t="str">
        <f>VLOOKUP($D233,records!$A:$V,13,FALSE)</f>
        <v>ESTIVIN GROUPE HOLDING FINANCE sas - EGHF</v>
      </c>
      <c r="AG233" s="26" t="s">
        <v>1226</v>
      </c>
      <c r="AH233" s="26" t="str">
        <f>VLOOKUP($D233,records!$A:$V,19,FALSE)</f>
        <v>helene.valaize@estivin.fr</v>
      </c>
      <c r="AI233" s="26" t="str">
        <f>VLOOKUP($D233,records!$A:$V,14,FALSE)</f>
        <v>.</v>
      </c>
      <c r="AJ233" s="26" t="str">
        <f>VLOOKUP($O233,'records (2)'!$A:$Z,14,FALSE)</f>
        <v>003IV000010tIe1YAE</v>
      </c>
      <c r="AK233" s="26" t="str">
        <f>VLOOKUP($O233,'records (2)'!$A:$Z,15,FALSE)</f>
        <v>Hélène VALAIZE</v>
      </c>
      <c r="AL233" s="26" t="str">
        <f>VLOOKUP($O233,'records (2)'!$A:$Z,10,FALSE)</f>
        <v>003IV000010tIe1YAE</v>
      </c>
      <c r="AM233" s="26" t="str">
        <f>VLOOKUP($O233,'records (2)'!$A:$Z,11,FALSE)</f>
        <v>Hélène VALAIZE</v>
      </c>
      <c r="AN233" s="18">
        <v>1</v>
      </c>
      <c r="AO233" s="4">
        <v>500</v>
      </c>
      <c r="AP233" s="4">
        <v>500</v>
      </c>
      <c r="AQ233" s="20"/>
      <c r="AR233" s="6"/>
    </row>
    <row r="234" spans="1:44">
      <c r="A234" s="18" t="s">
        <v>699</v>
      </c>
      <c r="B234" s="18" t="s">
        <v>700</v>
      </c>
      <c r="C234" s="18" t="s">
        <v>701</v>
      </c>
      <c r="D234" s="18" t="s">
        <v>702</v>
      </c>
      <c r="E234" s="18" t="s">
        <v>52</v>
      </c>
      <c r="F234" s="18" t="s">
        <v>53</v>
      </c>
      <c r="G234" s="18"/>
      <c r="H234" s="19" t="s">
        <v>1216</v>
      </c>
      <c r="I234" s="23" t="s">
        <v>1217</v>
      </c>
      <c r="J234" s="24">
        <v>46023</v>
      </c>
      <c r="K234" s="24">
        <v>46387</v>
      </c>
      <c r="L234" s="24" t="s">
        <v>1218</v>
      </c>
      <c r="M234" s="24" t="s">
        <v>1219</v>
      </c>
      <c r="N234" s="24">
        <v>46023</v>
      </c>
      <c r="O234" s="24" t="str">
        <f>VLOOKUP(D234,records!$A:$U,10,FALSE)</f>
        <v>001SZ000006QSV4YAO</v>
      </c>
      <c r="P234" s="24" t="str">
        <f>VLOOKUP(D234,records!$A:$V,20,FALSE)</f>
        <v>FR60435480546</v>
      </c>
      <c r="Q234" s="24" t="str">
        <f>VLOOKUP(D234,records!$A:$V,12,FALSE)</f>
        <v>43 548 054 600 108</v>
      </c>
      <c r="R234" s="24" t="s">
        <v>1220</v>
      </c>
      <c r="S234" s="24" t="str">
        <f>VLOOKUP(D234,records!$A:$U,19,FALSE)</f>
        <v>hmcinvoices@hmclause.com</v>
      </c>
      <c r="T234" s="26" t="s">
        <v>1221</v>
      </c>
      <c r="U234" s="26" t="s">
        <v>1222</v>
      </c>
      <c r="V234" s="26" t="str">
        <f>VLOOKUP($D234,records!$A:$V,3,FALSE)</f>
        <v>HM CLAUSE sas</v>
      </c>
      <c r="W234" s="26"/>
      <c r="X234" s="26" t="str">
        <f>VLOOKUP($D234,records!$A:$V,9,FALSE)</f>
        <v>83 Rue Louis de Saillant</v>
      </c>
      <c r="Y234" s="26" t="str">
        <f>VLOOKUP($D234,records!$A:$V,4,FALSE)</f>
        <v>PORTES-LES-VALENCE</v>
      </c>
      <c r="Z234" s="26" t="str">
        <f>VLOOKUP($D234,records!$A:$V,7,FALSE)</f>
        <v>26800</v>
      </c>
      <c r="AA234" s="26" t="s">
        <v>1223</v>
      </c>
      <c r="AB234" s="26">
        <f>VLOOKUP(O234,'records (2)'!$A:$Z,8,FALSE)</f>
        <v>45</v>
      </c>
      <c r="AC234" s="26" t="b">
        <v>0</v>
      </c>
      <c r="AD234" s="26"/>
      <c r="AE234" s="26"/>
      <c r="AF234" s="26" t="str">
        <f>VLOOKUP($D234,records!$A:$V,13,FALSE)</f>
        <v>HM CLAUSE sas</v>
      </c>
      <c r="AG234" s="26" t="s">
        <v>1226</v>
      </c>
      <c r="AH234" s="26" t="str">
        <f>VLOOKUP($D234,records!$A:$V,19,FALSE)</f>
        <v>hmcinvoices@hmclause.com</v>
      </c>
      <c r="AI234" s="26" t="str">
        <f>VLOOKUP($D234,records!$A:$V,14,FALSE)</f>
        <v>.</v>
      </c>
      <c r="AJ234" s="26" t="str">
        <f>VLOOKUP($O234,'records (2)'!$A:$Z,14,FALSE)</f>
        <v>003IV000010su92YAA</v>
      </c>
      <c r="AK234" s="26" t="str">
        <f>VLOOKUP($O234,'records (2)'!$A:$Z,15,FALSE)</f>
        <v>Contact Facturation HM CLAUSE</v>
      </c>
      <c r="AL234" s="26" t="str">
        <f>VLOOKUP($O234,'records (2)'!$A:$Z,10,FALSE)</f>
        <v>003IV000010su91YAA</v>
      </c>
      <c r="AM234" s="26" t="str">
        <f>VLOOKUP($O234,'records (2)'!$A:$Z,11,FALSE)</f>
        <v>Contact Recouvrement HM CLAUSE</v>
      </c>
      <c r="AN234" s="18">
        <v>1</v>
      </c>
      <c r="AO234" s="4">
        <v>1000</v>
      </c>
      <c r="AP234" s="4">
        <v>1000</v>
      </c>
      <c r="AQ234" s="20">
        <v>0</v>
      </c>
      <c r="AR234" s="6">
        <v>0</v>
      </c>
    </row>
    <row r="235" spans="1:44">
      <c r="A235" s="12" t="s">
        <v>699</v>
      </c>
      <c r="B235" s="12" t="s">
        <v>1180</v>
      </c>
      <c r="C235" s="18" t="s">
        <v>701</v>
      </c>
      <c r="D235" s="18" t="s">
        <v>702</v>
      </c>
      <c r="E235" s="18" t="s">
        <v>1177</v>
      </c>
      <c r="F235" s="18" t="s">
        <v>1178</v>
      </c>
      <c r="G235" s="18"/>
      <c r="H235" s="19" t="s">
        <v>1216</v>
      </c>
      <c r="I235" s="23" t="s">
        <v>1217</v>
      </c>
      <c r="J235" s="24">
        <v>46023</v>
      </c>
      <c r="K235" s="24">
        <v>46387</v>
      </c>
      <c r="L235" s="24" t="s">
        <v>1218</v>
      </c>
      <c r="M235" s="24" t="s">
        <v>1219</v>
      </c>
      <c r="N235" s="24">
        <v>46023</v>
      </c>
      <c r="O235" s="24" t="str">
        <f>VLOOKUP(D235,records!$A:$U,10,FALSE)</f>
        <v>001SZ000006QSV4YAO</v>
      </c>
      <c r="P235" s="24" t="str">
        <f>VLOOKUP(D235,records!$A:$V,20,FALSE)</f>
        <v>FR60435480546</v>
      </c>
      <c r="Q235" s="24" t="str">
        <f>VLOOKUP(D235,records!$A:$V,12,FALSE)</f>
        <v>43 548 054 600 108</v>
      </c>
      <c r="R235" s="24" t="s">
        <v>1220</v>
      </c>
      <c r="S235" s="24" t="str">
        <f>VLOOKUP(D235,records!$A:$U,19,FALSE)</f>
        <v>hmcinvoices@hmclause.com</v>
      </c>
      <c r="T235" s="26" t="s">
        <v>1221</v>
      </c>
      <c r="U235" s="26" t="s">
        <v>1222</v>
      </c>
      <c r="V235" s="26" t="str">
        <f>VLOOKUP($D235,records!$A:$V,3,FALSE)</f>
        <v>HM CLAUSE sas</v>
      </c>
      <c r="W235" s="26"/>
      <c r="X235" s="26" t="str">
        <f>VLOOKUP($D235,records!$A:$V,9,FALSE)</f>
        <v>83 Rue Louis de Saillant</v>
      </c>
      <c r="Y235" s="26" t="str">
        <f>VLOOKUP($D235,records!$A:$V,4,FALSE)</f>
        <v>PORTES-LES-VALENCE</v>
      </c>
      <c r="Z235" s="26" t="str">
        <f>VLOOKUP($D235,records!$A:$V,7,FALSE)</f>
        <v>26800</v>
      </c>
      <c r="AA235" s="26" t="s">
        <v>1223</v>
      </c>
      <c r="AB235" s="26">
        <f>VLOOKUP(O235,'records (2)'!$A:$Z,8,FALSE)</f>
        <v>45</v>
      </c>
      <c r="AC235" s="26" t="b">
        <v>0</v>
      </c>
      <c r="AD235" s="26"/>
      <c r="AE235" s="26"/>
      <c r="AF235" s="26" t="str">
        <f>VLOOKUP($D235,records!$A:$V,13,FALSE)</f>
        <v>HM CLAUSE sas</v>
      </c>
      <c r="AG235" s="26" t="s">
        <v>1226</v>
      </c>
      <c r="AH235" s="26" t="str">
        <f>VLOOKUP($D235,records!$A:$V,19,FALSE)</f>
        <v>hmcinvoices@hmclause.com</v>
      </c>
      <c r="AI235" s="26" t="str">
        <f>VLOOKUP($D235,records!$A:$V,14,FALSE)</f>
        <v>.</v>
      </c>
      <c r="AJ235" s="26" t="str">
        <f>VLOOKUP($O235,'records (2)'!$A:$Z,14,FALSE)</f>
        <v>003IV000010su92YAA</v>
      </c>
      <c r="AK235" s="26" t="str">
        <f>VLOOKUP($O235,'records (2)'!$A:$Z,15,FALSE)</f>
        <v>Contact Facturation HM CLAUSE</v>
      </c>
      <c r="AL235" s="26" t="str">
        <f>VLOOKUP($O235,'records (2)'!$A:$Z,10,FALSE)</f>
        <v>003IV000010su91YAA</v>
      </c>
      <c r="AM235" s="26" t="str">
        <f>VLOOKUP($O235,'records (2)'!$A:$Z,11,FALSE)</f>
        <v>Contact Recouvrement HM CLAUSE</v>
      </c>
      <c r="AN235" s="18">
        <v>1</v>
      </c>
      <c r="AO235" s="4">
        <v>1000</v>
      </c>
      <c r="AP235" s="4">
        <v>1000</v>
      </c>
      <c r="AQ235" s="20">
        <v>0</v>
      </c>
      <c r="AR235" s="6" t="s">
        <v>1174</v>
      </c>
    </row>
    <row r="236" spans="1:44">
      <c r="A236" s="18" t="s">
        <v>874</v>
      </c>
      <c r="B236" s="18" t="s">
        <v>875</v>
      </c>
      <c r="C236" s="18" t="s">
        <v>875</v>
      </c>
      <c r="D236" s="18" t="s">
        <v>876</v>
      </c>
      <c r="E236" s="18" t="s">
        <v>52</v>
      </c>
      <c r="F236" s="18" t="s">
        <v>53</v>
      </c>
      <c r="G236" s="18"/>
      <c r="H236" s="19" t="s">
        <v>1216</v>
      </c>
      <c r="I236" s="23" t="s">
        <v>1217</v>
      </c>
      <c r="J236" s="24">
        <v>46023</v>
      </c>
      <c r="K236" s="24">
        <v>46387</v>
      </c>
      <c r="L236" s="24" t="s">
        <v>1218</v>
      </c>
      <c r="M236" s="24" t="s">
        <v>1219</v>
      </c>
      <c r="N236" s="24">
        <v>46023</v>
      </c>
      <c r="O236" s="24" t="str">
        <f>VLOOKUP(D236,records!$A:$U,10,FALSE)</f>
        <v>0012p00004ReP31AAF</v>
      </c>
      <c r="P236" s="24" t="str">
        <f>VLOOKUP(D236,records!$A:$V,20,FALSE)</f>
        <v>FR87059500504</v>
      </c>
      <c r="Q236" s="24" t="str">
        <f>VLOOKUP(D236,records!$A:$V,12,FALSE)</f>
        <v>5 950 050 400 044</v>
      </c>
      <c r="R236" s="24" t="s">
        <v>1220</v>
      </c>
      <c r="S236" s="24" t="str">
        <f>VLOOKUP(D236,records!$A:$U,19,FALSE)</f>
        <v>i.leroy@sarrel.com</v>
      </c>
      <c r="T236" s="26" t="s">
        <v>1221</v>
      </c>
      <c r="U236" s="26" t="s">
        <v>1222</v>
      </c>
      <c r="V236" s="26" t="str">
        <f>VLOOKUP($D236,records!$A:$V,3,FALSE)</f>
        <v>SARREL sas</v>
      </c>
      <c r="W236" s="26" t="str">
        <f>IFERROR(VLOOKUP($D236,records!$A:$V,6,FALSE),)</f>
        <v>RH</v>
      </c>
      <c r="X236" s="26" t="str">
        <f>VLOOKUP($D236,records!$A:$V,9,FALSE)</f>
        <v>38 Rue Paul Chevalier</v>
      </c>
      <c r="Y236" s="26" t="str">
        <f>VLOOKUP($D236,records!$A:$V,4,FALSE)</f>
        <v>MAROLLES LES BRAULTS</v>
      </c>
      <c r="Z236" s="26" t="str">
        <f>VLOOKUP($D236,records!$A:$V,7,FALSE)</f>
        <v>72260</v>
      </c>
      <c r="AA236" s="26" t="s">
        <v>1223</v>
      </c>
      <c r="AB236" s="26">
        <f>VLOOKUP(O236,'records (2)'!$A:$Z,8,FALSE)</f>
        <v>30</v>
      </c>
      <c r="AC236" s="26" t="b">
        <v>0</v>
      </c>
      <c r="AD236" s="26"/>
      <c r="AE236" s="26"/>
      <c r="AF236" s="26" t="str">
        <f>VLOOKUP($D236,records!$A:$V,13,FALSE)</f>
        <v>SARREL sas</v>
      </c>
      <c r="AG236" s="26" t="s">
        <v>1226</v>
      </c>
      <c r="AH236" s="26" t="str">
        <f>VLOOKUP($D236,records!$A:$V,19,FALSE)</f>
        <v>i.leroy@sarrel.com</v>
      </c>
      <c r="AI236" s="26" t="str">
        <f>VLOOKUP($D236,records!$A:$V,14,FALSE)</f>
        <v>.</v>
      </c>
      <c r="AJ236" s="26" t="str">
        <f>VLOOKUP($O236,'records (2)'!$A:$Z,14,FALSE)</f>
        <v>003IV000010tRWkYAM</v>
      </c>
      <c r="AK236" s="26" t="str">
        <f>VLOOKUP($O236,'records (2)'!$A:$Z,15,FALSE)</f>
        <v>Isabelle LEROY</v>
      </c>
      <c r="AL236" s="26" t="str">
        <f>VLOOKUP($O236,'records (2)'!$A:$Z,10,FALSE)</f>
        <v>003IV000010tRWkYAM</v>
      </c>
      <c r="AM236" s="26" t="str">
        <f>VLOOKUP($O236,'records (2)'!$A:$Z,11,FALSE)</f>
        <v>Isabelle LEROY</v>
      </c>
      <c r="AN236" s="18">
        <v>1</v>
      </c>
      <c r="AO236" s="4">
        <v>500</v>
      </c>
      <c r="AP236" s="4">
        <v>500</v>
      </c>
      <c r="AQ236" s="20">
        <v>0</v>
      </c>
      <c r="AR236" s="6">
        <v>0</v>
      </c>
    </row>
    <row r="237" spans="1:44">
      <c r="A237" s="18" t="s">
        <v>89</v>
      </c>
      <c r="B237" s="18" t="s">
        <v>90</v>
      </c>
      <c r="C237" s="18" t="s">
        <v>91</v>
      </c>
      <c r="D237" s="18" t="s">
        <v>92</v>
      </c>
      <c r="E237" s="18" t="s">
        <v>16</v>
      </c>
      <c r="F237" s="18" t="s">
        <v>17</v>
      </c>
      <c r="G237" s="18"/>
      <c r="H237" s="19" t="s">
        <v>1216</v>
      </c>
      <c r="I237" s="23" t="s">
        <v>1217</v>
      </c>
      <c r="J237" s="24">
        <v>46023</v>
      </c>
      <c r="K237" s="24">
        <v>46387</v>
      </c>
      <c r="L237" s="24" t="s">
        <v>1218</v>
      </c>
      <c r="M237" s="24" t="s">
        <v>1219</v>
      </c>
      <c r="N237" s="24">
        <v>46023</v>
      </c>
      <c r="O237" s="24" t="str">
        <f>VLOOKUP(D237,records!$A:$U,10,FALSE)</f>
        <v>0012p00004OLnMyAAL</v>
      </c>
      <c r="P237" s="24" t="str">
        <f>VLOOKUP(D237,records!$A:$V,20,FALSE)</f>
        <v>FR72343979092</v>
      </c>
      <c r="Q237" s="24" t="str">
        <f>VLOOKUP(D237,records!$A:$V,12,FALSE)</f>
        <v>34 397 909 200 040</v>
      </c>
      <c r="R237" s="24" t="s">
        <v>1220</v>
      </c>
      <c r="S237" s="24" t="str">
        <f>VLOOKUP(D237,records!$A:$U,19,FALSE)</f>
        <v>ice_1296@basf.com</v>
      </c>
      <c r="T237" s="26" t="s">
        <v>1221</v>
      </c>
      <c r="U237" s="26" t="s">
        <v>1222</v>
      </c>
      <c r="V237" s="26" t="str">
        <f>VLOOKUP($D237,records!$A:$V,3,FALSE)</f>
        <v>BASF AGRI PRODUCTION SAS</v>
      </c>
      <c r="W237" s="26"/>
      <c r="X237" s="26" t="str">
        <f>VLOOKUP($D237,records!$A:$V,9,FALSE)</f>
        <v>21 Chemin de la Sauvegarde</v>
      </c>
      <c r="Y237" s="26" t="str">
        <f>VLOOKUP($D237,records!$A:$V,4,FALSE)</f>
        <v>ECULLY CEDEX</v>
      </c>
      <c r="Z237" s="26" t="str">
        <f>VLOOKUP($D237,records!$A:$V,7,FALSE)</f>
        <v>69130</v>
      </c>
      <c r="AA237" s="26" t="s">
        <v>1223</v>
      </c>
      <c r="AB237" s="26">
        <f>VLOOKUP(O237,'records (2)'!$A:$Z,8,FALSE)</f>
        <v>60</v>
      </c>
      <c r="AC237" s="26" t="b">
        <f>VLOOKUP(O237,'records (4)'!$A:$C,3,FALSE)</f>
        <v>1</v>
      </c>
      <c r="AD237" s="26" t="s">
        <v>1225</v>
      </c>
      <c r="AE237" s="24">
        <v>46023</v>
      </c>
      <c r="AF237" s="26" t="str">
        <f>VLOOKUP($D237,records!$A:$V,13,FALSE)</f>
        <v>BASF AGRI PRODUCTION SAS</v>
      </c>
      <c r="AG237" s="26" t="s">
        <v>1226</v>
      </c>
      <c r="AH237" s="26" t="str">
        <f>VLOOKUP($D237,records!$A:$V,19,FALSE)</f>
        <v>ice_1296@basf.com</v>
      </c>
      <c r="AI237" s="26" t="str">
        <f>VLOOKUP($D237,records!$A:$V,14,FALSE)</f>
        <v>.</v>
      </c>
      <c r="AJ237" s="26" t="str">
        <f>VLOOKUP($O237,'records (2)'!$A:$Z,14,FALSE)</f>
        <v>003IV000010tI5EYAU</v>
      </c>
      <c r="AK237" s="26" t="str">
        <f>VLOOKUP($O237,'records (2)'!$A:$Z,15,FALSE)</f>
        <v>Charlène LEBAILLY</v>
      </c>
      <c r="AL237" s="26" t="str">
        <f>VLOOKUP($O237,'records (2)'!$A:$Z,10,FALSE)</f>
        <v>003IV000010tI5EYAU</v>
      </c>
      <c r="AM237" s="26" t="str">
        <f>VLOOKUP($O237,'records (2)'!$A:$Z,11,FALSE)</f>
        <v>Charlène LEBAILLY</v>
      </c>
      <c r="AN237" s="18">
        <v>1</v>
      </c>
      <c r="AO237" s="4">
        <v>2000</v>
      </c>
      <c r="AP237" s="4">
        <v>2000</v>
      </c>
      <c r="AQ237" s="20">
        <v>0</v>
      </c>
      <c r="AR237" s="6">
        <v>0</v>
      </c>
    </row>
    <row r="238" spans="1:44">
      <c r="A238" s="18" t="s">
        <v>498</v>
      </c>
      <c r="B238" s="18" t="s">
        <v>499</v>
      </c>
      <c r="C238" s="18" t="s">
        <v>500</v>
      </c>
      <c r="D238" s="18" t="s">
        <v>501</v>
      </c>
      <c r="E238" s="18" t="s">
        <v>52</v>
      </c>
      <c r="F238" s="18" t="s">
        <v>53</v>
      </c>
      <c r="G238" s="18"/>
      <c r="H238" s="19" t="s">
        <v>1216</v>
      </c>
      <c r="I238" s="23" t="s">
        <v>1217</v>
      </c>
      <c r="J238" s="24">
        <v>46023</v>
      </c>
      <c r="K238" s="24">
        <v>46387</v>
      </c>
      <c r="L238" s="24" t="s">
        <v>1218</v>
      </c>
      <c r="M238" s="24" t="s">
        <v>1219</v>
      </c>
      <c r="N238" s="24">
        <v>46023</v>
      </c>
      <c r="O238" s="24" t="str">
        <f>VLOOKUP(D238,records!$A:$U,10,FALSE)</f>
        <v>0012p00004QgLCNAA3</v>
      </c>
      <c r="P238" s="24" t="str">
        <f>VLOOKUP(D238,records!$A:$V,20,FALSE)</f>
        <v>FR81443681903</v>
      </c>
      <c r="Q238" s="24" t="str">
        <f>VLOOKUP(D238,records!$A:$V,12,FALSE)</f>
        <v>44 368 190 300 094</v>
      </c>
      <c r="R238" s="24" t="s">
        <v>1220</v>
      </c>
      <c r="S238" s="24" t="str">
        <f>VLOOKUP(D238,records!$A:$U,19,FALSE)</f>
        <v>industries.fact@cofel.biz</v>
      </c>
      <c r="T238" s="26" t="s">
        <v>1221</v>
      </c>
      <c r="U238" s="26" t="s">
        <v>1222</v>
      </c>
      <c r="V238" s="26" t="str">
        <f>VLOOKUP($D238,records!$A:$V,3,FALSE)</f>
        <v>COFEL INDUSTRIES sasu</v>
      </c>
      <c r="W238" s="26"/>
      <c r="X238" s="26" t="str">
        <f>VLOOKUP($D238,records!$A:$V,9,FALSE)</f>
        <v>57 rue Yves Kermen</v>
      </c>
      <c r="Y238" s="26" t="str">
        <f>VLOOKUP($D238,records!$A:$V,4,FALSE)</f>
        <v>BOULOGNE BILLANCOURT</v>
      </c>
      <c r="Z238" s="26" t="str">
        <f>VLOOKUP($D238,records!$A:$V,7,FALSE)</f>
        <v>92100</v>
      </c>
      <c r="AA238" s="26" t="s">
        <v>1223</v>
      </c>
      <c r="AB238" s="26">
        <f>VLOOKUP(O238,'records (2)'!$A:$Z,8,FALSE)</f>
        <v>30</v>
      </c>
      <c r="AC238" s="26" t="b">
        <v>0</v>
      </c>
      <c r="AD238" s="26"/>
      <c r="AE238" s="26"/>
      <c r="AF238" s="26" t="str">
        <f>VLOOKUP($D238,records!$A:$V,13,FALSE)</f>
        <v>COFEL INDUSTRIES sasu</v>
      </c>
      <c r="AG238" s="26" t="s">
        <v>1226</v>
      </c>
      <c r="AH238" s="26" t="str">
        <f>VLOOKUP($D238,records!$A:$V,19,FALSE)</f>
        <v>industries.fact@cofel.biz</v>
      </c>
      <c r="AI238" s="26" t="str">
        <f>VLOOKUP($D238,records!$A:$V,14,FALSE)</f>
        <v>.</v>
      </c>
      <c r="AJ238" s="26" t="str">
        <f>VLOOKUP($O238,'records (2)'!$A:$Z,14,FALSE)</f>
        <v>003IV000010rnuiYAA</v>
      </c>
      <c r="AK238" s="26" t="str">
        <f>VLOOKUP($O238,'records (2)'!$A:$Z,15,FALSE)</f>
        <v>Olivia ATAKORAH</v>
      </c>
      <c r="AL238" s="26" t="str">
        <f>VLOOKUP($O238,'records (2)'!$A:$Z,10,FALSE)</f>
        <v>003IV000010tIiIYAU</v>
      </c>
      <c r="AM238" s="26" t="str">
        <f>VLOOKUP($O238,'records (2)'!$A:$Z,11,FALSE)</f>
        <v>Fabienne KETTEMEYER (industries.fact)</v>
      </c>
      <c r="AN238" s="18">
        <v>1</v>
      </c>
      <c r="AO238" s="4">
        <v>4000</v>
      </c>
      <c r="AP238" s="4">
        <v>4000</v>
      </c>
      <c r="AQ238" s="20">
        <v>0</v>
      </c>
      <c r="AR238" s="6">
        <v>0</v>
      </c>
    </row>
    <row r="239" spans="1:44">
      <c r="A239" s="18" t="s">
        <v>767</v>
      </c>
      <c r="B239" s="18" t="s">
        <v>768</v>
      </c>
      <c r="C239" s="18" t="s">
        <v>769</v>
      </c>
      <c r="D239" s="18" t="s">
        <v>770</v>
      </c>
      <c r="E239" s="18" t="s">
        <v>52</v>
      </c>
      <c r="F239" s="18" t="s">
        <v>53</v>
      </c>
      <c r="G239" s="18"/>
      <c r="H239" s="19" t="s">
        <v>1216</v>
      </c>
      <c r="I239" s="23" t="s">
        <v>1217</v>
      </c>
      <c r="J239" s="24">
        <v>46023</v>
      </c>
      <c r="K239" s="24">
        <v>46387</v>
      </c>
      <c r="L239" s="24" t="s">
        <v>1218</v>
      </c>
      <c r="M239" s="24" t="s">
        <v>1219</v>
      </c>
      <c r="N239" s="24">
        <v>46023</v>
      </c>
      <c r="O239" s="24" t="str">
        <f>VLOOKUP(D239,records!$A:$U,10,FALSE)</f>
        <v>0012p00004RnNE1AAN</v>
      </c>
      <c r="P239" s="24" t="str">
        <f>VLOOKUP(D239,records!$A:$V,20,FALSE)</f>
        <v>FR50313455545</v>
      </c>
      <c r="Q239" s="24" t="str">
        <f>VLOOKUP(D239,records!$A:$V,12,FALSE)</f>
        <v>31 345 554 500 118</v>
      </c>
      <c r="R239" s="24" t="s">
        <v>1220</v>
      </c>
      <c r="S239" s="24" t="str">
        <f>VLOOKUP(D239,records!$A:$U,19,FALSE)</f>
        <v>invoice.0070@mewa.fr</v>
      </c>
      <c r="T239" s="26" t="s">
        <v>1221</v>
      </c>
      <c r="U239" s="26" t="s">
        <v>1222</v>
      </c>
      <c r="V239" s="26" t="str">
        <f>VLOOKUP($D239,records!$A:$V,3,FALSE)</f>
        <v>SARL MEWA</v>
      </c>
      <c r="W239" s="26"/>
      <c r="X239" s="26" t="str">
        <f>VLOOKUP($D239,records!$A:$V,9,FALSE)</f>
        <v>Rue Gebauer</v>
      </c>
      <c r="Y239" s="26" t="str">
        <f>VLOOKUP($D239,records!$A:$V,4,FALSE)</f>
        <v>AVERMES</v>
      </c>
      <c r="Z239" s="26" t="str">
        <f>VLOOKUP($D239,records!$A:$V,7,FALSE)</f>
        <v>3000</v>
      </c>
      <c r="AA239" s="26" t="s">
        <v>1223</v>
      </c>
      <c r="AB239" s="26">
        <f>VLOOKUP(O239,'records (2)'!$A:$Z,8,FALSE)</f>
        <v>30</v>
      </c>
      <c r="AC239" s="26" t="b">
        <v>0</v>
      </c>
      <c r="AD239" s="26"/>
      <c r="AE239" s="26"/>
      <c r="AF239" s="26" t="str">
        <f>VLOOKUP($D239,records!$A:$V,13,FALSE)</f>
        <v>SARL MEWA</v>
      </c>
      <c r="AG239" s="26" t="s">
        <v>1226</v>
      </c>
      <c r="AH239" s="26" t="str">
        <f>VLOOKUP($D239,records!$A:$V,19,FALSE)</f>
        <v>invoice.0070@mewa.fr</v>
      </c>
      <c r="AI239" s="26" t="str">
        <f>VLOOKUP($D239,records!$A:$V,14,FALSE)</f>
        <v>.</v>
      </c>
      <c r="AJ239" s="26" t="str">
        <f>VLOOKUP($O239,'records (2)'!$A:$Z,14,FALSE)</f>
        <v>003IV000010rLDWYA2</v>
      </c>
      <c r="AK239" s="26" t="str">
        <f>VLOOKUP($O239,'records (2)'!$A:$Z,15,FALSE)</f>
        <v>Arnaud RAULET</v>
      </c>
      <c r="AL239" s="26" t="str">
        <f>VLOOKUP($O239,'records (2)'!$A:$Z,10,FALSE)</f>
        <v>003IV000010rLDWYA2</v>
      </c>
      <c r="AM239" s="26" t="str">
        <f>VLOOKUP($O239,'records (2)'!$A:$Z,11,FALSE)</f>
        <v>Arnaud RAULET</v>
      </c>
      <c r="AN239" s="18">
        <v>1</v>
      </c>
      <c r="AO239" s="4">
        <v>1000</v>
      </c>
      <c r="AP239" s="4">
        <v>1000</v>
      </c>
      <c r="AQ239" s="20">
        <v>0</v>
      </c>
      <c r="AR239" s="6">
        <v>0</v>
      </c>
    </row>
    <row r="240" spans="1:44">
      <c r="A240" s="18" t="s">
        <v>49</v>
      </c>
      <c r="B240" s="18" t="s">
        <v>50</v>
      </c>
      <c r="C240" s="18" t="s">
        <v>50</v>
      </c>
      <c r="D240" s="18" t="s">
        <v>51</v>
      </c>
      <c r="E240" s="18" t="s">
        <v>52</v>
      </c>
      <c r="F240" s="18" t="s">
        <v>53</v>
      </c>
      <c r="G240" s="18"/>
      <c r="H240" s="19" t="s">
        <v>1216</v>
      </c>
      <c r="I240" s="23" t="s">
        <v>1217</v>
      </c>
      <c r="J240" s="24">
        <v>46023</v>
      </c>
      <c r="K240" s="24">
        <v>46387</v>
      </c>
      <c r="L240" s="24" t="s">
        <v>1218</v>
      </c>
      <c r="M240" s="24" t="s">
        <v>1219</v>
      </c>
      <c r="N240" s="24">
        <v>46023</v>
      </c>
      <c r="O240" s="24" t="str">
        <f>VLOOKUP(D240,records!$A:$U,10,FALSE)</f>
        <v>0012p00004O5US8AAN</v>
      </c>
      <c r="P240" s="24" t="str">
        <f>VLOOKUP(D240,records!$A:$V,20,FALSE)</f>
        <v>FR76317238004</v>
      </c>
      <c r="Q240" s="24" t="str">
        <f>VLOOKUP(D240,records!$A:$V,12,FALSE)</f>
        <v>31 723 800 400 012</v>
      </c>
      <c r="R240" s="24" t="s">
        <v>1220</v>
      </c>
      <c r="S240" s="24" t="str">
        <f>VLOOKUP(D240,records!$A:$U,19,FALSE)</f>
        <v>invoice.france@ipaper.com</v>
      </c>
      <c r="T240" s="26" t="s">
        <v>1221</v>
      </c>
      <c r="U240" s="26" t="s">
        <v>1222</v>
      </c>
      <c r="V240" s="26" t="str">
        <f>VLOOKUP($D240,records!$A:$V,3,FALSE)</f>
        <v>INTERNATIONAL PAPER SAINT-AMAND SAS</v>
      </c>
      <c r="W240" s="26"/>
      <c r="X240" s="26" t="str">
        <f>VLOOKUP($D240,records!$A:$V,9,FALSE)</f>
        <v>Avenue de la Gare</v>
      </c>
      <c r="Y240" s="26" t="str">
        <f>VLOOKUP($D240,records!$A:$V,4,FALSE)</f>
        <v>SAINT AMAND VILLAGES</v>
      </c>
      <c r="Z240" s="26" t="str">
        <f>VLOOKUP($D240,records!$A:$V,7,FALSE)</f>
        <v>50160</v>
      </c>
      <c r="AA240" s="26" t="s">
        <v>1223</v>
      </c>
      <c r="AB240" s="26">
        <f>VLOOKUP(O240,'records (2)'!$A:$Z,8,FALSE)</f>
        <v>30</v>
      </c>
      <c r="AC240" s="26" t="b">
        <v>0</v>
      </c>
      <c r="AD240" s="26"/>
      <c r="AE240" s="26"/>
      <c r="AF240" s="26" t="str">
        <f>VLOOKUP($D240,records!$A:$V,13,FALSE)</f>
        <v>INTERNATIONAL PAPER SAINT-AMAND SAS</v>
      </c>
      <c r="AG240" s="26" t="s">
        <v>1226</v>
      </c>
      <c r="AH240" s="26" t="str">
        <f>VLOOKUP($D240,records!$A:$V,19,FALSE)</f>
        <v>invoice.france@ipaper.com</v>
      </c>
      <c r="AI240" s="26" t="str">
        <f>VLOOKUP($D240,records!$A:$V,14,FALSE)</f>
        <v>.</v>
      </c>
      <c r="AJ240" s="26" t="str">
        <f>VLOOKUP($O240,'records (2)'!$A:$Z,14,FALSE)</f>
        <v>003IV000010t301YAA</v>
      </c>
      <c r="AK240" s="26" t="str">
        <f>VLOOKUP($O240,'records (2)'!$A:$Z,15,FALSE)</f>
        <v>Sabrina GONNAUD</v>
      </c>
      <c r="AL240" s="26" t="str">
        <f>VLOOKUP($O240,'records (2)'!$A:$Z,10,FALSE)</f>
        <v>003IV000010t301YAA</v>
      </c>
      <c r="AM240" s="26" t="str">
        <f>VLOOKUP($O240,'records (2)'!$A:$Z,11,FALSE)</f>
        <v>Sabrina GONNAUD</v>
      </c>
      <c r="AN240" s="18">
        <v>1</v>
      </c>
      <c r="AO240" s="4">
        <v>2000</v>
      </c>
      <c r="AP240" s="4">
        <v>2000</v>
      </c>
      <c r="AQ240" s="20">
        <v>0</v>
      </c>
      <c r="AR240" s="6">
        <v>0</v>
      </c>
    </row>
    <row r="241" spans="1:44">
      <c r="A241" s="18" t="s">
        <v>269</v>
      </c>
      <c r="B241" s="18" t="s">
        <v>270</v>
      </c>
      <c r="C241" s="18" t="s">
        <v>271</v>
      </c>
      <c r="D241" s="18" t="s">
        <v>272</v>
      </c>
      <c r="E241" s="18" t="s">
        <v>23</v>
      </c>
      <c r="F241" s="18" t="s">
        <v>24</v>
      </c>
      <c r="G241" s="18"/>
      <c r="H241" s="19" t="s">
        <v>1216</v>
      </c>
      <c r="I241" s="23" t="s">
        <v>1217</v>
      </c>
      <c r="J241" s="24">
        <v>46023</v>
      </c>
      <c r="K241" s="24">
        <v>46387</v>
      </c>
      <c r="L241" s="24" t="s">
        <v>1218</v>
      </c>
      <c r="M241" s="24" t="s">
        <v>1219</v>
      </c>
      <c r="N241" s="24">
        <v>46023</v>
      </c>
      <c r="O241" s="24" t="str">
        <f>VLOOKUP(D241,records!$A:$U,10,FALSE)</f>
        <v>0012p00004MUTjIAAX</v>
      </c>
      <c r="P241" s="24" t="str">
        <f>VLOOKUP(D241,records!$A:$V,20,FALSE)</f>
        <v>FR65887669166</v>
      </c>
      <c r="Q241" s="24" t="str">
        <f>VLOOKUP(D241,records!$A:$V,12,FALSE)</f>
        <v>88 766 916 600 043</v>
      </c>
      <c r="R241" s="24" t="s">
        <v>1220</v>
      </c>
      <c r="S241" s="24" t="str">
        <f>VLOOKUP(D241,records!$A:$U,19,FALSE)</f>
        <v>invoice@mavic.com</v>
      </c>
      <c r="T241" s="26" t="s">
        <v>1221</v>
      </c>
      <c r="U241" s="26" t="s">
        <v>1222</v>
      </c>
      <c r="V241" s="26" t="str">
        <f>VLOOKUP($D241,records!$A:$V,3,FALSE)</f>
        <v>MAVIC GROUP sasu</v>
      </c>
      <c r="W241" s="26"/>
      <c r="X241" s="26" t="str">
        <f>VLOOKUP($D241,records!$A:$V,9,FALSE)</f>
        <v>44 rue Saturne</v>
      </c>
      <c r="Y241" s="26" t="str">
        <f>VLOOKUP($D241,records!$A:$V,4,FALSE)</f>
        <v>CHAVANOD</v>
      </c>
      <c r="Z241" s="26" t="str">
        <f>VLOOKUP($D241,records!$A:$V,7,FALSE)</f>
        <v>74650</v>
      </c>
      <c r="AA241" s="26" t="s">
        <v>1223</v>
      </c>
      <c r="AB241" s="26">
        <f>VLOOKUP(O241,'records (2)'!$A:$Z,8,FALSE)</f>
        <v>30</v>
      </c>
      <c r="AC241" s="26" t="b">
        <v>0</v>
      </c>
      <c r="AD241" s="26"/>
      <c r="AE241" s="26"/>
      <c r="AF241" s="26" t="str">
        <f>VLOOKUP($D241,records!$A:$V,13,FALSE)</f>
        <v>MAVIC GROUP sasu</v>
      </c>
      <c r="AG241" s="26" t="s">
        <v>1226</v>
      </c>
      <c r="AH241" s="26" t="str">
        <f>VLOOKUP($D241,records!$A:$V,19,FALSE)</f>
        <v>invoice@mavic.com</v>
      </c>
      <c r="AI241" s="26" t="str">
        <f>VLOOKUP($D241,records!$A:$V,14,FALSE)</f>
        <v>.</v>
      </c>
      <c r="AJ241" s="26" t="str">
        <f>VLOOKUP($O241,'records (2)'!$A:$Z,14,FALSE)</f>
        <v>003IV000010t2QMYAY</v>
      </c>
      <c r="AK241" s="26" t="str">
        <f>VLOOKUP($O241,'records (2)'!$A:$Z,15,FALSE)</f>
        <v>Alberic DELATTRE (invoice)</v>
      </c>
      <c r="AL241" s="26" t="str">
        <f>VLOOKUP($O241,'records (2)'!$A:$Z,10,FALSE)</f>
        <v>003IV000010t2QMYAY</v>
      </c>
      <c r="AM241" s="26" t="str">
        <f>VLOOKUP($O241,'records (2)'!$A:$Z,11,FALSE)</f>
        <v>Alberic DELATTRE (invoice)</v>
      </c>
      <c r="AN241" s="18">
        <v>1</v>
      </c>
      <c r="AO241" s="4">
        <v>1080</v>
      </c>
      <c r="AP241" s="4">
        <v>1080</v>
      </c>
      <c r="AQ241" s="20"/>
      <c r="AR241" s="6"/>
    </row>
    <row r="242" spans="1:44">
      <c r="A242" s="18" t="s">
        <v>1064</v>
      </c>
      <c r="B242" s="18" t="s">
        <v>1065</v>
      </c>
      <c r="C242" s="18" t="s">
        <v>1065</v>
      </c>
      <c r="D242" s="18" t="s">
        <v>1066</v>
      </c>
      <c r="E242" s="18" t="s">
        <v>52</v>
      </c>
      <c r="F242" s="18" t="s">
        <v>53</v>
      </c>
      <c r="G242" s="18"/>
      <c r="H242" s="19" t="s">
        <v>1216</v>
      </c>
      <c r="I242" s="23" t="s">
        <v>1217</v>
      </c>
      <c r="J242" s="24">
        <v>46023</v>
      </c>
      <c r="K242" s="24">
        <v>46387</v>
      </c>
      <c r="L242" s="24" t="s">
        <v>1218</v>
      </c>
      <c r="M242" s="24" t="s">
        <v>1219</v>
      </c>
      <c r="N242" s="24">
        <v>46023</v>
      </c>
      <c r="O242" s="24" t="str">
        <f>VLOOKUP(D242,records!$A:$U,10,FALSE)</f>
        <v>001SZ00000OpZArYAN</v>
      </c>
      <c r="P242" s="24" t="str">
        <f>VLOOKUP(D242,records!$A:$V,20,FALSE)</f>
        <v>FR72421454059</v>
      </c>
      <c r="Q242" s="24" t="str">
        <f>VLOOKUP(D242,records!$A:$V,12,FALSE)</f>
        <v>42 145 405 900 047</v>
      </c>
      <c r="R242" s="24" t="s">
        <v>1220</v>
      </c>
      <c r="S242" s="24" t="str">
        <f>VLOOKUP(D242,records!$A:$U,19,FALSE)</f>
        <v>invoice@minitubes.com</v>
      </c>
      <c r="T242" s="26" t="s">
        <v>1221</v>
      </c>
      <c r="U242" s="26" t="s">
        <v>1222</v>
      </c>
      <c r="V242" s="26" t="str">
        <f>VLOOKUP($D242,records!$A:$V,3,FALSE)</f>
        <v>MINITUBES sas</v>
      </c>
      <c r="W242" s="26"/>
      <c r="X242" s="26" t="str">
        <f>VLOOKUP($D242,records!$A:$V,9,FALSE)</f>
        <v>21 Rue Jean Vaujany</v>
      </c>
      <c r="Y242" s="26" t="str">
        <f>VLOOKUP($D242,records!$A:$V,4,FALSE)</f>
        <v>GRENOBLE</v>
      </c>
      <c r="Z242" s="26" t="str">
        <f>VLOOKUP($D242,records!$A:$V,7,FALSE)</f>
        <v>38100</v>
      </c>
      <c r="AA242" s="26" t="s">
        <v>1223</v>
      </c>
      <c r="AB242" s="26">
        <f>VLOOKUP(O242,'records (2)'!$A:$Z,8,FALSE)</f>
        <v>30</v>
      </c>
      <c r="AC242" s="26" t="b">
        <f>VLOOKUP(O242,'records (4)'!$A:$C,3,FALSE)</f>
        <v>1</v>
      </c>
      <c r="AD242" s="26" t="s">
        <v>1225</v>
      </c>
      <c r="AE242" s="24">
        <v>46023</v>
      </c>
      <c r="AF242" s="26" t="str">
        <f>VLOOKUP($D242,records!$A:$V,13,FALSE)</f>
        <v>MINITUBES sas</v>
      </c>
      <c r="AG242" s="26" t="s">
        <v>1226</v>
      </c>
      <c r="AH242" s="26" t="str">
        <f>VLOOKUP($D242,records!$A:$V,19,FALSE)</f>
        <v>invoice@minitubes.com</v>
      </c>
      <c r="AI242" s="26" t="str">
        <f>VLOOKUP($D242,records!$A:$V,14,FALSE)</f>
        <v>.</v>
      </c>
      <c r="AJ242" s="26" t="str">
        <f>VLOOKUP($O242,'records (2)'!$A:$Z,14,FALSE)</f>
        <v>003IV000010tJaeYAE</v>
      </c>
      <c r="AK242" s="26" t="str">
        <f>VLOOKUP($O242,'records (2)'!$A:$Z,15,FALSE)</f>
        <v>Anne Marie HUND</v>
      </c>
      <c r="AL242" s="26" t="str">
        <f>VLOOKUP($O242,'records (2)'!$A:$Z,10,FALSE)</f>
        <v>003IV000010tJaeYAE</v>
      </c>
      <c r="AM242" s="26" t="str">
        <f>VLOOKUP($O242,'records (2)'!$A:$Z,11,FALSE)</f>
        <v>Anne Marie HUND</v>
      </c>
      <c r="AN242" s="18">
        <v>1</v>
      </c>
      <c r="AO242" s="4">
        <v>2500</v>
      </c>
      <c r="AP242" s="4">
        <v>2500</v>
      </c>
      <c r="AQ242" s="20">
        <v>0</v>
      </c>
      <c r="AR242" s="6">
        <v>0</v>
      </c>
    </row>
    <row r="243" spans="1:44">
      <c r="A243" s="18" t="s">
        <v>846</v>
      </c>
      <c r="B243" s="18" t="s">
        <v>847</v>
      </c>
      <c r="C243" s="18" t="s">
        <v>847</v>
      </c>
      <c r="D243" s="18" t="s">
        <v>848</v>
      </c>
      <c r="E243" s="18" t="s">
        <v>52</v>
      </c>
      <c r="F243" s="18" t="s">
        <v>53</v>
      </c>
      <c r="G243" s="18"/>
      <c r="H243" s="19" t="s">
        <v>1216</v>
      </c>
      <c r="I243" s="23" t="s">
        <v>1217</v>
      </c>
      <c r="J243" s="24">
        <v>46023</v>
      </c>
      <c r="K243" s="24">
        <v>46387</v>
      </c>
      <c r="L243" s="24" t="s">
        <v>1218</v>
      </c>
      <c r="M243" s="24" t="s">
        <v>1219</v>
      </c>
      <c r="N243" s="24">
        <v>46023</v>
      </c>
      <c r="O243" s="24" t="str">
        <f>VLOOKUP(D243,records!$A:$U,10,FALSE)</f>
        <v>0012p00004O61ZVAAZ</v>
      </c>
      <c r="P243" s="24" t="str">
        <f>VLOOKUP(D243,records!$A:$V,20,FALSE)</f>
        <v>FR746020361</v>
      </c>
      <c r="Q243" s="24" t="str">
        <f>VLOOKUP(D243,records!$A:$V,12,FALSE)</f>
        <v>74 602 036 100 034</v>
      </c>
      <c r="R243" s="24" t="s">
        <v>1220</v>
      </c>
      <c r="S243" s="24" t="str">
        <f>VLOOKUP(D243,records!$A:$U,19,FALSE)</f>
        <v>invoice@sacmi.fr</v>
      </c>
      <c r="T243" s="26" t="s">
        <v>1221</v>
      </c>
      <c r="U243" s="26" t="s">
        <v>1222</v>
      </c>
      <c r="V243" s="26" t="str">
        <f>VLOOKUP($D243,records!$A:$V,3,FALSE)</f>
        <v>SACMI sas</v>
      </c>
      <c r="W243" s="26" t="str">
        <f>IFERROR(VLOOKUP($D243,records!$A:$V,6,FALSE),)</f>
        <v>SOCIETE SAVOYARDE DE CONSTRUCTION     ET DE MATERIEL INDUSTRIEL sas</v>
      </c>
      <c r="X243" s="26" t="str">
        <f>VLOOKUP($D243,records!$A:$V,9,FALSE)</f>
        <v>396 route des Chênes</v>
      </c>
      <c r="Y243" s="26" t="str">
        <f>VLOOKUP($D243,records!$A:$V,4,FALSE)</f>
        <v>GILLY SUR ISERE</v>
      </c>
      <c r="Z243" s="26" t="str">
        <f>VLOOKUP($D243,records!$A:$V,7,FALSE)</f>
        <v>73200</v>
      </c>
      <c r="AA243" s="26" t="s">
        <v>1223</v>
      </c>
      <c r="AB243" s="26">
        <f>VLOOKUP(O243,'records (2)'!$A:$Z,8,FALSE)</f>
        <v>30</v>
      </c>
      <c r="AC243" s="26" t="b">
        <v>0</v>
      </c>
      <c r="AD243" s="26"/>
      <c r="AE243" s="26"/>
      <c r="AF243" s="26" t="str">
        <f>VLOOKUP($D243,records!$A:$V,13,FALSE)</f>
        <v>SACMI sas</v>
      </c>
      <c r="AG243" s="26" t="s">
        <v>1226</v>
      </c>
      <c r="AH243" s="26" t="str">
        <f>VLOOKUP($D243,records!$A:$V,19,FALSE)</f>
        <v>invoice@sacmi.fr</v>
      </c>
      <c r="AI243" s="26" t="str">
        <f>VLOOKUP($D243,records!$A:$V,14,FALSE)</f>
        <v>.</v>
      </c>
      <c r="AJ243" s="26" t="str">
        <f>VLOOKUP($O243,'records (2)'!$A:$Z,14,FALSE)</f>
        <v>003IV000010tQHbYAM</v>
      </c>
      <c r="AK243" s="26" t="str">
        <f>VLOOKUP($O243,'records (2)'!$A:$Z,15,FALSE)</f>
        <v>Charline PESCATORI</v>
      </c>
      <c r="AL243" s="26" t="str">
        <f>VLOOKUP($O243,'records (2)'!$A:$Z,10,FALSE)</f>
        <v>003IV000010tQHbYAM</v>
      </c>
      <c r="AM243" s="26" t="str">
        <f>VLOOKUP($O243,'records (2)'!$A:$Z,11,FALSE)</f>
        <v>Charline PESCATORI</v>
      </c>
      <c r="AN243" s="18">
        <v>1</v>
      </c>
      <c r="AO243" s="4">
        <v>1000</v>
      </c>
      <c r="AP243" s="4">
        <v>1000</v>
      </c>
      <c r="AQ243" s="20">
        <v>0</v>
      </c>
      <c r="AR243" s="6">
        <v>0</v>
      </c>
    </row>
    <row r="244" spans="1:44">
      <c r="A244" s="18" t="s">
        <v>132</v>
      </c>
      <c r="B244" s="18" t="s">
        <v>133</v>
      </c>
      <c r="C244" s="18" t="s">
        <v>134</v>
      </c>
      <c r="D244" s="18" t="s">
        <v>135</v>
      </c>
      <c r="E244" s="18" t="s">
        <v>23</v>
      </c>
      <c r="F244" s="18" t="s">
        <v>24</v>
      </c>
      <c r="G244" s="18"/>
      <c r="H244" s="19" t="s">
        <v>1216</v>
      </c>
      <c r="I244" s="23" t="s">
        <v>1217</v>
      </c>
      <c r="J244" s="24">
        <v>46023</v>
      </c>
      <c r="K244" s="24">
        <v>46387</v>
      </c>
      <c r="L244" s="24" t="s">
        <v>1218</v>
      </c>
      <c r="M244" s="24" t="s">
        <v>1219</v>
      </c>
      <c r="N244" s="24">
        <v>46023</v>
      </c>
      <c r="O244" s="24" t="str">
        <f>VLOOKUP(D244,records!$A:$U,10,FALSE)</f>
        <v>0012p00004UHU45AAH</v>
      </c>
      <c r="P244" s="24" t="str">
        <f>VLOOKUP(D244,records!$A:$V,20,FALSE)</f>
        <v>FR64964202295</v>
      </c>
      <c r="Q244" s="24" t="str">
        <f>VLOOKUP(D244,records!$A:$V,12,FALSE)</f>
        <v>96 420 229 500 017</v>
      </c>
      <c r="R244" s="24" t="s">
        <v>1220</v>
      </c>
      <c r="S244" s="24" t="str">
        <f>VLOOKUP(D244,records!$A:$U,19,FALSE)</f>
        <v>invoicedaregal@daregal.fr</v>
      </c>
      <c r="T244" s="26" t="s">
        <v>1221</v>
      </c>
      <c r="U244" s="26" t="s">
        <v>1222</v>
      </c>
      <c r="V244" s="26" t="str">
        <f>VLOOKUP($D244,records!$A:$V,3,FALSE)</f>
        <v>DAREGAL sas</v>
      </c>
      <c r="W244" s="26"/>
      <c r="X244" s="26" t="str">
        <f>VLOOKUP($D244,records!$A:$V,9,FALSE)</f>
        <v>6 Boulevard du Maréchal Joffre</v>
      </c>
      <c r="Y244" s="26" t="str">
        <f>VLOOKUP($D244,records!$A:$V,4,FALSE)</f>
        <v>MILLY LA FORET</v>
      </c>
      <c r="Z244" s="26" t="str">
        <f>VLOOKUP($D244,records!$A:$V,7,FALSE)</f>
        <v>91490</v>
      </c>
      <c r="AA244" s="26" t="s">
        <v>1223</v>
      </c>
      <c r="AB244" s="26">
        <f>VLOOKUP(O244,'records (2)'!$A:$Z,8,FALSE)</f>
        <v>30</v>
      </c>
      <c r="AC244" s="26" t="b">
        <v>0</v>
      </c>
      <c r="AD244" s="26"/>
      <c r="AE244" s="26"/>
      <c r="AF244" s="26" t="str">
        <f>VLOOKUP($D244,records!$A:$V,13,FALSE)</f>
        <v>DAREGAL sas</v>
      </c>
      <c r="AG244" s="26" t="s">
        <v>1226</v>
      </c>
      <c r="AH244" s="26" t="str">
        <f>VLOOKUP($D244,records!$A:$V,19,FALSE)</f>
        <v>invoicedaregal@daregal.fr</v>
      </c>
      <c r="AI244" s="26" t="str">
        <f>VLOOKUP($D244,records!$A:$V,14,FALSE)</f>
        <v>.</v>
      </c>
      <c r="AJ244" s="26" t="str">
        <f>VLOOKUP($O244,'records (2)'!$A:$Z,14,FALSE)</f>
        <v>003IV000010rv3VYAQ</v>
      </c>
      <c r="AK244" s="26" t="str">
        <f>VLOOKUP($O244,'records (2)'!$A:$Z,15,FALSE)</f>
        <v>Elodie HENRIOT</v>
      </c>
      <c r="AL244" s="26" t="str">
        <f>VLOOKUP($O244,'records (2)'!$A:$Z,10,FALSE)</f>
        <v>003IV000010rv3VYAQ</v>
      </c>
      <c r="AM244" s="26" t="str">
        <f>VLOOKUP($O244,'records (2)'!$A:$Z,11,FALSE)</f>
        <v>Elodie HENRIOT</v>
      </c>
      <c r="AN244" s="18">
        <v>1</v>
      </c>
      <c r="AO244" s="4">
        <v>1600</v>
      </c>
      <c r="AP244" s="4">
        <v>1600</v>
      </c>
      <c r="AQ244" s="20">
        <v>0</v>
      </c>
      <c r="AR244" s="6">
        <v>0</v>
      </c>
    </row>
    <row r="245" spans="1:44">
      <c r="A245" s="18" t="s">
        <v>688</v>
      </c>
      <c r="B245" s="18" t="s">
        <v>689</v>
      </c>
      <c r="C245" s="18" t="s">
        <v>690</v>
      </c>
      <c r="D245" s="18" t="s">
        <v>691</v>
      </c>
      <c r="E245" s="18" t="s">
        <v>52</v>
      </c>
      <c r="F245" s="18" t="s">
        <v>53</v>
      </c>
      <c r="G245" s="18"/>
      <c r="H245" s="19" t="s">
        <v>1216</v>
      </c>
      <c r="I245" s="23" t="s">
        <v>1217</v>
      </c>
      <c r="J245" s="24">
        <v>46023</v>
      </c>
      <c r="K245" s="24">
        <v>46387</v>
      </c>
      <c r="L245" s="24" t="s">
        <v>1218</v>
      </c>
      <c r="M245" s="24" t="s">
        <v>1219</v>
      </c>
      <c r="N245" s="24">
        <v>46023</v>
      </c>
      <c r="O245" s="24" t="str">
        <f>VLOOKUP(D245,records!$A:$U,10,FALSE)</f>
        <v>001SZ000005OlpPYAS</v>
      </c>
      <c r="P245" s="24" t="str">
        <f>VLOOKUP(D245,records!$A:$V,20,FALSE)</f>
        <v>FR24572149169</v>
      </c>
      <c r="Q245" s="24" t="str">
        <f>VLOOKUP(D245,records!$A:$V,12,FALSE)</f>
        <v>57 214 916 900 060</v>
      </c>
      <c r="R245" s="24" t="s">
        <v>1220</v>
      </c>
      <c r="S245" s="24" t="str">
        <f>VLOOKUP(D245,records!$A:$U,19,FALSE)</f>
        <v>invoice-fr@haribo.com</v>
      </c>
      <c r="T245" s="26" t="s">
        <v>1221</v>
      </c>
      <c r="U245" s="26" t="s">
        <v>1222</v>
      </c>
      <c r="V245" s="26" t="str">
        <f>VLOOKUP($D245,records!$A:$V,3,FALSE)</f>
        <v>HARIBO RICQLES ZAN sa</v>
      </c>
      <c r="W245" s="26"/>
      <c r="X245" s="26" t="str">
        <f>VLOOKUP($D245,records!$A:$V,9,FALSE)</f>
        <v>67 Boulevard du Capitaine Gèze</v>
      </c>
      <c r="Y245" s="26" t="str">
        <f>VLOOKUP($D245,records!$A:$V,4,FALSE)</f>
        <v>MARSEILLE</v>
      </c>
      <c r="Z245" s="26" t="str">
        <f>VLOOKUP($D245,records!$A:$V,7,FALSE)</f>
        <v>13014</v>
      </c>
      <c r="AA245" s="26" t="s">
        <v>1223</v>
      </c>
      <c r="AB245" s="26">
        <f>VLOOKUP(O245,'records (2)'!$A:$Z,8,FALSE)</f>
        <v>30</v>
      </c>
      <c r="AC245" s="26" t="b">
        <v>0</v>
      </c>
      <c r="AD245" s="26"/>
      <c r="AE245" s="26"/>
      <c r="AF245" s="26" t="str">
        <f>VLOOKUP($D245,records!$A:$V,13,FALSE)</f>
        <v>HARIBO RICQLES ZAN sa</v>
      </c>
      <c r="AG245" s="26" t="s">
        <v>1226</v>
      </c>
      <c r="AH245" s="26" t="str">
        <f>VLOOKUP($D245,records!$A:$V,19,FALSE)</f>
        <v>invoice-fr@haribo.com</v>
      </c>
      <c r="AI245" s="26" t="str">
        <f>VLOOKUP($D245,records!$A:$V,14,FALSE)</f>
        <v>.</v>
      </c>
      <c r="AJ245" s="26" t="str">
        <f>VLOOKUP($O245,'records (2)'!$A:$Z,14,FALSE)</f>
        <v>003IV000010tRdrYAE</v>
      </c>
      <c r="AK245" s="26" t="str">
        <f>VLOOKUP($O245,'records (2)'!$A:$Z,15,FALSE)</f>
        <v>Sandrine ROUZAUD</v>
      </c>
      <c r="AL245" s="26" t="str">
        <f>VLOOKUP($O245,'records (2)'!$A:$Z,10,FALSE)</f>
        <v>003IV000010tRdrYAE</v>
      </c>
      <c r="AM245" s="26" t="str">
        <f>VLOOKUP($O245,'records (2)'!$A:$Z,11,FALSE)</f>
        <v>Sandrine ROUZAUD</v>
      </c>
      <c r="AN245" s="18">
        <v>1</v>
      </c>
      <c r="AO245" s="4">
        <v>1000</v>
      </c>
      <c r="AP245" s="4">
        <v>1000</v>
      </c>
      <c r="AQ245" s="20">
        <v>0</v>
      </c>
      <c r="AR245" s="6">
        <v>0</v>
      </c>
    </row>
    <row r="246" spans="1:44">
      <c r="A246" s="18" t="s">
        <v>745</v>
      </c>
      <c r="B246" s="18" t="s">
        <v>746</v>
      </c>
      <c r="C246" s="18" t="s">
        <v>747</v>
      </c>
      <c r="D246" s="18" t="s">
        <v>748</v>
      </c>
      <c r="E246" s="18" t="s">
        <v>52</v>
      </c>
      <c r="F246" s="18" t="s">
        <v>53</v>
      </c>
      <c r="G246" s="18"/>
      <c r="H246" s="19" t="s">
        <v>1216</v>
      </c>
      <c r="I246" s="23" t="s">
        <v>1217</v>
      </c>
      <c r="J246" s="24">
        <v>46023</v>
      </c>
      <c r="K246" s="24">
        <v>46387</v>
      </c>
      <c r="L246" s="24" t="s">
        <v>1218</v>
      </c>
      <c r="M246" s="24" t="s">
        <v>1219</v>
      </c>
      <c r="N246" s="24">
        <v>46023</v>
      </c>
      <c r="O246" s="24" t="str">
        <f>VLOOKUP(D246,records!$A:$U,10,FALSE)</f>
        <v>0012p00004SvWYqAAN</v>
      </c>
      <c r="P246" s="24" t="str">
        <f>VLOOKUP(D246,records!$A:$V,20,FALSE)</f>
        <v>FR33672024155</v>
      </c>
      <c r="Q246" s="24" t="str">
        <f>VLOOKUP(D246,records!$A:$V,12,FALSE)</f>
        <v>67 202 415 500 448</v>
      </c>
      <c r="R246" s="24" t="s">
        <v>1220</v>
      </c>
      <c r="S246" s="24" t="str">
        <f>VLOOKUP(D246,records!$A:$U,19,FALSE)</f>
        <v>invoice-fr@lindt.com</v>
      </c>
      <c r="T246" s="26" t="s">
        <v>1221</v>
      </c>
      <c r="U246" s="26" t="s">
        <v>1222</v>
      </c>
      <c r="V246" s="26" t="str">
        <f>VLOOKUP($D246,records!$A:$V,3,FALSE)</f>
        <v>LINDT &amp; SPRUNGLI sas</v>
      </c>
      <c r="W246" s="26"/>
      <c r="X246" s="26" t="str">
        <f>VLOOKUP($D246,records!$A:$V,9,FALSE)</f>
        <v>112 avenue Kléber</v>
      </c>
      <c r="Y246" s="26" t="str">
        <f>VLOOKUP($D246,records!$A:$V,4,FALSE)</f>
        <v>PARIS</v>
      </c>
      <c r="Z246" s="26" t="str">
        <f>VLOOKUP($D246,records!$A:$V,7,FALSE)</f>
        <v>75116</v>
      </c>
      <c r="AA246" s="26" t="s">
        <v>1223</v>
      </c>
      <c r="AB246" s="26">
        <f>VLOOKUP(O246,'records (2)'!$A:$Z,8,FALSE)</f>
        <v>45</v>
      </c>
      <c r="AC246" s="26" t="b">
        <v>0</v>
      </c>
      <c r="AD246" s="26"/>
      <c r="AE246" s="26"/>
      <c r="AF246" s="26" t="str">
        <f>VLOOKUP($D246,records!$A:$V,13,FALSE)</f>
        <v>LINDT &amp; SPRUNGLI sas</v>
      </c>
      <c r="AG246" s="26" t="s">
        <v>1226</v>
      </c>
      <c r="AH246" s="26" t="str">
        <f>VLOOKUP($D246,records!$A:$V,19,FALSE)</f>
        <v>invoice-fr@lindt.com</v>
      </c>
      <c r="AI246" s="26" t="str">
        <f>VLOOKUP($D246,records!$A:$V,14,FALSE)</f>
        <v>.</v>
      </c>
      <c r="AJ246" s="26" t="str">
        <f>VLOOKUP($O246,'records (2)'!$A:$Z,14,FALSE)</f>
        <v>003IV000010tRyuYAE</v>
      </c>
      <c r="AK246" s="26" t="str">
        <f>VLOOKUP($O246,'records (2)'!$A:$Z,15,FALSE)</f>
        <v>Isabelle FALHUN</v>
      </c>
      <c r="AL246" s="26" t="str">
        <f>VLOOKUP($O246,'records (2)'!$A:$Z,10,FALSE)</f>
        <v>003IV000010tRUIYA2</v>
      </c>
      <c r="AM246" s="26" t="str">
        <f>VLOOKUP($O246,'records (2)'!$A:$Z,11,FALSE)</f>
        <v>Comptabilité LINDT</v>
      </c>
      <c r="AN246" s="18">
        <v>1</v>
      </c>
      <c r="AO246" s="4">
        <v>1000</v>
      </c>
      <c r="AP246" s="4">
        <v>1000</v>
      </c>
      <c r="AQ246" s="20">
        <v>0</v>
      </c>
      <c r="AR246" s="6">
        <v>0</v>
      </c>
    </row>
    <row r="247" spans="1:44">
      <c r="A247" s="12" t="s">
        <v>745</v>
      </c>
      <c r="B247" s="12" t="s">
        <v>1181</v>
      </c>
      <c r="C247" s="18" t="s">
        <v>747</v>
      </c>
      <c r="D247" s="18" t="s">
        <v>748</v>
      </c>
      <c r="E247" s="18" t="s">
        <v>1177</v>
      </c>
      <c r="F247" s="18" t="s">
        <v>1178</v>
      </c>
      <c r="G247" s="18"/>
      <c r="H247" s="19" t="s">
        <v>1216</v>
      </c>
      <c r="I247" s="23" t="s">
        <v>1217</v>
      </c>
      <c r="J247" s="24">
        <v>46023</v>
      </c>
      <c r="K247" s="24">
        <v>46387</v>
      </c>
      <c r="L247" s="24" t="s">
        <v>1218</v>
      </c>
      <c r="M247" s="24" t="s">
        <v>1219</v>
      </c>
      <c r="N247" s="24">
        <v>46023</v>
      </c>
      <c r="O247" s="24" t="str">
        <f>VLOOKUP(D247,records!$A:$U,10,FALSE)</f>
        <v>0012p00004SvWYqAAN</v>
      </c>
      <c r="P247" s="24" t="str">
        <f>VLOOKUP(D247,records!$A:$V,20,FALSE)</f>
        <v>FR33672024155</v>
      </c>
      <c r="Q247" s="24" t="str">
        <f>VLOOKUP(D247,records!$A:$V,12,FALSE)</f>
        <v>67 202 415 500 448</v>
      </c>
      <c r="R247" s="24" t="s">
        <v>1220</v>
      </c>
      <c r="S247" s="24" t="str">
        <f>VLOOKUP(D247,records!$A:$U,19,FALSE)</f>
        <v>invoice-fr@lindt.com</v>
      </c>
      <c r="T247" s="26" t="s">
        <v>1221</v>
      </c>
      <c r="U247" s="26" t="s">
        <v>1222</v>
      </c>
      <c r="V247" s="26" t="str">
        <f>VLOOKUP($D247,records!$A:$V,3,FALSE)</f>
        <v>LINDT &amp; SPRUNGLI sas</v>
      </c>
      <c r="W247" s="26"/>
      <c r="X247" s="26" t="str">
        <f>VLOOKUP($D247,records!$A:$V,9,FALSE)</f>
        <v>112 avenue Kléber</v>
      </c>
      <c r="Y247" s="26" t="str">
        <f>VLOOKUP($D247,records!$A:$V,4,FALSE)</f>
        <v>PARIS</v>
      </c>
      <c r="Z247" s="26" t="str">
        <f>VLOOKUP($D247,records!$A:$V,7,FALSE)</f>
        <v>75116</v>
      </c>
      <c r="AA247" s="26" t="s">
        <v>1223</v>
      </c>
      <c r="AB247" s="26">
        <f>VLOOKUP(O247,'records (2)'!$A:$Z,8,FALSE)</f>
        <v>45</v>
      </c>
      <c r="AC247" s="26" t="b">
        <v>0</v>
      </c>
      <c r="AD247" s="26"/>
      <c r="AE247" s="26"/>
      <c r="AF247" s="26" t="str">
        <f>VLOOKUP($D247,records!$A:$V,13,FALSE)</f>
        <v>LINDT &amp; SPRUNGLI sas</v>
      </c>
      <c r="AG247" s="26" t="s">
        <v>1226</v>
      </c>
      <c r="AH247" s="26" t="str">
        <f>VLOOKUP($D247,records!$A:$V,19,FALSE)</f>
        <v>invoice-fr@lindt.com</v>
      </c>
      <c r="AI247" s="26" t="str">
        <f>VLOOKUP($D247,records!$A:$V,14,FALSE)</f>
        <v>.</v>
      </c>
      <c r="AJ247" s="26" t="str">
        <f>VLOOKUP($O247,'records (2)'!$A:$Z,14,FALSE)</f>
        <v>003IV000010tRyuYAE</v>
      </c>
      <c r="AK247" s="26" t="str">
        <f>VLOOKUP($O247,'records (2)'!$A:$Z,15,FALSE)</f>
        <v>Isabelle FALHUN</v>
      </c>
      <c r="AL247" s="26" t="str">
        <f>VLOOKUP($O247,'records (2)'!$A:$Z,10,FALSE)</f>
        <v>003IV000010tRUIYA2</v>
      </c>
      <c r="AM247" s="26" t="str">
        <f>VLOOKUP($O247,'records (2)'!$A:$Z,11,FALSE)</f>
        <v>Comptabilité LINDT</v>
      </c>
      <c r="AN247" s="18">
        <v>1</v>
      </c>
      <c r="AO247" s="4">
        <v>1000</v>
      </c>
      <c r="AP247" s="4">
        <v>1000</v>
      </c>
      <c r="AQ247" s="20">
        <v>0</v>
      </c>
      <c r="AR247" s="6" t="s">
        <v>1174</v>
      </c>
    </row>
    <row r="248" spans="1:44">
      <c r="A248" s="18" t="s">
        <v>285</v>
      </c>
      <c r="B248" s="18" t="s">
        <v>286</v>
      </c>
      <c r="C248" s="18" t="s">
        <v>286</v>
      </c>
      <c r="D248" s="18" t="s">
        <v>287</v>
      </c>
      <c r="E248" s="18" t="s">
        <v>16</v>
      </c>
      <c r="F248" s="18" t="s">
        <v>17</v>
      </c>
      <c r="G248" s="18"/>
      <c r="H248" s="19" t="s">
        <v>1216</v>
      </c>
      <c r="I248" s="23" t="s">
        <v>1217</v>
      </c>
      <c r="J248" s="24">
        <v>46023</v>
      </c>
      <c r="K248" s="24">
        <v>46387</v>
      </c>
      <c r="L248" s="24" t="s">
        <v>1218</v>
      </c>
      <c r="M248" s="24" t="s">
        <v>1219</v>
      </c>
      <c r="N248" s="24">
        <v>46023</v>
      </c>
      <c r="O248" s="24" t="str">
        <f>VLOOKUP(D248,records!$A:$U,10,FALSE)</f>
        <v>0012p00004NKsfhAAD</v>
      </c>
      <c r="P248" s="24" t="str">
        <f>VLOOKUP(D248,records!$A:$V,20,FALSE)</f>
        <v>FR40815356563</v>
      </c>
      <c r="Q248" s="24" t="str">
        <f>VLOOKUP(D248,records!$A:$V,12,FALSE)</f>
        <v>81 535 656 300 016</v>
      </c>
      <c r="R248" s="24" t="s">
        <v>1220</v>
      </c>
      <c r="S248" s="24" t="str">
        <f>VLOOKUP(D248,records!$A:$U,19,FALSE)</f>
        <v>invoices.courville@metalor.com</v>
      </c>
      <c r="T248" s="26" t="s">
        <v>1221</v>
      </c>
      <c r="U248" s="26" t="s">
        <v>1222</v>
      </c>
      <c r="V248" s="26" t="str">
        <f>VLOOKUP($D248,records!$A:$V,3,FALSE)</f>
        <v>METALOR TECHNOLOGIES ELECTROTECHNICS FRANCE sasu</v>
      </c>
      <c r="W248" s="26"/>
      <c r="X248" s="26" t="str">
        <f>VLOOKUP($D248,records!$A:$V,9,FALSE)</f>
        <v>Rue des Aquées - BP 29</v>
      </c>
      <c r="Y248" s="26" t="str">
        <f>VLOOKUP($D248,records!$A:$V,4,FALSE)</f>
        <v>COURVILLE SUR EURE</v>
      </c>
      <c r="Z248" s="26" t="str">
        <f>VLOOKUP($D248,records!$A:$V,7,FALSE)</f>
        <v>28190</v>
      </c>
      <c r="AA248" s="26" t="s">
        <v>1223</v>
      </c>
      <c r="AB248" s="26">
        <f>VLOOKUP(O248,'records (2)'!$A:$Z,8,FALSE)</f>
        <v>30</v>
      </c>
      <c r="AC248" s="26" t="b">
        <v>0</v>
      </c>
      <c r="AD248" s="26"/>
      <c r="AE248" s="26"/>
      <c r="AF248" s="26" t="str">
        <f>VLOOKUP($D248,records!$A:$V,13,FALSE)</f>
        <v>METALOR TECHNOLOGIES ELECTROTECHNICS FRANCE sasu</v>
      </c>
      <c r="AG248" s="26" t="s">
        <v>1226</v>
      </c>
      <c r="AH248" s="26" t="str">
        <f>VLOOKUP($D248,records!$A:$V,19,FALSE)</f>
        <v>invoices.courville@metalor.com</v>
      </c>
      <c r="AI248" s="26" t="s">
        <v>1233</v>
      </c>
      <c r="AJ248" s="26" t="str">
        <f>VLOOKUP($O248,'records (2)'!$A:$Z,14,FALSE)</f>
        <v>003IV000010t2GbYAI</v>
      </c>
      <c r="AK248" s="26" t="str">
        <f>VLOOKUP($O248,'records (2)'!$A:$Z,15,FALSE)</f>
        <v>Comptabilité METALOR</v>
      </c>
      <c r="AL248" s="26" t="str">
        <f>VLOOKUP($O248,'records (2)'!$A:$Z,10,FALSE)</f>
        <v>003IV000010t2GbYAI</v>
      </c>
      <c r="AM248" s="26" t="str">
        <f>VLOOKUP($O248,'records (2)'!$A:$Z,11,FALSE)</f>
        <v>Comptabilité METALOR</v>
      </c>
      <c r="AN248" s="18">
        <v>1</v>
      </c>
      <c r="AO248" s="4">
        <v>2000</v>
      </c>
      <c r="AP248" s="4">
        <v>2000</v>
      </c>
      <c r="AQ248" s="20">
        <v>0</v>
      </c>
      <c r="AR248" s="6">
        <v>0</v>
      </c>
    </row>
    <row r="249" spans="1:44">
      <c r="A249" s="18" t="s">
        <v>281</v>
      </c>
      <c r="B249" s="18" t="s">
        <v>282</v>
      </c>
      <c r="C249" s="18" t="s">
        <v>283</v>
      </c>
      <c r="D249" s="18" t="s">
        <v>284</v>
      </c>
      <c r="E249" s="18" t="s">
        <v>16</v>
      </c>
      <c r="F249" s="18" t="s">
        <v>17</v>
      </c>
      <c r="G249" s="18"/>
      <c r="H249" s="19" t="s">
        <v>1216</v>
      </c>
      <c r="I249" s="23" t="s">
        <v>1217</v>
      </c>
      <c r="J249" s="24">
        <v>46023</v>
      </c>
      <c r="K249" s="24">
        <v>46387</v>
      </c>
      <c r="L249" s="24" t="s">
        <v>1218</v>
      </c>
      <c r="M249" s="24" t="s">
        <v>1219</v>
      </c>
      <c r="N249" s="24">
        <v>46023</v>
      </c>
      <c r="O249" s="24" t="str">
        <f>VLOOKUP(D249,records!$A:$U,10,FALSE)</f>
        <v>001SZ000007hLtFYAU</v>
      </c>
      <c r="P249" s="24" t="str">
        <f>VLOOKUP(D249,records!$A:$V,20,FALSE)</f>
        <v>FR96433803137</v>
      </c>
      <c r="Q249" s="24" t="str">
        <f>VLOOKUP(D249,records!$A:$V,12,FALSE)</f>
        <v>43 380 313 700 036</v>
      </c>
      <c r="R249" s="24" t="s">
        <v>1220</v>
      </c>
      <c r="S249" s="24" t="str">
        <f>VLOOKUP(D249,records!$A:$U,19,FALSE)</f>
        <v>invoices.mcs@mersen.com</v>
      </c>
      <c r="T249" s="26" t="s">
        <v>1221</v>
      </c>
      <c r="U249" s="26" t="s">
        <v>1222</v>
      </c>
      <c r="V249" s="26" t="str">
        <f>VLOOKUP($D249,records!$A:$V,3,FALSE)</f>
        <v>MERSEN CORPORATE SERVICES SAS</v>
      </c>
      <c r="W249" s="26"/>
      <c r="X249" s="26" t="str">
        <f>VLOOKUP($D249,records!$A:$V,9,FALSE)</f>
        <v>Tour Trinity - 1 bis Place de la Défense</v>
      </c>
      <c r="Y249" s="26" t="str">
        <f>VLOOKUP($D249,records!$A:$V,4,FALSE)</f>
        <v>COURBEVOIE</v>
      </c>
      <c r="Z249" s="26" t="str">
        <f>VLOOKUP($D249,records!$A:$V,7,FALSE)</f>
        <v>92400</v>
      </c>
      <c r="AA249" s="26" t="s">
        <v>1223</v>
      </c>
      <c r="AB249" s="26">
        <f>VLOOKUP(O249,'records (2)'!$A:$Z,8,FALSE)</f>
        <v>60</v>
      </c>
      <c r="AC249" s="26" t="b">
        <v>0</v>
      </c>
      <c r="AD249" s="26"/>
      <c r="AE249" s="26"/>
      <c r="AF249" s="26" t="str">
        <f>VLOOKUP($D249,records!$A:$V,13,FALSE)</f>
        <v>MERSEN CORPORATE SERVICES SAS</v>
      </c>
      <c r="AG249" s="26" t="s">
        <v>1226</v>
      </c>
      <c r="AH249" s="26" t="str">
        <f>VLOOKUP($D249,records!$A:$V,19,FALSE)</f>
        <v>invoices.mcs@mersen.com</v>
      </c>
      <c r="AI249" s="26" t="str">
        <f>VLOOKUP($D249,records!$A:$V,14,FALSE)</f>
        <v>.</v>
      </c>
      <c r="AJ249" s="26" t="str">
        <f>VLOOKUP($O249,'records (2)'!$A:$Z,14,FALSE)</f>
        <v>003IV000010su9FYAQ</v>
      </c>
      <c r="AK249" s="26" t="str">
        <f>VLOOKUP($O249,'records (2)'!$A:$Z,15,FALSE)</f>
        <v>Luna DASILVAMARQUES</v>
      </c>
      <c r="AL249" s="26" t="str">
        <f>VLOOKUP($O249,'records (2)'!$A:$Z,10,FALSE)</f>
        <v>003IV000010su9FYAQ</v>
      </c>
      <c r="AM249" s="26" t="str">
        <f>VLOOKUP($O249,'records (2)'!$A:$Z,11,FALSE)</f>
        <v>Luna DASILVAMARQUES</v>
      </c>
      <c r="AN249" s="18">
        <v>1</v>
      </c>
      <c r="AO249" s="4">
        <v>6000</v>
      </c>
      <c r="AP249" s="4">
        <v>6000</v>
      </c>
      <c r="AQ249" s="20">
        <v>0</v>
      </c>
      <c r="AR249" s="6">
        <v>0</v>
      </c>
    </row>
    <row r="250" spans="1:44">
      <c r="A250" s="18" t="s">
        <v>395</v>
      </c>
      <c r="B250" s="18" t="s">
        <v>396</v>
      </c>
      <c r="C250" s="18" t="s">
        <v>397</v>
      </c>
      <c r="D250" s="18" t="s">
        <v>398</v>
      </c>
      <c r="E250" s="18" t="s">
        <v>16</v>
      </c>
      <c r="F250" s="18" t="s">
        <v>17</v>
      </c>
      <c r="G250" s="18"/>
      <c r="H250" s="19" t="s">
        <v>1216</v>
      </c>
      <c r="I250" s="23" t="s">
        <v>1217</v>
      </c>
      <c r="J250" s="24">
        <v>46023</v>
      </c>
      <c r="K250" s="24">
        <v>46387</v>
      </c>
      <c r="L250" s="24" t="s">
        <v>1218</v>
      </c>
      <c r="M250" s="24" t="s">
        <v>1219</v>
      </c>
      <c r="N250" s="24">
        <v>46023</v>
      </c>
      <c r="O250" s="24" t="str">
        <f>VLOOKUP(D250,records!$A:$U,10,FALSE)</f>
        <v>0012p00004UpS9pAAF</v>
      </c>
      <c r="P250" s="24" t="str">
        <f>VLOOKUP(D250,records!$A:$V,20,FALSE)</f>
        <v>FR40803247956</v>
      </c>
      <c r="Q250" s="24" t="str">
        <f>VLOOKUP(D250,records!$A:$V,12,FALSE)</f>
        <v>80 324 795 600 011</v>
      </c>
      <c r="R250" s="24" t="s">
        <v>1220</v>
      </c>
      <c r="S250" s="24" t="str">
        <f>VLOOKUP(D250,records!$A:$U,19,FALSE)</f>
        <v>invoices.upsa.fr@upsa-ph.com</v>
      </c>
      <c r="T250" s="26" t="s">
        <v>1221</v>
      </c>
      <c r="U250" s="26" t="s">
        <v>1222</v>
      </c>
      <c r="V250" s="26" t="str">
        <f>VLOOKUP($D250,records!$A:$V,3,FALSE)</f>
        <v>UPSA sasu</v>
      </c>
      <c r="W250" s="26"/>
      <c r="X250" s="26" t="str">
        <f>VLOOKUP($D250,records!$A:$V,9,FALSE)</f>
        <v>3 rue Joseph Monier</v>
      </c>
      <c r="Y250" s="26" t="str">
        <f>VLOOKUP($D250,records!$A:$V,4,FALSE)</f>
        <v>RUEIL-MALMAISON</v>
      </c>
      <c r="Z250" s="26" t="str">
        <f>VLOOKUP($D250,records!$A:$V,7,FALSE)</f>
        <v>92500</v>
      </c>
      <c r="AA250" s="26" t="s">
        <v>1223</v>
      </c>
      <c r="AB250" s="26">
        <f>VLOOKUP(O250,'records (2)'!$A:$Z,8,FALSE)</f>
        <v>30</v>
      </c>
      <c r="AC250" s="26" t="b">
        <f>VLOOKUP(O250,'records (4)'!$A:$C,3,FALSE)</f>
        <v>1</v>
      </c>
      <c r="AD250" s="26" t="s">
        <v>1225</v>
      </c>
      <c r="AE250" s="24">
        <v>46023</v>
      </c>
      <c r="AF250" s="26" t="str">
        <f>VLOOKUP($D250,records!$A:$V,13,FALSE)</f>
        <v>UPSA sasu</v>
      </c>
      <c r="AG250" s="26" t="s">
        <v>1226</v>
      </c>
      <c r="AH250" s="26" t="str">
        <f>VLOOKUP($D250,records!$A:$V,19,FALSE)</f>
        <v>invoices.upsa.fr@upsa-ph.com</v>
      </c>
      <c r="AI250" s="26" t="str">
        <f>VLOOKUP($D250,records!$A:$V,14,FALSE)</f>
        <v>.</v>
      </c>
      <c r="AJ250" s="26" t="str">
        <f>VLOOKUP($O250,'records (2)'!$A:$Z,14,FALSE)</f>
        <v>003IV000010tJXbYAM</v>
      </c>
      <c r="AK250" s="26" t="str">
        <f>VLOOKUP($O250,'records (2)'!$A:$Z,15,FALSE)</f>
        <v>Service Comptabilité UPSA</v>
      </c>
      <c r="AL250" s="26" t="str">
        <f>VLOOKUP($O250,'records (2)'!$A:$Z,10,FALSE)</f>
        <v>003IV000010tJXbYAM</v>
      </c>
      <c r="AM250" s="26" t="str">
        <f>VLOOKUP($O250,'records (2)'!$A:$Z,11,FALSE)</f>
        <v>Service Comptabilité UPSA</v>
      </c>
      <c r="AN250" s="18">
        <v>1</v>
      </c>
      <c r="AO250" s="4">
        <v>3000</v>
      </c>
      <c r="AP250" s="4">
        <v>3000</v>
      </c>
      <c r="AQ250" s="20">
        <v>0</v>
      </c>
      <c r="AR250" s="6">
        <v>0</v>
      </c>
    </row>
    <row r="251" spans="1:44">
      <c r="A251" s="18" t="s">
        <v>154</v>
      </c>
      <c r="B251" s="18" t="s">
        <v>155</v>
      </c>
      <c r="C251" s="18" t="s">
        <v>156</v>
      </c>
      <c r="D251" s="18" t="s">
        <v>157</v>
      </c>
      <c r="E251" s="18" t="s">
        <v>52</v>
      </c>
      <c r="F251" s="18" t="s">
        <v>53</v>
      </c>
      <c r="G251" s="18"/>
      <c r="H251" s="19" t="s">
        <v>1216</v>
      </c>
      <c r="I251" s="23" t="s">
        <v>1217</v>
      </c>
      <c r="J251" s="24">
        <v>46023</v>
      </c>
      <c r="K251" s="24">
        <v>46387</v>
      </c>
      <c r="L251" s="24" t="s">
        <v>1218</v>
      </c>
      <c r="M251" s="24" t="s">
        <v>1219</v>
      </c>
      <c r="N251" s="24">
        <v>46023</v>
      </c>
      <c r="O251" s="24" t="str">
        <f>VLOOKUP(D251,records!$A:$U,10,FALSE)</f>
        <v>0012p00004Ot0uAAAR</v>
      </c>
      <c r="P251" s="24" t="str">
        <f>VLOOKUP(D251,records!$A:$V,20,FALSE)</f>
        <v>FR77452835242</v>
      </c>
      <c r="Q251" s="24" t="str">
        <f>VLOOKUP(D251,records!$A:$V,12,FALSE)</f>
        <v>45 283 524 200 028</v>
      </c>
      <c r="R251" s="24" t="s">
        <v>1220</v>
      </c>
      <c r="S251" s="24" t="str">
        <f>VLOOKUP(D251,records!$A:$U,19,FALSE)</f>
        <v>invoices@fieldturftarkett.com</v>
      </c>
      <c r="T251" s="26" t="s">
        <v>1221</v>
      </c>
      <c r="U251" s="26" t="s">
        <v>1222</v>
      </c>
      <c r="V251" s="26" t="str">
        <f>VLOOKUP($D251,records!$A:$V,3,FALSE)</f>
        <v>FIELDTURF TARKETT sasu</v>
      </c>
      <c r="W251" s="26"/>
      <c r="X251" s="26" t="str">
        <f>VLOOKUP($D251,records!$A:$V,9,FALSE)</f>
        <v>91 rue Chateaubriand</v>
      </c>
      <c r="Y251" s="26" t="str">
        <f>VLOOKUP($D251,records!$A:$V,4,FALSE)</f>
        <v>AUCHEL</v>
      </c>
      <c r="Z251" s="26" t="str">
        <f>VLOOKUP($D251,records!$A:$V,7,FALSE)</f>
        <v>62260</v>
      </c>
      <c r="AA251" s="26" t="s">
        <v>1223</v>
      </c>
      <c r="AB251" s="26">
        <f>VLOOKUP(O251,'records (2)'!$A:$Z,8,FALSE)</f>
        <v>30</v>
      </c>
      <c r="AC251" s="26" t="b">
        <v>0</v>
      </c>
      <c r="AD251" s="26"/>
      <c r="AE251" s="26"/>
      <c r="AF251" s="26" t="str">
        <f>VLOOKUP($D251,records!$A:$V,13,FALSE)</f>
        <v>FIELDTURF TARKETT sasu</v>
      </c>
      <c r="AG251" s="26" t="s">
        <v>1226</v>
      </c>
      <c r="AH251" s="26" t="str">
        <f>VLOOKUP($D251,records!$A:$V,19,FALSE)</f>
        <v>invoices@fieldturftarkett.com</v>
      </c>
      <c r="AI251" s="26" t="str">
        <f>VLOOKUP($D251,records!$A:$V,14,FALSE)</f>
        <v>.</v>
      </c>
      <c r="AJ251" s="26" t="str">
        <f>VLOOKUP($O251,'records (2)'!$A:$Z,14,FALSE)</f>
        <v>003IV000010tRW4YAM</v>
      </c>
      <c r="AK251" s="26" t="str">
        <f>VLOOKUP($O251,'records (2)'!$A:$Z,15,FALSE)</f>
        <v>Stéphanie BLARET (invoices)</v>
      </c>
      <c r="AL251" s="26" t="str">
        <f>VLOOKUP($O251,'records (2)'!$A:$Z,10,FALSE)</f>
        <v>003IV000010tRW4YAM</v>
      </c>
      <c r="AM251" s="26" t="str">
        <f>VLOOKUP($O251,'records (2)'!$A:$Z,11,FALSE)</f>
        <v>Stéphanie BLARET (invoices)</v>
      </c>
      <c r="AN251" s="18">
        <v>1</v>
      </c>
      <c r="AO251" s="4">
        <v>1000</v>
      </c>
      <c r="AP251" s="4">
        <v>1000</v>
      </c>
      <c r="AQ251" s="20">
        <v>0</v>
      </c>
      <c r="AR251" s="6">
        <v>0</v>
      </c>
    </row>
    <row r="252" spans="1:44">
      <c r="A252" s="18" t="s">
        <v>241</v>
      </c>
      <c r="B252" s="18" t="s">
        <v>242</v>
      </c>
      <c r="C252" s="18" t="s">
        <v>242</v>
      </c>
      <c r="D252" s="18" t="s">
        <v>243</v>
      </c>
      <c r="E252" s="18" t="s">
        <v>23</v>
      </c>
      <c r="F252" s="18" t="s">
        <v>24</v>
      </c>
      <c r="G252" s="18"/>
      <c r="H252" s="19" t="s">
        <v>1216</v>
      </c>
      <c r="I252" s="23" t="s">
        <v>1217</v>
      </c>
      <c r="J252" s="24">
        <v>46023</v>
      </c>
      <c r="K252" s="24">
        <v>46387</v>
      </c>
      <c r="L252" s="24" t="s">
        <v>1218</v>
      </c>
      <c r="M252" s="24" t="s">
        <v>1219</v>
      </c>
      <c r="N252" s="24">
        <v>46023</v>
      </c>
      <c r="O252" s="24" t="str">
        <f>VLOOKUP(D252,records!$A:$U,10,FALSE)</f>
        <v>001SZ000004oQQ3YAM</v>
      </c>
      <c r="P252" s="24" t="str">
        <f>VLOOKUP(D252,records!$A:$V,20,FALSE)</f>
        <v>FR20477180186</v>
      </c>
      <c r="Q252" s="24" t="str">
        <f>VLOOKUP(D252,records!$A:$V,12,FALSE)</f>
        <v>47 718 018 601 882</v>
      </c>
      <c r="R252" s="24" t="s">
        <v>1220</v>
      </c>
      <c r="S252" s="24" t="str">
        <f>VLOOKUP(D252,records!$A:$U,19,FALSE)</f>
        <v>invoices@redoute.com</v>
      </c>
      <c r="T252" s="26" t="s">
        <v>1221</v>
      </c>
      <c r="U252" s="26" t="s">
        <v>1222</v>
      </c>
      <c r="V252" s="26" t="str">
        <f>VLOOKUP($D252,records!$A:$V,3,FALSE)</f>
        <v>LA REDOUTE sasu</v>
      </c>
      <c r="W252" s="26" t="str">
        <f>IFERROR(VLOOKUP($D252,records!$A:$V,6,FALSE),)</f>
        <v>Service recrutement - DRH1200</v>
      </c>
      <c r="X252" s="26" t="str">
        <f>VLOOKUP($D252,records!$A:$V,9,FALSE)</f>
        <v>110 Rue de Blanchemaille</v>
      </c>
      <c r="Y252" s="26" t="str">
        <f>VLOOKUP($D252,records!$A:$V,4,FALSE)</f>
        <v>ROUBAIX</v>
      </c>
      <c r="Z252" s="26" t="str">
        <f>VLOOKUP($D252,records!$A:$V,7,FALSE)</f>
        <v>59100</v>
      </c>
      <c r="AA252" s="26" t="s">
        <v>1223</v>
      </c>
      <c r="AB252" s="26">
        <f>VLOOKUP(O252,'records (2)'!$A:$Z,8,FALSE)</f>
        <v>60</v>
      </c>
      <c r="AC252" s="26" t="b">
        <v>0</v>
      </c>
      <c r="AD252" s="26"/>
      <c r="AE252" s="26"/>
      <c r="AF252" s="26" t="str">
        <f>VLOOKUP($D252,records!$A:$V,13,FALSE)</f>
        <v>LA REDOUTE sasu</v>
      </c>
      <c r="AG252" s="26" t="s">
        <v>1226</v>
      </c>
      <c r="AH252" s="26" t="str">
        <f>VLOOKUP($D252,records!$A:$V,19,FALSE)</f>
        <v>invoices@redoute.com</v>
      </c>
      <c r="AI252" s="26" t="str">
        <f>VLOOKUP($D252,records!$A:$V,14,FALSE)</f>
        <v>.</v>
      </c>
      <c r="AJ252" s="26" t="str">
        <f>VLOOKUP($O252,'records (2)'!$A:$Z,14,FALSE)</f>
        <v>003IV000010sxGwYAI</v>
      </c>
      <c r="AK252" s="26" t="str">
        <f>VLOOKUP($O252,'records (2)'!$A:$Z,15,FALSE)</f>
        <v>Service Facturation LA REDOUTE</v>
      </c>
      <c r="AL252" s="26" t="str">
        <f>VLOOKUP($O252,'records (2)'!$A:$Z,10,FALSE)</f>
        <v>003IV000010tWWPYA2</v>
      </c>
      <c r="AM252" s="26" t="str">
        <f>VLOOKUP($O252,'records (2)'!$A:$Z,11,FALSE)</f>
        <v>Comptabilité LA REDOUTE</v>
      </c>
      <c r="AN252" s="18">
        <v>1</v>
      </c>
      <c r="AO252" s="4">
        <v>2232</v>
      </c>
      <c r="AP252" s="4">
        <v>2232</v>
      </c>
      <c r="AQ252" s="20">
        <v>0</v>
      </c>
      <c r="AR252" s="6">
        <v>0</v>
      </c>
    </row>
    <row r="253" spans="1:44">
      <c r="A253" s="12" t="s">
        <v>241</v>
      </c>
      <c r="B253" s="12" t="s">
        <v>242</v>
      </c>
      <c r="C253" s="18" t="s">
        <v>242</v>
      </c>
      <c r="D253" s="18" t="s">
        <v>243</v>
      </c>
      <c r="E253" s="18" t="s">
        <v>1177</v>
      </c>
      <c r="F253" s="18" t="s">
        <v>1178</v>
      </c>
      <c r="G253" s="18"/>
      <c r="H253" s="19" t="s">
        <v>1216</v>
      </c>
      <c r="I253" s="23" t="s">
        <v>1217</v>
      </c>
      <c r="J253" s="24">
        <v>46023</v>
      </c>
      <c r="K253" s="24">
        <v>46387</v>
      </c>
      <c r="L253" s="24" t="s">
        <v>1218</v>
      </c>
      <c r="M253" s="24" t="s">
        <v>1219</v>
      </c>
      <c r="N253" s="24">
        <v>46023</v>
      </c>
      <c r="O253" s="24" t="str">
        <f>VLOOKUP(D253,records!$A:$U,10,FALSE)</f>
        <v>001SZ000004oQQ3YAM</v>
      </c>
      <c r="P253" s="24" t="str">
        <f>VLOOKUP(D253,records!$A:$V,20,FALSE)</f>
        <v>FR20477180186</v>
      </c>
      <c r="Q253" s="24" t="str">
        <f>VLOOKUP(D253,records!$A:$V,12,FALSE)</f>
        <v>47 718 018 601 882</v>
      </c>
      <c r="R253" s="24" t="s">
        <v>1220</v>
      </c>
      <c r="S253" s="24" t="str">
        <f>VLOOKUP(D253,records!$A:$U,19,FALSE)</f>
        <v>invoices@redoute.com</v>
      </c>
      <c r="T253" s="26" t="s">
        <v>1221</v>
      </c>
      <c r="U253" s="26" t="s">
        <v>1222</v>
      </c>
      <c r="V253" s="26" t="str">
        <f>VLOOKUP($D253,records!$A:$V,3,FALSE)</f>
        <v>LA REDOUTE sasu</v>
      </c>
      <c r="W253" s="26" t="str">
        <f>IFERROR(VLOOKUP($D253,records!$A:$V,6,FALSE),)</f>
        <v>Service recrutement - DRH1200</v>
      </c>
      <c r="X253" s="26" t="str">
        <f>VLOOKUP($D253,records!$A:$V,9,FALSE)</f>
        <v>110 Rue de Blanchemaille</v>
      </c>
      <c r="Y253" s="26" t="str">
        <f>VLOOKUP($D253,records!$A:$V,4,FALSE)</f>
        <v>ROUBAIX</v>
      </c>
      <c r="Z253" s="26" t="str">
        <f>VLOOKUP($D253,records!$A:$V,7,FALSE)</f>
        <v>59100</v>
      </c>
      <c r="AA253" s="26" t="s">
        <v>1223</v>
      </c>
      <c r="AB253" s="26">
        <f>VLOOKUP(O253,'records (2)'!$A:$Z,8,FALSE)</f>
        <v>60</v>
      </c>
      <c r="AC253" s="26" t="b">
        <v>0</v>
      </c>
      <c r="AD253" s="26"/>
      <c r="AE253" s="26"/>
      <c r="AF253" s="26" t="str">
        <f>VLOOKUP($D253,records!$A:$V,13,FALSE)</f>
        <v>LA REDOUTE sasu</v>
      </c>
      <c r="AG253" s="26" t="s">
        <v>1226</v>
      </c>
      <c r="AH253" s="26" t="str">
        <f>VLOOKUP($D253,records!$A:$V,19,FALSE)</f>
        <v>invoices@redoute.com</v>
      </c>
      <c r="AI253" s="26" t="str">
        <f>VLOOKUP($D253,records!$A:$V,14,FALSE)</f>
        <v>.</v>
      </c>
      <c r="AJ253" s="26" t="str">
        <f>VLOOKUP($O253,'records (2)'!$A:$Z,14,FALSE)</f>
        <v>003IV000010sxGwYAI</v>
      </c>
      <c r="AK253" s="26" t="str">
        <f>VLOOKUP($O253,'records (2)'!$A:$Z,15,FALSE)</f>
        <v>Service Facturation LA REDOUTE</v>
      </c>
      <c r="AL253" s="26" t="str">
        <f>VLOOKUP($O253,'records (2)'!$A:$Z,10,FALSE)</f>
        <v>003IV000010tWWPYA2</v>
      </c>
      <c r="AM253" s="26" t="str">
        <f>VLOOKUP($O253,'records (2)'!$A:$Z,11,FALSE)</f>
        <v>Comptabilité LA REDOUTE</v>
      </c>
      <c r="AN253" s="18">
        <v>1</v>
      </c>
      <c r="AO253" s="4">
        <v>1000</v>
      </c>
      <c r="AP253" s="4">
        <v>1000</v>
      </c>
      <c r="AQ253" s="20">
        <v>0</v>
      </c>
      <c r="AR253" s="6" t="s">
        <v>1174</v>
      </c>
    </row>
    <row r="254" spans="1:44">
      <c r="A254" s="18" t="s">
        <v>210</v>
      </c>
      <c r="B254" s="18" t="s">
        <v>211</v>
      </c>
      <c r="C254" s="18" t="s">
        <v>212</v>
      </c>
      <c r="D254" s="18" t="s">
        <v>213</v>
      </c>
      <c r="E254" s="18" t="s">
        <v>16</v>
      </c>
      <c r="F254" s="18" t="s">
        <v>17</v>
      </c>
      <c r="G254" s="18"/>
      <c r="H254" s="19" t="s">
        <v>1216</v>
      </c>
      <c r="I254" s="23" t="s">
        <v>1217</v>
      </c>
      <c r="J254" s="24">
        <v>46023</v>
      </c>
      <c r="K254" s="24">
        <v>46387</v>
      </c>
      <c r="L254" s="24" t="s">
        <v>1218</v>
      </c>
      <c r="M254" s="24" t="s">
        <v>1219</v>
      </c>
      <c r="N254" s="24">
        <v>46023</v>
      </c>
      <c r="O254" s="24" t="str">
        <f>VLOOKUP(D254,records!$A:$U,10,FALSE)</f>
        <v>001SZ00000259uNYAQ</v>
      </c>
      <c r="P254" s="24" t="str">
        <f>VLOOKUP(D254,records!$A:$V,20,FALSE)</f>
        <v>FR50562008115</v>
      </c>
      <c r="Q254" s="24" t="str">
        <f>VLOOKUP(D254,records!$A:$V,12,FALSE)</f>
        <v>56 200 815 100 119</v>
      </c>
      <c r="R254" s="24" t="s">
        <v>1220</v>
      </c>
      <c r="S254" s="24" t="str">
        <f>VLOOKUP(D254,records!$A:$U,19,FALSE)</f>
        <v>Invoices_Imerys.FR@email.basware.com</v>
      </c>
      <c r="T254" s="26" t="s">
        <v>1221</v>
      </c>
      <c r="U254" s="26" t="s">
        <v>1222</v>
      </c>
      <c r="V254" s="26" t="str">
        <f>VLOOKUP($D254,records!$A:$V,3,FALSE)</f>
        <v>IMERYS SA</v>
      </c>
      <c r="W254" s="26"/>
      <c r="X254" s="26" t="str">
        <f>VLOOKUP($D254,records!$A:$V,9,FALSE)</f>
        <v>43 Quai de Grenelle</v>
      </c>
      <c r="Y254" s="26" t="str">
        <f>VLOOKUP($D254,records!$A:$V,4,FALSE)</f>
        <v>PARIS</v>
      </c>
      <c r="Z254" s="26" t="str">
        <f>VLOOKUP($D254,records!$A:$V,7,FALSE)</f>
        <v>75015</v>
      </c>
      <c r="AA254" s="26" t="s">
        <v>1223</v>
      </c>
      <c r="AB254" s="26">
        <f>VLOOKUP(O254,'records (2)'!$A:$Z,8,FALSE)</f>
        <v>60</v>
      </c>
      <c r="AC254" s="26" t="b">
        <f>VLOOKUP(O254,'records (4)'!$A:$C,3,FALSE)</f>
        <v>1</v>
      </c>
      <c r="AD254" s="26" t="s">
        <v>1225</v>
      </c>
      <c r="AE254" s="24">
        <v>46023</v>
      </c>
      <c r="AF254" s="26" t="str">
        <f>VLOOKUP($D254,records!$A:$V,13,FALSE)</f>
        <v>IMERYS SA</v>
      </c>
      <c r="AG254" s="26" t="s">
        <v>1226</v>
      </c>
      <c r="AH254" s="26" t="str">
        <f>VLOOKUP($D254,records!$A:$V,19,FALSE)</f>
        <v>Invoices_Imerys.FR@email.basware.com</v>
      </c>
      <c r="AI254" s="26" t="str">
        <f>VLOOKUP($D254,records!$A:$V,14,FALSE)</f>
        <v>.</v>
      </c>
      <c r="AJ254" s="26" t="str">
        <f>VLOOKUP($O254,'records (2)'!$A:$Z,14,FALSE)</f>
        <v>003IV000010su8CYAQ</v>
      </c>
      <c r="AK254" s="26" t="str">
        <f>VLOOKUP($O254,'records (2)'!$A:$Z,15,FALSE)</f>
        <v>Sophie PLANAS</v>
      </c>
      <c r="AL254" s="26" t="str">
        <f>VLOOKUP($O254,'records (2)'!$A:$Z,10,FALSE)</f>
        <v>003IV000010su8CYAQ</v>
      </c>
      <c r="AM254" s="26" t="str">
        <f>VLOOKUP($O254,'records (2)'!$A:$Z,11,FALSE)</f>
        <v>Sophie PLANAS</v>
      </c>
      <c r="AN254" s="18">
        <v>1</v>
      </c>
      <c r="AO254" s="4">
        <v>1000</v>
      </c>
      <c r="AP254" s="4">
        <v>1000</v>
      </c>
      <c r="AQ254" s="20">
        <v>0</v>
      </c>
      <c r="AR254" s="6">
        <v>0</v>
      </c>
    </row>
    <row r="255" spans="1:44">
      <c r="A255" s="18" t="s">
        <v>818</v>
      </c>
      <c r="B255" s="18" t="s">
        <v>819</v>
      </c>
      <c r="C255" s="18" t="s">
        <v>820</v>
      </c>
      <c r="D255" s="18" t="s">
        <v>821</v>
      </c>
      <c r="E255" s="18" t="s">
        <v>52</v>
      </c>
      <c r="F255" s="18" t="s">
        <v>53</v>
      </c>
      <c r="G255" s="18"/>
      <c r="H255" s="19" t="s">
        <v>1216</v>
      </c>
      <c r="I255" s="23" t="s">
        <v>1217</v>
      </c>
      <c r="J255" s="24">
        <v>46023</v>
      </c>
      <c r="K255" s="24">
        <v>46387</v>
      </c>
      <c r="L255" s="24" t="s">
        <v>1218</v>
      </c>
      <c r="M255" s="24" t="s">
        <v>1219</v>
      </c>
      <c r="N255" s="24">
        <v>46023</v>
      </c>
      <c r="O255" s="24" t="str">
        <f>VLOOKUP(D255,records!$A:$U,10,FALSE)</f>
        <v>0012p00004SLzfoAAD</v>
      </c>
      <c r="P255" s="24" t="str">
        <f>VLOOKUP(D255,records!$A:$V,20,FALSE)</f>
        <v>FR38378778542</v>
      </c>
      <c r="Q255" s="24" t="str">
        <f>VLOOKUP(D255,records!$A:$V,12,FALSE)</f>
        <v>37 877 854 200 662</v>
      </c>
      <c r="R255" s="24" t="s">
        <v>1220</v>
      </c>
      <c r="S255" s="24" t="str">
        <f>VLOOKUP(D255,records!$A:$U,19,FALSE)</f>
        <v>invoices_quadient@quadient.com</v>
      </c>
      <c r="T255" s="26" t="s">
        <v>1221</v>
      </c>
      <c r="U255" s="26" t="s">
        <v>1222</v>
      </c>
      <c r="V255" s="26" t="str">
        <f>VLOOKUP($D255,records!$A:$V,3,FALSE)</f>
        <v>QUADIENT FRANCE sas</v>
      </c>
      <c r="W255" s="26"/>
      <c r="X255" s="26" t="str">
        <f>VLOOKUP($D255,records!$A:$V,9,FALSE)</f>
        <v>7 Rue Henri Becquerel</v>
      </c>
      <c r="Y255" s="26" t="str">
        <f>VLOOKUP($D255,records!$A:$V,4,FALSE)</f>
        <v>RUEIL MALMAISON</v>
      </c>
      <c r="Z255" s="26" t="str">
        <f>VLOOKUP($D255,records!$A:$V,7,FALSE)</f>
        <v>92500</v>
      </c>
      <c r="AA255" s="26" t="s">
        <v>1223</v>
      </c>
      <c r="AB255" s="26">
        <f>VLOOKUP(O255,'records (2)'!$A:$Z,8,FALSE)</f>
        <v>30</v>
      </c>
      <c r="AC255" s="26" t="b">
        <v>0</v>
      </c>
      <c r="AD255" s="26"/>
      <c r="AE255" s="26"/>
      <c r="AF255" s="26" t="str">
        <f>VLOOKUP($D255,records!$A:$V,13,FALSE)</f>
        <v>QUADIENT FRANCE sas</v>
      </c>
      <c r="AG255" s="26" t="s">
        <v>1226</v>
      </c>
      <c r="AH255" s="26" t="str">
        <f>VLOOKUP($D255,records!$A:$V,19,FALSE)</f>
        <v>invoices_quadient@quadient.com</v>
      </c>
      <c r="AI255" s="26" t="str">
        <f>VLOOKUP($D255,records!$A:$V,14,FALSE)</f>
        <v>.</v>
      </c>
      <c r="AJ255" s="26" t="str">
        <f>VLOOKUP($O255,'records (2)'!$A:$Z,14,FALSE)</f>
        <v>003IV000010tRWEYA2</v>
      </c>
      <c r="AK255" s="26" t="str">
        <f>VLOOKUP($O255,'records (2)'!$A:$Z,15,FALSE)</f>
        <v>Valérie TRAN</v>
      </c>
      <c r="AL255" s="26" t="str">
        <f>VLOOKUP($O255,'records (2)'!$A:$Z,10,FALSE)</f>
        <v>003IV000010tRWEYA2</v>
      </c>
      <c r="AM255" s="26" t="str">
        <f>VLOOKUP($O255,'records (2)'!$A:$Z,11,FALSE)</f>
        <v>Valérie TRAN</v>
      </c>
      <c r="AN255" s="18">
        <v>1</v>
      </c>
      <c r="AO255" s="4">
        <v>1000</v>
      </c>
      <c r="AP255" s="4">
        <v>1000</v>
      </c>
      <c r="AQ255" s="20">
        <v>0</v>
      </c>
      <c r="AR255" s="6">
        <v>0</v>
      </c>
    </row>
    <row r="256" spans="1:44">
      <c r="A256" s="18" t="s">
        <v>641</v>
      </c>
      <c r="B256" s="18" t="s">
        <v>642</v>
      </c>
      <c r="C256" s="18" t="s">
        <v>643</v>
      </c>
      <c r="D256" s="18" t="s">
        <v>644</v>
      </c>
      <c r="E256" s="18" t="s">
        <v>52</v>
      </c>
      <c r="F256" s="18" t="s">
        <v>53</v>
      </c>
      <c r="G256" s="18"/>
      <c r="H256" s="19" t="s">
        <v>1216</v>
      </c>
      <c r="I256" s="23" t="s">
        <v>1217</v>
      </c>
      <c r="J256" s="24">
        <v>46023</v>
      </c>
      <c r="K256" s="24">
        <v>46387</v>
      </c>
      <c r="L256" s="24" t="s">
        <v>1218</v>
      </c>
      <c r="M256" s="24" t="s">
        <v>1219</v>
      </c>
      <c r="N256" s="24">
        <v>46023</v>
      </c>
      <c r="O256" s="24" t="str">
        <f>VLOOKUP(D256,records!$A:$U,10,FALSE)</f>
        <v>001SZ000000nWOXYA2</v>
      </c>
      <c r="P256" s="24" t="str">
        <f>VLOOKUP(D256,records!$A:$V,20,FALSE)</f>
        <v>FR20955508817</v>
      </c>
      <c r="Q256" s="24" t="str">
        <f>VLOOKUP(D256,records!$A:$V,12,FALSE)</f>
        <v>95 550 881 700 033</v>
      </c>
      <c r="R256" s="24" t="s">
        <v>1220</v>
      </c>
      <c r="S256" s="24" t="str">
        <f>VLOOKUP(D256,records!$A:$U,19,FALSE)</f>
        <v>invoices-duchavany@gindre.com</v>
      </c>
      <c r="T256" s="26" t="s">
        <v>1221</v>
      </c>
      <c r="U256" s="26" t="s">
        <v>1222</v>
      </c>
      <c r="V256" s="26" t="str">
        <f>VLOOKUP($D256,records!$A:$V,3,FALSE)</f>
        <v>GINDRE DUCHAVANY</v>
      </c>
      <c r="W256" s="26"/>
      <c r="X256" s="26" t="str">
        <f>VLOOKUP($D256,records!$A:$V,9,FALSE)</f>
        <v>31 rue Giffard</v>
      </c>
      <c r="Y256" s="26" t="str">
        <f>VLOOKUP($D256,records!$A:$V,4,FALSE)</f>
        <v>PONT DE CHERUY</v>
      </c>
      <c r="Z256" s="26" t="str">
        <f>VLOOKUP($D256,records!$A:$V,7,FALSE)</f>
        <v>38230</v>
      </c>
      <c r="AA256" s="26" t="s">
        <v>1223</v>
      </c>
      <c r="AB256" s="26">
        <f>VLOOKUP(O256,'records (2)'!$A:$Z,8,FALSE)</f>
        <v>30</v>
      </c>
      <c r="AC256" s="26" t="b">
        <v>0</v>
      </c>
      <c r="AD256" s="26"/>
      <c r="AE256" s="26"/>
      <c r="AF256" s="26" t="str">
        <f>VLOOKUP($D256,records!$A:$V,13,FALSE)</f>
        <v>GINDRE DUCHAVANY</v>
      </c>
      <c r="AG256" s="26" t="s">
        <v>1226</v>
      </c>
      <c r="AH256" s="26" t="str">
        <f>VLOOKUP($D256,records!$A:$V,19,FALSE)</f>
        <v>invoices-duchavany@gindre.com</v>
      </c>
      <c r="AI256" s="26" t="str">
        <f>VLOOKUP($D256,records!$A:$V,14,FALSE)</f>
        <v>.</v>
      </c>
      <c r="AJ256" s="26" t="str">
        <f>VLOOKUP($O256,'records (2)'!$A:$Z,14,FALSE)</f>
        <v>003IV000010tRWDYA2</v>
      </c>
      <c r="AK256" s="26" t="str">
        <f>VLOOKUP($O256,'records (2)'!$A:$Z,15,FALSE)</f>
        <v>Myriam CONTARIN</v>
      </c>
      <c r="AL256" s="26" t="str">
        <f>VLOOKUP($O256,'records (2)'!$A:$Z,10,FALSE)</f>
        <v>003IV000010tRWDYA2</v>
      </c>
      <c r="AM256" s="26" t="str">
        <f>VLOOKUP($O256,'records (2)'!$A:$Z,11,FALSE)</f>
        <v>Myriam CONTARIN</v>
      </c>
      <c r="AN256" s="18">
        <v>1</v>
      </c>
      <c r="AO256" s="4">
        <v>1500</v>
      </c>
      <c r="AP256" s="4">
        <v>1500</v>
      </c>
      <c r="AQ256" s="20">
        <v>0</v>
      </c>
      <c r="AR256" s="6">
        <v>0</v>
      </c>
    </row>
    <row r="257" spans="1:44">
      <c r="A257" s="18" t="s">
        <v>557</v>
      </c>
      <c r="B257" s="18" t="s">
        <v>558</v>
      </c>
      <c r="C257" s="18" t="s">
        <v>559</v>
      </c>
      <c r="D257" s="18" t="s">
        <v>560</v>
      </c>
      <c r="E257" s="18" t="s">
        <v>52</v>
      </c>
      <c r="F257" s="18" t="s">
        <v>53</v>
      </c>
      <c r="G257" s="18"/>
      <c r="H257" s="19" t="s">
        <v>1216</v>
      </c>
      <c r="I257" s="23" t="s">
        <v>1217</v>
      </c>
      <c r="J257" s="24">
        <v>46023</v>
      </c>
      <c r="K257" s="24">
        <v>46387</v>
      </c>
      <c r="L257" s="24" t="s">
        <v>1218</v>
      </c>
      <c r="M257" s="24" t="s">
        <v>1219</v>
      </c>
      <c r="N257" s="24">
        <v>46023</v>
      </c>
      <c r="O257" s="24" t="str">
        <f>VLOOKUP(D257,records!$A:$U,10,FALSE)</f>
        <v>0012p00004NMsSvAAL</v>
      </c>
      <c r="P257" s="24" t="str">
        <f>VLOOKUP(D257,records!$A:$V,20,FALSE)</f>
        <v>FR94322096934</v>
      </c>
      <c r="Q257" s="24" t="str">
        <f>VLOOKUP(D257,records!$A:$V,12,FALSE)</f>
        <v>32 209 693 400 029</v>
      </c>
      <c r="R257" s="24" t="s">
        <v>1220</v>
      </c>
      <c r="S257" s="24" t="str">
        <f>VLOOKUP(D257,records!$A:$U,19,FALSE)</f>
        <v>isabelle.bruneel@soflacobat.fr</v>
      </c>
      <c r="T257" s="26" t="s">
        <v>1221</v>
      </c>
      <c r="U257" s="26" t="s">
        <v>1222</v>
      </c>
      <c r="V257" s="26" t="str">
        <f>VLOOKUP($D257,records!$A:$V,3,FALSE)</f>
        <v>SOFLACOBAT sas</v>
      </c>
      <c r="W257" s="26"/>
      <c r="X257" s="26" t="str">
        <f>VLOOKUP($D257,records!$A:$V,9,FALSE)</f>
        <v>940 Route de Strazeele</v>
      </c>
      <c r="Y257" s="26" t="str">
        <f>VLOOKUP($D257,records!$A:$V,4,FALSE)</f>
        <v>CAESTRE</v>
      </c>
      <c r="Z257" s="26" t="str">
        <f>VLOOKUP($D257,records!$A:$V,7,FALSE)</f>
        <v>59190</v>
      </c>
      <c r="AA257" s="26" t="s">
        <v>1223</v>
      </c>
      <c r="AB257" s="26">
        <f>VLOOKUP(O257,'records (2)'!$A:$Z,8,FALSE)</f>
        <v>30</v>
      </c>
      <c r="AC257" s="26" t="b">
        <v>0</v>
      </c>
      <c r="AD257" s="26"/>
      <c r="AE257" s="26"/>
      <c r="AF257" s="26" t="str">
        <f>VLOOKUP($D257,records!$A:$V,13,FALSE)</f>
        <v>SOFLACOBAT sas</v>
      </c>
      <c r="AG257" s="26" t="s">
        <v>1226</v>
      </c>
      <c r="AH257" s="26" t="str">
        <f>VLOOKUP($D257,records!$A:$V,19,FALSE)</f>
        <v>isabelle.bruneel@soflacobat.fr</v>
      </c>
      <c r="AI257" s="26" t="str">
        <f>VLOOKUP($D257,records!$A:$V,14,FALSE)</f>
        <v>.</v>
      </c>
      <c r="AJ257" s="26" t="str">
        <f>VLOOKUP($O257,'records (2)'!$A:$Z,14,FALSE)</f>
        <v>003IV000010sxFiYAI</v>
      </c>
      <c r="AK257" s="26" t="str">
        <f>VLOOKUP($O257,'records (2)'!$A:$Z,15,FALSE)</f>
        <v>Isabelle BRUNEEL</v>
      </c>
      <c r="AL257" s="26" t="str">
        <f>VLOOKUP($O257,'records (2)'!$A:$Z,10,FALSE)</f>
        <v>003IV000010tPaXYAU</v>
      </c>
      <c r="AM257" s="26" t="str">
        <f>VLOOKUP($O257,'records (2)'!$A:$Z,11,FALSE)</f>
        <v>Manon PARENT</v>
      </c>
      <c r="AN257" s="18">
        <v>1</v>
      </c>
      <c r="AO257" s="4">
        <v>2000</v>
      </c>
      <c r="AP257" s="4">
        <v>2000</v>
      </c>
      <c r="AQ257" s="20">
        <v>0</v>
      </c>
      <c r="AR257" s="6">
        <v>0</v>
      </c>
    </row>
    <row r="258" spans="1:44">
      <c r="A258" s="18" t="s">
        <v>717</v>
      </c>
      <c r="B258" s="18" t="s">
        <v>718</v>
      </c>
      <c r="C258" s="18" t="s">
        <v>719</v>
      </c>
      <c r="D258" s="18" t="s">
        <v>720</v>
      </c>
      <c r="E258" s="18" t="s">
        <v>52</v>
      </c>
      <c r="F258" s="18" t="s">
        <v>53</v>
      </c>
      <c r="G258" s="18"/>
      <c r="H258" s="19" t="s">
        <v>1216</v>
      </c>
      <c r="I258" s="23" t="s">
        <v>1217</v>
      </c>
      <c r="J258" s="24">
        <v>46023</v>
      </c>
      <c r="K258" s="24">
        <v>46387</v>
      </c>
      <c r="L258" s="24" t="s">
        <v>1218</v>
      </c>
      <c r="M258" s="24" t="s">
        <v>1219</v>
      </c>
      <c r="N258" s="24">
        <v>46023</v>
      </c>
      <c r="O258" s="24" t="str">
        <f>VLOOKUP(D258,records!$A:$U,10,FALSE)</f>
        <v>001SZ0000010qFnYAI</v>
      </c>
      <c r="P258" s="24" t="str">
        <f>VLOOKUP(D258,records!$A:$V,20,FALSE)</f>
        <v>FR39409065984</v>
      </c>
      <c r="Q258" s="24" t="str">
        <f>VLOOKUP(D258,records!$A:$V,12,FALSE)</f>
        <v>40 906 598 400 018</v>
      </c>
      <c r="R258" s="24" t="s">
        <v>1220</v>
      </c>
      <c r="S258" s="24" t="str">
        <f>VLOOKUP(D258,records!$A:$U,19,FALSE)</f>
        <v>j.godof@lacroix.group</v>
      </c>
      <c r="T258" s="26" t="s">
        <v>1221</v>
      </c>
      <c r="U258" s="26" t="s">
        <v>1222</v>
      </c>
      <c r="V258" s="26" t="str">
        <f>VLOOKUP($D258,records!$A:$V,3,FALSE)</f>
        <v>KELIAS sasu</v>
      </c>
      <c r="W258" s="26"/>
      <c r="X258" s="26" t="str">
        <f>VLOOKUP($D258,records!$A:$V,9,FALSE)</f>
        <v>8 Impasse du Bourrelier - 
 BP 30004</v>
      </c>
      <c r="Y258" s="26" t="str">
        <f>VLOOKUP($D258,records!$A:$V,4,FALSE)</f>
        <v>SAINT HERBLAIN CEDEX</v>
      </c>
      <c r="Z258" s="26" t="str">
        <f>VLOOKUP($D258,records!$A:$V,7,FALSE)</f>
        <v>44801</v>
      </c>
      <c r="AA258" s="26" t="s">
        <v>1223</v>
      </c>
      <c r="AB258" s="26">
        <f>VLOOKUP(O258,'records (2)'!$A:$Z,8,FALSE)</f>
        <v>30</v>
      </c>
      <c r="AC258" s="26" t="b">
        <v>0</v>
      </c>
      <c r="AD258" s="26"/>
      <c r="AE258" s="26"/>
      <c r="AF258" s="26" t="str">
        <f>VLOOKUP($D258,records!$A:$V,13,FALSE)</f>
        <v>KELIAS sasu</v>
      </c>
      <c r="AG258" s="26" t="s">
        <v>1226</v>
      </c>
      <c r="AH258" s="26" t="str">
        <f>VLOOKUP($D258,records!$A:$V,19,FALSE)</f>
        <v>j.godof@lacroix.group</v>
      </c>
      <c r="AI258" s="26" t="str">
        <f>VLOOKUP($D258,records!$A:$V,14,FALSE)</f>
        <v>.</v>
      </c>
      <c r="AJ258" s="26" t="str">
        <f>VLOOKUP($O258,'records (2)'!$A:$Z,14,FALSE)</f>
        <v>003IV000010tSmaYAE</v>
      </c>
      <c r="AK258" s="26" t="str">
        <f>VLOOKUP($O258,'records (2)'!$A:$Z,15,FALSE)</f>
        <v>Yannick DEPASSE</v>
      </c>
      <c r="AL258" s="26" t="str">
        <f>VLOOKUP($O258,'records (2)'!$A:$Z,10,FALSE)</f>
        <v>003IV000010tSmaYAE</v>
      </c>
      <c r="AM258" s="26" t="str">
        <f>VLOOKUP($O258,'records (2)'!$A:$Z,11,FALSE)</f>
        <v>Yannick DEPASSE</v>
      </c>
      <c r="AN258" s="18">
        <v>1</v>
      </c>
      <c r="AO258" s="4">
        <v>500</v>
      </c>
      <c r="AP258" s="4">
        <v>500</v>
      </c>
      <c r="AQ258" s="20">
        <v>0</v>
      </c>
      <c r="AR258" s="6">
        <v>0</v>
      </c>
    </row>
    <row r="259" spans="1:44">
      <c r="A259" s="18" t="s">
        <v>1115</v>
      </c>
      <c r="B259" s="18" t="s">
        <v>1116</v>
      </c>
      <c r="C259" s="18" t="s">
        <v>1116</v>
      </c>
      <c r="D259" s="18" t="s">
        <v>1117</v>
      </c>
      <c r="E259" s="18" t="s">
        <v>52</v>
      </c>
      <c r="F259" s="18" t="s">
        <v>53</v>
      </c>
      <c r="G259" s="18"/>
      <c r="H259" s="19" t="s">
        <v>1216</v>
      </c>
      <c r="I259" s="23" t="s">
        <v>1217</v>
      </c>
      <c r="J259" s="24">
        <v>46023</v>
      </c>
      <c r="K259" s="24">
        <v>46387</v>
      </c>
      <c r="L259" s="24" t="s">
        <v>1218</v>
      </c>
      <c r="M259" s="24" t="s">
        <v>1219</v>
      </c>
      <c r="N259" s="24">
        <v>46023</v>
      </c>
      <c r="O259" s="24" t="str">
        <f>VLOOKUP(D259,records!$A:$U,10,FALSE)</f>
        <v>001SZ00000WbzOgYAJ</v>
      </c>
      <c r="P259" s="24" t="str">
        <f>VLOOKUP(D259,records!$A:$V,20,FALSE)</f>
        <v>FR52401369491</v>
      </c>
      <c r="Q259" s="24" t="str">
        <f>VLOOKUP(D259,records!$A:$V,12,FALSE)</f>
        <v>32 543 712 700 039</v>
      </c>
      <c r="R259" s="24" t="s">
        <v>1220</v>
      </c>
      <c r="S259" s="24" t="str">
        <f>VLOOKUP(D259,records!$A:$U,19,FALSE)</f>
        <v>jdagoreau@savoy-moulage.com</v>
      </c>
      <c r="T259" s="26" t="s">
        <v>1221</v>
      </c>
      <c r="U259" s="26" t="s">
        <v>1222</v>
      </c>
      <c r="V259" s="26" t="str">
        <f>VLOOKUP($D259,records!$A:$V,3,FALSE)</f>
        <v>SAVOY MOULAGE sasu</v>
      </c>
      <c r="W259" s="26"/>
      <c r="X259" s="26" t="str">
        <f>VLOOKUP($D259,records!$A:$V,9,FALSE)</f>
        <v>52 Rue Guillaume Fichet</v>
      </c>
      <c r="Y259" s="26" t="str">
        <f>VLOOKUP($D259,records!$A:$V,4,FALSE)</f>
        <v>CLUSES</v>
      </c>
      <c r="Z259" s="26" t="str">
        <f>VLOOKUP($D259,records!$A:$V,7,FALSE)</f>
        <v>74300</v>
      </c>
      <c r="AA259" s="26" t="s">
        <v>1223</v>
      </c>
      <c r="AB259" s="26">
        <f>VLOOKUP(O259,'records (2)'!$A:$Z,8,FALSE)</f>
        <v>30</v>
      </c>
      <c r="AC259" s="26" t="b">
        <v>0</v>
      </c>
      <c r="AD259" s="26"/>
      <c r="AE259" s="26"/>
      <c r="AF259" s="26" t="str">
        <f>VLOOKUP($D259,records!$A:$V,13,FALSE)</f>
        <v>SAVOY MOULAGE sasu</v>
      </c>
      <c r="AG259" s="26" t="s">
        <v>1226</v>
      </c>
      <c r="AH259" s="26" t="str">
        <f>VLOOKUP($D259,records!$A:$V,19,FALSE)</f>
        <v>jdagoreau@savoy-moulage.com</v>
      </c>
      <c r="AI259" s="26" t="str">
        <f>VLOOKUP($D259,records!$A:$V,14,FALSE)</f>
        <v>.</v>
      </c>
      <c r="AJ259" s="26" t="str">
        <f>VLOOKUP($O259,'records (2)'!$A:$Z,14,FALSE)</f>
        <v>003IV000010t9x4YAA</v>
      </c>
      <c r="AK259" s="26" t="str">
        <f>VLOOKUP($O259,'records (2)'!$A:$Z,15,FALSE)</f>
        <v>Justine DAGOREAU</v>
      </c>
      <c r="AL259" s="26" t="str">
        <f>VLOOKUP($O259,'records (2)'!$A:$Z,10,FALSE)</f>
        <v>003IV000010t9x4YAA</v>
      </c>
      <c r="AM259" s="26" t="str">
        <f>VLOOKUP($O259,'records (2)'!$A:$Z,11,FALSE)</f>
        <v>Justine DAGOREAU</v>
      </c>
      <c r="AN259" s="18">
        <v>1</v>
      </c>
      <c r="AO259" s="4">
        <v>500</v>
      </c>
      <c r="AP259" s="4">
        <v>500</v>
      </c>
      <c r="AQ259" s="20">
        <v>0</v>
      </c>
      <c r="AR259" s="6">
        <v>0</v>
      </c>
    </row>
    <row r="260" spans="1:44">
      <c r="A260" s="18" t="s">
        <v>136</v>
      </c>
      <c r="B260" s="18" t="s">
        <v>137</v>
      </c>
      <c r="C260" s="18" t="s">
        <v>138</v>
      </c>
      <c r="D260" s="18" t="s">
        <v>139</v>
      </c>
      <c r="E260" s="18" t="s">
        <v>16</v>
      </c>
      <c r="F260" s="18" t="s">
        <v>17</v>
      </c>
      <c r="G260" s="18"/>
      <c r="H260" s="19" t="s">
        <v>1216</v>
      </c>
      <c r="I260" s="23" t="s">
        <v>1217</v>
      </c>
      <c r="J260" s="24">
        <v>46023</v>
      </c>
      <c r="K260" s="24">
        <v>46387</v>
      </c>
      <c r="L260" s="24" t="s">
        <v>1218</v>
      </c>
      <c r="M260" s="24" t="s">
        <v>1219</v>
      </c>
      <c r="N260" s="24">
        <v>46023</v>
      </c>
      <c r="O260" s="24" t="str">
        <f>VLOOKUP(D260,records!$A:$U,10,FALSE)</f>
        <v>0012p00004MYY3qAAH</v>
      </c>
      <c r="P260" s="24" t="str">
        <f>VLOOKUP(D260,records!$A:$V,20,FALSE)</f>
        <v>FR60337957328</v>
      </c>
      <c r="Q260" s="24" t="str">
        <f>VLOOKUP(D260,records!$A:$V,12,FALSE)</f>
        <v>33 795 732 800 301</v>
      </c>
      <c r="R260" s="24" t="s">
        <v>1220</v>
      </c>
      <c r="S260" s="24" t="str">
        <f>VLOOKUP(D260,records!$A:$U,19,FALSE)</f>
        <v>jeremy.rosamond@sa-deneuville.fr</v>
      </c>
      <c r="T260" s="26" t="s">
        <v>1221</v>
      </c>
      <c r="U260" s="26" t="s">
        <v>1222</v>
      </c>
      <c r="V260" s="26" t="str">
        <f>VLOOKUP($D260,records!$A:$V,3,FALSE)</f>
        <v>DE NEUVILLE sas</v>
      </c>
      <c r="W260" s="26"/>
      <c r="X260" s="26" t="str">
        <f>VLOOKUP($D260,records!$A:$V,9,FALSE)</f>
        <v>8 promenade de la Chocolaterie</v>
      </c>
      <c r="Y260" s="26" t="str">
        <f>VLOOKUP($D260,records!$A:$V,4,FALSE)</f>
        <v>NOISEL</v>
      </c>
      <c r="Z260" s="26" t="str">
        <f>VLOOKUP($D260,records!$A:$V,7,FALSE)</f>
        <v>77186</v>
      </c>
      <c r="AA260" s="26" t="s">
        <v>1223</v>
      </c>
      <c r="AB260" s="26">
        <f>VLOOKUP(O260,'records (2)'!$A:$Z,8,FALSE)</f>
        <v>30</v>
      </c>
      <c r="AC260" s="26" t="b">
        <v>0</v>
      </c>
      <c r="AD260" s="26"/>
      <c r="AE260" s="26"/>
      <c r="AF260" s="26" t="str">
        <f>VLOOKUP($D260,records!$A:$V,13,FALSE)</f>
        <v>DE NEUVILLE sas</v>
      </c>
      <c r="AG260" s="26" t="s">
        <v>1226</v>
      </c>
      <c r="AH260" s="26" t="str">
        <f>VLOOKUP($D260,records!$A:$V,19,FALSE)</f>
        <v>jeremy.rosamond@sa-deneuville.fr</v>
      </c>
      <c r="AI260" s="26" t="str">
        <f>VLOOKUP($D260,records!$A:$V,14,FALSE)</f>
        <v>.</v>
      </c>
      <c r="AJ260" s="26" t="str">
        <f>VLOOKUP($O260,'records (2)'!$A:$Z,14,FALSE)</f>
        <v>003IV000010t2AgYAI</v>
      </c>
      <c r="AK260" s="26" t="str">
        <f>VLOOKUP($O260,'records (2)'!$A:$Z,15,FALSE)</f>
        <v>Jérémy ROSAMOND</v>
      </c>
      <c r="AL260" s="26" t="str">
        <f>VLOOKUP($O260,'records (2)'!$A:$Z,10,FALSE)</f>
        <v>003IV000010t2AgYAI</v>
      </c>
      <c r="AM260" s="26" t="str">
        <f>VLOOKUP($O260,'records (2)'!$A:$Z,11,FALSE)</f>
        <v>Jérémy ROSAMOND</v>
      </c>
      <c r="AN260" s="18">
        <v>1</v>
      </c>
      <c r="AO260" s="4">
        <v>1000</v>
      </c>
      <c r="AP260" s="4">
        <v>1000</v>
      </c>
      <c r="AQ260" s="20">
        <v>0</v>
      </c>
      <c r="AR260" s="6">
        <v>0</v>
      </c>
    </row>
    <row r="261" spans="1:44">
      <c r="A261" s="18" t="s">
        <v>822</v>
      </c>
      <c r="B261" s="18" t="s">
        <v>823</v>
      </c>
      <c r="C261" s="18" t="s">
        <v>823</v>
      </c>
      <c r="D261" s="18" t="s">
        <v>824</v>
      </c>
      <c r="E261" s="18" t="s">
        <v>52</v>
      </c>
      <c r="F261" s="18" t="s">
        <v>53</v>
      </c>
      <c r="G261" s="18"/>
      <c r="H261" s="19" t="s">
        <v>1216</v>
      </c>
      <c r="I261" s="23" t="s">
        <v>1217</v>
      </c>
      <c r="J261" s="24">
        <v>46023</v>
      </c>
      <c r="K261" s="24">
        <v>46387</v>
      </c>
      <c r="L261" s="24" t="s">
        <v>1218</v>
      </c>
      <c r="M261" s="24" t="s">
        <v>1219</v>
      </c>
      <c r="N261" s="24">
        <v>46023</v>
      </c>
      <c r="O261" s="24" t="str">
        <f>VLOOKUP(D261,records!$A:$U,10,FALSE)</f>
        <v>0012p00004S28HsAAJ</v>
      </c>
      <c r="P261" s="24" t="str">
        <f>VLOOKUP(D261,records!$A:$V,20,FALSE)</f>
        <v>FR42403010663</v>
      </c>
      <c r="Q261" s="24" t="str">
        <f>VLOOKUP(D261,records!$A:$V,12,FALSE)</f>
        <v>40 301 066 300 025</v>
      </c>
      <c r="R261" s="24" t="s">
        <v>1220</v>
      </c>
      <c r="S261" s="24" t="str">
        <f>VLOOKUP(D261,records!$A:$U,19,FALSE)</f>
        <v>jerome.cottereau@qualiform.pro</v>
      </c>
      <c r="T261" s="26" t="s">
        <v>1221</v>
      </c>
      <c r="U261" s="26" t="s">
        <v>1222</v>
      </c>
      <c r="V261" s="26" t="str">
        <f>VLOOKUP($D261,records!$A:$V,3,FALSE)</f>
        <v>QUALIFORM sasu</v>
      </c>
      <c r="W261" s="26"/>
      <c r="X261" s="26" t="str">
        <f>VLOOKUP($D261,records!$A:$V,9,FALSE)</f>
        <v>Route d'Arfontaine - Parc Industriel Ouest Veyziat</v>
      </c>
      <c r="Y261" s="26" t="str">
        <f>VLOOKUP($D261,records!$A:$V,4,FALSE)</f>
        <v>OYONNAX</v>
      </c>
      <c r="Z261" s="26" t="str">
        <f>VLOOKUP($D261,records!$A:$V,7,FALSE)</f>
        <v>1100</v>
      </c>
      <c r="AA261" s="26" t="s">
        <v>1223</v>
      </c>
      <c r="AB261" s="26">
        <f>VLOOKUP(O261,'records (2)'!$A:$Z,8,FALSE)</f>
        <v>30</v>
      </c>
      <c r="AC261" s="26" t="b">
        <v>0</v>
      </c>
      <c r="AD261" s="26"/>
      <c r="AE261" s="26"/>
      <c r="AF261" s="26" t="str">
        <f>VLOOKUP($D261,records!$A:$V,13,FALSE)</f>
        <v>QUALIFORM sasu</v>
      </c>
      <c r="AG261" s="26" t="s">
        <v>1226</v>
      </c>
      <c r="AH261" s="26" t="str">
        <f>VLOOKUP($D261,records!$A:$V,19,FALSE)</f>
        <v>jerome.cottereau@qualiform.pro</v>
      </c>
      <c r="AI261" s="26" t="str">
        <f>VLOOKUP($D261,records!$A:$V,14,FALSE)</f>
        <v>.</v>
      </c>
      <c r="AJ261" s="26" t="str">
        <f>VLOOKUP($O261,'records (2)'!$A:$Z,14,FALSE)</f>
        <v>003IV000010su89YAA</v>
      </c>
      <c r="AK261" s="26" t="str">
        <f>VLOOKUP($O261,'records (2)'!$A:$Z,15,FALSE)</f>
        <v>Jérôme COTTEREAU</v>
      </c>
      <c r="AL261" s="26" t="str">
        <f>VLOOKUP($O261,'records (2)'!$A:$Z,10,FALSE)</f>
        <v>003IV000010su89YAA</v>
      </c>
      <c r="AM261" s="26" t="str">
        <f>VLOOKUP($O261,'records (2)'!$A:$Z,11,FALSE)</f>
        <v>Jérôme COTTEREAU</v>
      </c>
      <c r="AN261" s="18">
        <v>1</v>
      </c>
      <c r="AO261" s="4">
        <v>500</v>
      </c>
      <c r="AP261" s="4">
        <v>500</v>
      </c>
      <c r="AQ261" s="20">
        <v>0</v>
      </c>
      <c r="AR261" s="6">
        <v>0</v>
      </c>
    </row>
    <row r="262" spans="1:44">
      <c r="A262" s="18" t="s">
        <v>78</v>
      </c>
      <c r="B262" s="18" t="s">
        <v>79</v>
      </c>
      <c r="C262" s="18" t="s">
        <v>79</v>
      </c>
      <c r="D262" s="18" t="s">
        <v>80</v>
      </c>
      <c r="E262" s="18" t="s">
        <v>16</v>
      </c>
      <c r="F262" s="18" t="s">
        <v>17</v>
      </c>
      <c r="G262" s="18"/>
      <c r="H262" s="19" t="s">
        <v>1216</v>
      </c>
      <c r="I262" s="23" t="s">
        <v>1217</v>
      </c>
      <c r="J262" s="24">
        <v>46023</v>
      </c>
      <c r="K262" s="24">
        <v>46387</v>
      </c>
      <c r="L262" s="24" t="s">
        <v>1218</v>
      </c>
      <c r="M262" s="24" t="s">
        <v>1219</v>
      </c>
      <c r="N262" s="24">
        <v>46023</v>
      </c>
      <c r="O262" s="24" t="str">
        <f>VLOOKUP(D262,records!$A:$U,10,FALSE)</f>
        <v>0012p00004RpK42AAF</v>
      </c>
      <c r="P262" s="24" t="str">
        <f>VLOOKUP(D262,records!$A:$V,20,FALSE)</f>
        <v>FR88493124713</v>
      </c>
      <c r="Q262" s="24" t="str">
        <f>VLOOKUP(D262,records!$A:$V,12,FALSE)</f>
        <v>49 312 471 300 014</v>
      </c>
      <c r="R262" s="24" t="s">
        <v>1220</v>
      </c>
      <c r="S262" s="24" t="str">
        <f>VLOOKUP(D262,records!$A:$U,19,FALSE)</f>
        <v>julia.rioult@axe-group.com</v>
      </c>
      <c r="T262" s="26" t="s">
        <v>1221</v>
      </c>
      <c r="U262" s="26" t="s">
        <v>1222</v>
      </c>
      <c r="V262" s="26" t="str">
        <f>VLOOKUP($D262,records!$A:$V,3,FALSE)</f>
        <v>AXE GROUP sas</v>
      </c>
      <c r="W262" s="26" t="str">
        <f>IFERROR(VLOOKUP($D262,records!$A:$V,6,FALSE),)</f>
        <v>Service RH</v>
      </c>
      <c r="X262" s="26" t="str">
        <f>VLOOKUP($D262,records!$A:$V,9,FALSE)</f>
        <v>661 rue de la Libération</v>
      </c>
      <c r="Y262" s="26" t="str">
        <f>VLOOKUP($D262,records!$A:$V,4,FALSE)</f>
        <v>SANT DESIR</v>
      </c>
      <c r="Z262" s="26" t="str">
        <f>VLOOKUP($D262,records!$A:$V,7,FALSE)</f>
        <v>14100</v>
      </c>
      <c r="AA262" s="26" t="s">
        <v>1223</v>
      </c>
      <c r="AB262" s="26">
        <f>VLOOKUP(O262,'records (2)'!$A:$Z,8,FALSE)</f>
        <v>30</v>
      </c>
      <c r="AC262" s="26" t="b">
        <v>0</v>
      </c>
      <c r="AD262" s="26"/>
      <c r="AE262" s="26"/>
      <c r="AF262" s="26" t="str">
        <f>VLOOKUP($D262,records!$A:$V,13,FALSE)</f>
        <v>AXE GROUP sas</v>
      </c>
      <c r="AG262" s="26" t="s">
        <v>1226</v>
      </c>
      <c r="AH262" s="26" t="str">
        <f>VLOOKUP($D262,records!$A:$V,19,FALSE)</f>
        <v>julia.rioult@axe-group.com</v>
      </c>
      <c r="AI262" s="26" t="str">
        <f>VLOOKUP($D262,records!$A:$V,14,FALSE)</f>
        <v>.</v>
      </c>
      <c r="AJ262" s="26" t="str">
        <f>VLOOKUP($O262,'records (2)'!$A:$Z,14,FALSE)</f>
        <v>003IV000010tQHlYAM</v>
      </c>
      <c r="AK262" s="26" t="str">
        <f>VLOOKUP($O262,'records (2)'!$A:$Z,15,FALSE)</f>
        <v>Julia RIOULT</v>
      </c>
      <c r="AL262" s="26" t="str">
        <f>VLOOKUP($O262,'records (2)'!$A:$Z,10,FALSE)</f>
        <v>003IV000010su8JYAQ</v>
      </c>
      <c r="AM262" s="26" t="str">
        <f>VLOOKUP($O262,'records (2)'!$A:$Z,11,FALSE)</f>
        <v>Maxime GOUPIL - (factures.metal)</v>
      </c>
      <c r="AN262" s="18">
        <v>1</v>
      </c>
      <c r="AO262" s="4">
        <v>1000</v>
      </c>
      <c r="AP262" s="4">
        <v>1000</v>
      </c>
      <c r="AQ262" s="20">
        <v>0</v>
      </c>
      <c r="AR262" s="6">
        <v>0</v>
      </c>
    </row>
    <row r="263" spans="1:44">
      <c r="A263" s="18" t="s">
        <v>626</v>
      </c>
      <c r="B263" s="18" t="s">
        <v>627</v>
      </c>
      <c r="C263" s="18" t="s">
        <v>627</v>
      </c>
      <c r="D263" s="18" t="s">
        <v>628</v>
      </c>
      <c r="E263" s="18" t="s">
        <v>52</v>
      </c>
      <c r="F263" s="18" t="s">
        <v>53</v>
      </c>
      <c r="G263" s="18"/>
      <c r="H263" s="19" t="s">
        <v>1216</v>
      </c>
      <c r="I263" s="23" t="s">
        <v>1217</v>
      </c>
      <c r="J263" s="24">
        <v>46023</v>
      </c>
      <c r="K263" s="24">
        <v>46387</v>
      </c>
      <c r="L263" s="24" t="s">
        <v>1218</v>
      </c>
      <c r="M263" s="24" t="s">
        <v>1219</v>
      </c>
      <c r="N263" s="24">
        <v>46023</v>
      </c>
      <c r="O263" s="24" t="str">
        <f>VLOOKUP(D263,records!$A:$U,10,FALSE)</f>
        <v>0012p00004TxP10AAF</v>
      </c>
      <c r="P263" s="24" t="str">
        <f>VLOOKUP(D263,records!$A:$V,20,FALSE)</f>
        <v>FR91391933538</v>
      </c>
      <c r="Q263" s="24" t="str">
        <f>VLOOKUP(D263,records!$A:$V,12,FALSE)</f>
        <v>39 193 353 800 038</v>
      </c>
      <c r="R263" s="24" t="s">
        <v>1220</v>
      </c>
      <c r="S263" s="24" t="str">
        <f>VLOOKUP(D263,records!$A:$U,19,FALSE)</f>
        <v>julie.jerome@gates.com</v>
      </c>
      <c r="T263" s="26" t="s">
        <v>1221</v>
      </c>
      <c r="U263" s="26" t="s">
        <v>1222</v>
      </c>
      <c r="V263" s="26" t="str">
        <f>VLOOKUP($D263,records!$A:$V,3,FALSE)</f>
        <v>GATES SAS</v>
      </c>
      <c r="W263" s="26"/>
      <c r="X263" s="26" t="str">
        <f>VLOOKUP($D263,records!$A:$V,9,FALSE)</f>
        <v>111 Rue Francis Garnier</v>
      </c>
      <c r="Y263" s="26" t="str">
        <f>VLOOKUP($D263,records!$A:$V,4,FALSE)</f>
        <v>NEVERS</v>
      </c>
      <c r="Z263" s="26" t="str">
        <f>VLOOKUP($D263,records!$A:$V,7,FALSE)</f>
        <v>58000</v>
      </c>
      <c r="AA263" s="26" t="s">
        <v>1223</v>
      </c>
      <c r="AB263" s="26">
        <f>VLOOKUP(O263,'records (2)'!$A:$Z,8,FALSE)</f>
        <v>30</v>
      </c>
      <c r="AC263" s="26" t="b">
        <v>0</v>
      </c>
      <c r="AD263" s="26"/>
      <c r="AE263" s="26"/>
      <c r="AF263" s="26" t="str">
        <f>VLOOKUP($D263,records!$A:$V,13,FALSE)</f>
        <v>GATES SAS</v>
      </c>
      <c r="AG263" s="26" t="s">
        <v>1226</v>
      </c>
      <c r="AH263" s="26" t="str">
        <f>VLOOKUP($D263,records!$A:$V,19,FALSE)</f>
        <v>julie.jerome@gates.com</v>
      </c>
      <c r="AI263" s="26" t="str">
        <f>VLOOKUP($D263,records!$A:$V,14,FALSE)</f>
        <v>.</v>
      </c>
      <c r="AJ263" s="26" t="str">
        <f>VLOOKUP($O263,'records (2)'!$A:$Z,14,FALSE)</f>
        <v>003IV000010tRTfYAM</v>
      </c>
      <c r="AK263" s="26" t="str">
        <f>VLOOKUP($O263,'records (2)'!$A:$Z,15,FALSE)</f>
        <v>Julie JEROME</v>
      </c>
      <c r="AL263" s="26" t="str">
        <f>VLOOKUP($O263,'records (2)'!$A:$Z,10,FALSE)</f>
        <v>003IV000010tRTfYAM</v>
      </c>
      <c r="AM263" s="26" t="str">
        <f>VLOOKUP($O263,'records (2)'!$A:$Z,11,FALSE)</f>
        <v>Julie JEROME</v>
      </c>
      <c r="AN263" s="18">
        <v>1</v>
      </c>
      <c r="AO263" s="4">
        <v>500</v>
      </c>
      <c r="AP263" s="4">
        <v>500</v>
      </c>
      <c r="AQ263" s="20">
        <v>0</v>
      </c>
      <c r="AR263" s="6">
        <v>0</v>
      </c>
    </row>
    <row r="264" spans="1:44">
      <c r="A264" s="18" t="s">
        <v>1061</v>
      </c>
      <c r="B264" s="18" t="s">
        <v>1062</v>
      </c>
      <c r="C264" s="18" t="s">
        <v>1062</v>
      </c>
      <c r="D264" s="18" t="s">
        <v>1063</v>
      </c>
      <c r="E264" s="18" t="s">
        <v>52</v>
      </c>
      <c r="F264" s="18" t="s">
        <v>53</v>
      </c>
      <c r="G264" s="18"/>
      <c r="H264" s="19" t="s">
        <v>1216</v>
      </c>
      <c r="I264" s="23" t="s">
        <v>1217</v>
      </c>
      <c r="J264" s="24">
        <v>46023</v>
      </c>
      <c r="K264" s="24">
        <v>46387</v>
      </c>
      <c r="L264" s="24" t="s">
        <v>1218</v>
      </c>
      <c r="M264" s="24" t="s">
        <v>1219</v>
      </c>
      <c r="N264" s="24">
        <v>46023</v>
      </c>
      <c r="O264" s="24" t="str">
        <f>VLOOKUP(D264,records!$A:$U,10,FALSE)</f>
        <v>0012p00004ShvssAAB</v>
      </c>
      <c r="P264" s="24" t="str">
        <f>VLOOKUP(D264,records!$A:$V,20,FALSE)</f>
        <v>FR38538654427</v>
      </c>
      <c r="Q264" s="24" t="str">
        <f>VLOOKUP(D264,records!$A:$V,12,FALSE)</f>
        <v>53 865 442 700 029</v>
      </c>
      <c r="R264" s="24" t="s">
        <v>1220</v>
      </c>
      <c r="S264" s="24" t="str">
        <f>VLOOKUP(D264,records!$A:$U,19,FALSE)</f>
        <v>kalistrut.accountpayable@pccairframe.com</v>
      </c>
      <c r="T264" s="26" t="s">
        <v>1221</v>
      </c>
      <c r="U264" s="26" t="s">
        <v>1222</v>
      </c>
      <c r="V264" s="26" t="str">
        <f>VLOOKUP($D264,records!$A:$V,3,FALSE)</f>
        <v>KALISTRUT AEROSPACE sasu</v>
      </c>
      <c r="W264" s="26"/>
      <c r="X264" s="26" t="str">
        <f>VLOOKUP($D264,records!$A:$V,9,FALSE)</f>
        <v>1 Avenue Marc Seguin</v>
      </c>
      <c r="Y264" s="26" t="str">
        <f>VLOOKUP($D264,records!$A:$V,4,FALSE)</f>
        <v>SAINT-VALLIER</v>
      </c>
      <c r="Z264" s="26" t="str">
        <f>VLOOKUP($D264,records!$A:$V,7,FALSE)</f>
        <v>26240</v>
      </c>
      <c r="AA264" s="26" t="s">
        <v>1223</v>
      </c>
      <c r="AB264" s="26">
        <f>VLOOKUP(O264,'records (2)'!$A:$Z,8,FALSE)</f>
        <v>30</v>
      </c>
      <c r="AC264" s="26" t="b">
        <v>0</v>
      </c>
      <c r="AD264" s="26"/>
      <c r="AE264" s="26"/>
      <c r="AF264" s="26" t="str">
        <f>VLOOKUP($D264,records!$A:$V,13,FALSE)</f>
        <v>KALISTRUT AEROSPACE sasu</v>
      </c>
      <c r="AG264" s="26" t="s">
        <v>1226</v>
      </c>
      <c r="AH264" s="26" t="str">
        <f>VLOOKUP($D264,records!$A:$V,19,FALSE)</f>
        <v>kalistrut.accountpayable@pccairframe.com</v>
      </c>
      <c r="AI264" s="26" t="str">
        <f>VLOOKUP($D264,records!$A:$V,14,FALSE)</f>
        <v>.</v>
      </c>
      <c r="AJ264" s="26" t="str">
        <f>VLOOKUP($O264,'records (2)'!$A:$Z,14,FALSE)</f>
        <v>003IV000010tJasYAE</v>
      </c>
      <c r="AK264" s="26" t="str">
        <f>VLOOKUP($O264,'records (2)'!$A:$Z,15,FALSE)</f>
        <v>Claudine MARMEY - (accountpayable)</v>
      </c>
      <c r="AL264" s="26" t="str">
        <f>VLOOKUP($O264,'records (2)'!$A:$Z,10,FALSE)</f>
        <v>003IV000010tJasYAE</v>
      </c>
      <c r="AM264" s="26" t="str">
        <f>VLOOKUP($O264,'records (2)'!$A:$Z,11,FALSE)</f>
        <v>Claudine MARMEY - (accountpayable)</v>
      </c>
      <c r="AN264" s="18">
        <v>1</v>
      </c>
      <c r="AO264" s="4">
        <v>500</v>
      </c>
      <c r="AP264" s="4">
        <v>500</v>
      </c>
      <c r="AQ264" s="20">
        <v>0</v>
      </c>
      <c r="AR264" s="6">
        <v>0</v>
      </c>
    </row>
    <row r="265" spans="1:44">
      <c r="A265" s="18" t="s">
        <v>1104</v>
      </c>
      <c r="B265" s="18" t="s">
        <v>1105</v>
      </c>
      <c r="C265" s="18" t="s">
        <v>1106</v>
      </c>
      <c r="D265" s="18" t="s">
        <v>1107</v>
      </c>
      <c r="E265" s="18" t="s">
        <v>16</v>
      </c>
      <c r="F265" s="18" t="s">
        <v>17</v>
      </c>
      <c r="G265" s="18"/>
      <c r="H265" s="19" t="s">
        <v>1216</v>
      </c>
      <c r="I265" s="23" t="s">
        <v>1217</v>
      </c>
      <c r="J265" s="24">
        <v>46023</v>
      </c>
      <c r="K265" s="24">
        <v>46387</v>
      </c>
      <c r="L265" s="24" t="s">
        <v>1218</v>
      </c>
      <c r="M265" s="24" t="s">
        <v>1219</v>
      </c>
      <c r="N265" s="24">
        <v>46023</v>
      </c>
      <c r="O265" s="24" t="str">
        <f>VLOOKUP(D265,records!$A:$U,10,FALSE)</f>
        <v>001SZ000002NrH3YAK</v>
      </c>
      <c r="P265" s="24" t="str">
        <f>VLOOKUP(D265,records!$A:$V,20,FALSE)</f>
        <v>FR19453570806</v>
      </c>
      <c r="Q265" s="24" t="str">
        <f>VLOOKUP(D265,records!$A:$V,12,FALSE)</f>
        <v>45 357 080 600 027</v>
      </c>
      <c r="R265" s="24" t="s">
        <v>1220</v>
      </c>
      <c r="S265" s="24" t="str">
        <f>VLOOKUP(D265,records!$A:$U,19,FALSE)</f>
        <v>karine.rignaux@nobelautomotive.com</v>
      </c>
      <c r="T265" s="26" t="s">
        <v>1221</v>
      </c>
      <c r="U265" s="26" t="s">
        <v>1222</v>
      </c>
      <c r="V265" s="26" t="str">
        <f>VLOOKUP($D265,records!$A:$V,3,FALSE)</f>
        <v>NOBEL PLASTIQUES sasu</v>
      </c>
      <c r="W265" s="26"/>
      <c r="X265" s="26" t="str">
        <f>VLOOKUP($D265,records!$A:$V,9,FALSE)</f>
        <v>Rue de l'Europe, ZI Marolles</v>
      </c>
      <c r="Y265" s="26" t="str">
        <f>VLOOKUP($D265,records!$A:$V,4,FALSE)</f>
        <v>VITRY LE FRANCOIS</v>
      </c>
      <c r="Z265" s="26" t="str">
        <f>VLOOKUP($D265,records!$A:$V,7,FALSE)</f>
        <v>51300</v>
      </c>
      <c r="AA265" s="26" t="s">
        <v>1223</v>
      </c>
      <c r="AB265" s="26">
        <f>VLOOKUP(O265,'records (2)'!$A:$Z,8,FALSE)</f>
        <v>30</v>
      </c>
      <c r="AC265" s="26" t="b">
        <v>0</v>
      </c>
      <c r="AD265" s="26"/>
      <c r="AE265" s="26"/>
      <c r="AF265" s="26" t="str">
        <f>VLOOKUP($D265,records!$A:$V,13,FALSE)</f>
        <v>NOBEL PLASTIQUES sasu</v>
      </c>
      <c r="AG265" s="26" t="s">
        <v>1226</v>
      </c>
      <c r="AH265" s="26" t="str">
        <f>VLOOKUP($D265,records!$A:$V,19,FALSE)</f>
        <v>karine.rignaux@nobelautomotive.com</v>
      </c>
      <c r="AI265" s="26" t="str">
        <f>VLOOKUP($D265,records!$A:$V,14,FALSE)</f>
        <v>.</v>
      </c>
      <c r="AJ265" s="26" t="str">
        <f>VLOOKUP($O265,'records (2)'!$A:$Z,14,FALSE)</f>
        <v>003IV000010sxGvYAI</v>
      </c>
      <c r="AK265" s="26" t="str">
        <f>VLOOKUP($O265,'records (2)'!$A:$Z,15,FALSE)</f>
        <v>Karine RIGNAUX</v>
      </c>
      <c r="AL265" s="26" t="str">
        <f>VLOOKUP($O265,'records (2)'!$A:$Z,10,FALSE)</f>
        <v>003IV000010sxGvYAI</v>
      </c>
      <c r="AM265" s="26" t="str">
        <f>VLOOKUP($O265,'records (2)'!$A:$Z,11,FALSE)</f>
        <v>Karine RIGNAUX</v>
      </c>
      <c r="AN265" s="18">
        <v>1</v>
      </c>
      <c r="AO265" s="4">
        <v>1000</v>
      </c>
      <c r="AP265" s="4">
        <v>1000</v>
      </c>
      <c r="AQ265" s="20">
        <v>0</v>
      </c>
      <c r="AR265" s="6">
        <v>0</v>
      </c>
    </row>
    <row r="266" spans="1:44">
      <c r="A266" s="18" t="s">
        <v>728</v>
      </c>
      <c r="B266" s="18" t="s">
        <v>729</v>
      </c>
      <c r="C266" s="18" t="s">
        <v>730</v>
      </c>
      <c r="D266" s="18" t="s">
        <v>731</v>
      </c>
      <c r="E266" s="18" t="s">
        <v>52</v>
      </c>
      <c r="F266" s="18" t="s">
        <v>53</v>
      </c>
      <c r="G266" s="18"/>
      <c r="H266" s="19" t="s">
        <v>1216</v>
      </c>
      <c r="I266" s="23" t="s">
        <v>1217</v>
      </c>
      <c r="J266" s="24">
        <v>46023</v>
      </c>
      <c r="K266" s="24">
        <v>46387</v>
      </c>
      <c r="L266" s="24" t="s">
        <v>1218</v>
      </c>
      <c r="M266" s="24" t="s">
        <v>1219</v>
      </c>
      <c r="N266" s="24">
        <v>46023</v>
      </c>
      <c r="O266" s="24" t="str">
        <f>VLOOKUP(D266,records!$A:$U,10,FALSE)</f>
        <v>001SZ000001Z2OCYA0</v>
      </c>
      <c r="P266" s="24" t="str">
        <f>VLOOKUP(D266,records!$A:$V,20,FALSE)</f>
        <v>FR14321748063</v>
      </c>
      <c r="Q266" s="24" t="str">
        <f>VLOOKUP(D266,records!$A:$V,12,FALSE)</f>
        <v>32 174 806 300 070</v>
      </c>
      <c r="R266" s="24" t="s">
        <v>1220</v>
      </c>
      <c r="S266" s="24" t="str">
        <f>VLOOKUP(D266,records!$A:$U,19,FALSE)</f>
        <v>kathy.toutlemonde@bausch.com</v>
      </c>
      <c r="T266" s="26" t="s">
        <v>1221</v>
      </c>
      <c r="U266" s="26" t="s">
        <v>1222</v>
      </c>
      <c r="V266" s="26" t="str">
        <f>VLOOKUP($D266,records!$A:$V,3,FALSE)</f>
        <v>LABORATOIRE CHAUVIN sas</v>
      </c>
      <c r="W266" s="26"/>
      <c r="X266" s="26" t="str">
        <f>VLOOKUP($D266,records!$A:$V,9,FALSE)</f>
        <v>ZI de Ripotier - 
 50 Avenue Jean Monnet</v>
      </c>
      <c r="Y266" s="26" t="str">
        <f>VLOOKUP($D266,records!$A:$V,4,FALSE)</f>
        <v>AUBENAS</v>
      </c>
      <c r="Z266" s="26" t="str">
        <f>VLOOKUP($D266,records!$A:$V,7,FALSE)</f>
        <v>7200</v>
      </c>
      <c r="AA266" s="26" t="s">
        <v>1223</v>
      </c>
      <c r="AB266" s="26">
        <f>VLOOKUP(O266,'records (2)'!$A:$Z,8,FALSE)</f>
        <v>30</v>
      </c>
      <c r="AC266" s="26" t="b">
        <v>0</v>
      </c>
      <c r="AD266" s="26"/>
      <c r="AE266" s="26"/>
      <c r="AF266" s="26" t="str">
        <f>VLOOKUP($D266,records!$A:$V,13,FALSE)</f>
        <v>LABORATOIRE CHAUVIN sas</v>
      </c>
      <c r="AG266" s="26" t="s">
        <v>1226</v>
      </c>
      <c r="AH266" s="26" t="str">
        <f>VLOOKUP($D266,records!$A:$V,19,FALSE)</f>
        <v>kathy.toutlemonde@bausch.com</v>
      </c>
      <c r="AI266" s="26" t="str">
        <f>VLOOKUP($D266,records!$A:$V,14,FALSE)</f>
        <v>.</v>
      </c>
      <c r="AJ266" s="26" t="str">
        <f>VLOOKUP($O266,'records (2)'!$A:$Z,14,FALSE)</f>
        <v>003IV000010t8Y4YAI</v>
      </c>
      <c r="AK266" s="26" t="str">
        <f>VLOOKUP($O266,'records (2)'!$A:$Z,15,FALSE)</f>
        <v>Kathy TOUTLEMONDE</v>
      </c>
      <c r="AL266" s="26" t="str">
        <f>VLOOKUP($O266,'records (2)'!$A:$Z,10,FALSE)</f>
        <v>003IV000010t8Y4YAI</v>
      </c>
      <c r="AM266" s="26" t="str">
        <f>VLOOKUP($O266,'records (2)'!$A:$Z,11,FALSE)</f>
        <v>Kathy TOUTLEMONDE</v>
      </c>
      <c r="AN266" s="18">
        <v>1</v>
      </c>
      <c r="AO266" s="4">
        <v>1000</v>
      </c>
      <c r="AP266" s="4">
        <v>1000</v>
      </c>
      <c r="AQ266" s="20">
        <v>0</v>
      </c>
      <c r="AR266" s="6">
        <v>0</v>
      </c>
    </row>
    <row r="267" spans="1:44">
      <c r="A267" s="18" t="s">
        <v>233</v>
      </c>
      <c r="B267" s="18" t="s">
        <v>234</v>
      </c>
      <c r="C267" s="18" t="s">
        <v>235</v>
      </c>
      <c r="D267" s="18" t="s">
        <v>236</v>
      </c>
      <c r="E267" s="18" t="s">
        <v>23</v>
      </c>
      <c r="F267" s="18" t="s">
        <v>24</v>
      </c>
      <c r="G267" s="18"/>
      <c r="H267" s="19" t="s">
        <v>1216</v>
      </c>
      <c r="I267" s="23" t="s">
        <v>1217</v>
      </c>
      <c r="J267" s="24">
        <v>46023</v>
      </c>
      <c r="K267" s="24">
        <v>46387</v>
      </c>
      <c r="L267" s="24" t="s">
        <v>1218</v>
      </c>
      <c r="M267" s="24" t="s">
        <v>1219</v>
      </c>
      <c r="N267" s="24">
        <v>46023</v>
      </c>
      <c r="O267" s="24" t="str">
        <f>VLOOKUP(D267,records!$A:$U,10,FALSE)</f>
        <v>001SZ000000lJNPYA2</v>
      </c>
      <c r="P267" s="24" t="str">
        <f>VLOOKUP(D267,records!$A:$V,20,FALSE)</f>
        <v>FR67675580542</v>
      </c>
      <c r="Q267" s="24" t="str">
        <f>VLOOKUP(D267,records!$A:$V,12,FALSE)</f>
        <v>67 558 054 200 016</v>
      </c>
      <c r="R267" s="24" t="s">
        <v>1220</v>
      </c>
      <c r="S267" s="24" t="str">
        <f>VLOOKUP(D267,records!$A:$U,19,FALSE)</f>
        <v>kuhnsa.supplierinvoice@kuhn.com</v>
      </c>
      <c r="T267" s="26" t="s">
        <v>1221</v>
      </c>
      <c r="U267" s="26" t="s">
        <v>1222</v>
      </c>
      <c r="V267" s="26" t="str">
        <f>VLOOKUP($D267,records!$A:$V,3,FALSE)</f>
        <v>KUHN SAS</v>
      </c>
      <c r="W267" s="26"/>
      <c r="X267" s="26" t="str">
        <f>VLOOKUP($D267,records!$A:$V,9,FALSE)</f>
        <v>4 impasse des Fabriques</v>
      </c>
      <c r="Y267" s="26" t="str">
        <f>VLOOKUP($D267,records!$A:$V,4,FALSE)</f>
        <v>SAVERNE</v>
      </c>
      <c r="Z267" s="26" t="str">
        <f>VLOOKUP($D267,records!$A:$V,7,FALSE)</f>
        <v>67700</v>
      </c>
      <c r="AA267" s="26" t="s">
        <v>1223</v>
      </c>
      <c r="AB267" s="26">
        <f>VLOOKUP(O267,'records (2)'!$A:$Z,8,FALSE)</f>
        <v>30</v>
      </c>
      <c r="AC267" s="26" t="b">
        <f>VLOOKUP(O267,'records (4)'!$A:$C,3,FALSE)</f>
        <v>1</v>
      </c>
      <c r="AD267" s="26" t="s">
        <v>1225</v>
      </c>
      <c r="AE267" s="24">
        <v>46023</v>
      </c>
      <c r="AF267" s="26" t="str">
        <f>VLOOKUP($D267,records!$A:$V,13,FALSE)</f>
        <v>KUHN SAS</v>
      </c>
      <c r="AG267" s="26" t="s">
        <v>1226</v>
      </c>
      <c r="AH267" s="26" t="str">
        <f>VLOOKUP($D267,records!$A:$V,19,FALSE)</f>
        <v>kuhnsa.supplierinvoice@kuhn.com</v>
      </c>
      <c r="AI267" s="26" t="str">
        <f>VLOOKUP($D267,records!$A:$V,14,FALSE)</f>
        <v>.</v>
      </c>
      <c r="AJ267" s="26" t="str">
        <f>VLOOKUP($O267,'records (2)'!$A:$Z,14,FALSE)</f>
        <v>003IV000010tSkWYAU</v>
      </c>
      <c r="AK267" s="26" t="str">
        <f>VLOOKUP($O267,'records (2)'!$A:$Z,15,FALSE)</f>
        <v>Alain METZGER</v>
      </c>
      <c r="AL267" s="26" t="str">
        <f>VLOOKUP($O267,'records (2)'!$A:$Z,10,FALSE)</f>
        <v>003IV000010tSkWYAU</v>
      </c>
      <c r="AM267" s="26" t="str">
        <f>VLOOKUP($O267,'records (2)'!$A:$Z,11,FALSE)</f>
        <v>Alain METZGER</v>
      </c>
      <c r="AN267" s="18">
        <v>1</v>
      </c>
      <c r="AO267" s="4">
        <v>10000</v>
      </c>
      <c r="AP267" s="4">
        <v>10000</v>
      </c>
      <c r="AQ267" s="20">
        <v>0</v>
      </c>
      <c r="AR267" s="6">
        <v>0</v>
      </c>
    </row>
    <row r="268" spans="1:44">
      <c r="A268" s="18" t="s">
        <v>877</v>
      </c>
      <c r="B268" s="18" t="s">
        <v>878</v>
      </c>
      <c r="C268" s="18" t="s">
        <v>878</v>
      </c>
      <c r="D268" s="18" t="s">
        <v>879</v>
      </c>
      <c r="E268" s="18" t="s">
        <v>52</v>
      </c>
      <c r="F268" s="18" t="s">
        <v>53</v>
      </c>
      <c r="G268" s="18"/>
      <c r="H268" s="19" t="s">
        <v>1216</v>
      </c>
      <c r="I268" s="23" t="s">
        <v>1217</v>
      </c>
      <c r="J268" s="24">
        <v>46023</v>
      </c>
      <c r="K268" s="24">
        <v>46387</v>
      </c>
      <c r="L268" s="24" t="s">
        <v>1218</v>
      </c>
      <c r="M268" s="24" t="s">
        <v>1219</v>
      </c>
      <c r="N268" s="24">
        <v>46023</v>
      </c>
      <c r="O268" s="24" t="str">
        <f>VLOOKUP(D268,records!$A:$U,10,FALSE)</f>
        <v>001SZ00000IFevfYAD</v>
      </c>
      <c r="P268" s="24" t="str">
        <f>VLOOKUP(D268,records!$A:$V,20,FALSE)</f>
        <v>FR74562012427</v>
      </c>
      <c r="Q268" s="24" t="str">
        <f>VLOOKUP(D268,records!$A:$V,12,FALSE)</f>
        <v>56 201 242 700 059</v>
      </c>
      <c r="R268" s="24" t="s">
        <v>1220</v>
      </c>
      <c r="S268" s="24" t="str">
        <f>VLOOKUP(D268,records!$A:$U,19,FALSE)</f>
        <v>laurence.zimmermann@sealedair.com</v>
      </c>
      <c r="T268" s="26" t="s">
        <v>1221</v>
      </c>
      <c r="U268" s="26" t="s">
        <v>1222</v>
      </c>
      <c r="V268" s="26" t="str">
        <f>VLOOKUP($D268,records!$A:$V,3,FALSE)</f>
        <v>SEALED AIR SAS</v>
      </c>
      <c r="W268" s="26"/>
      <c r="X268" s="26" t="str">
        <f>VLOOKUP($D268,records!$A:$V,9,FALSE)</f>
        <v>53 Rue Saint- Denis</v>
      </c>
      <c r="Y268" s="26" t="str">
        <f>VLOOKUP($D268,records!$A:$V,4,FALSE)</f>
        <v>EPERNON</v>
      </c>
      <c r="Z268" s="26" t="str">
        <f>VLOOKUP($D268,records!$A:$V,7,FALSE)</f>
        <v>28230</v>
      </c>
      <c r="AA268" s="26" t="s">
        <v>1223</v>
      </c>
      <c r="AB268" s="26">
        <f>VLOOKUP(O268,'records (2)'!$A:$Z,8,FALSE)</f>
        <v>30</v>
      </c>
      <c r="AC268" s="26" t="b">
        <v>0</v>
      </c>
      <c r="AD268" s="26"/>
      <c r="AE268" s="26"/>
      <c r="AF268" s="26" t="str">
        <f>VLOOKUP($D268,records!$A:$V,13,FALSE)</f>
        <v>SEALED AIR SAS</v>
      </c>
      <c r="AG268" s="26" t="s">
        <v>1226</v>
      </c>
      <c r="AH268" s="26" t="str">
        <f>VLOOKUP($D268,records!$A:$V,19,FALSE)</f>
        <v>laurence.zimmermann@sealedair.com</v>
      </c>
      <c r="AI268" s="26" t="str">
        <f>VLOOKUP($D268,records!$A:$V,14,FALSE)</f>
        <v>.</v>
      </c>
      <c r="AJ268" s="26" t="str">
        <f>VLOOKUP($O268,'records (2)'!$A:$Z,14,FALSE)</f>
        <v>003IV000010t1hzYAA</v>
      </c>
      <c r="AK268" s="26" t="str">
        <f>VLOOKUP($O268,'records (2)'!$A:$Z,15,FALSE)</f>
        <v>Laurence ZIMMERMANN</v>
      </c>
      <c r="AL268" s="26" t="str">
        <f>VLOOKUP($O268,'records (2)'!$A:$Z,10,FALSE)</f>
        <v>003IV000010t1hzYAA</v>
      </c>
      <c r="AM268" s="26" t="str">
        <f>VLOOKUP($O268,'records (2)'!$A:$Z,11,FALSE)</f>
        <v>Laurence ZIMMERMANN</v>
      </c>
      <c r="AN268" s="18">
        <v>1</v>
      </c>
      <c r="AO268" s="4">
        <v>2500</v>
      </c>
      <c r="AP268" s="4">
        <v>2500</v>
      </c>
      <c r="AQ268" s="20">
        <v>0</v>
      </c>
      <c r="AR268" s="6">
        <v>0</v>
      </c>
    </row>
    <row r="269" spans="1:44">
      <c r="A269" s="18" t="s">
        <v>959</v>
      </c>
      <c r="B269" s="18" t="s">
        <v>960</v>
      </c>
      <c r="C269" s="18" t="s">
        <v>960</v>
      </c>
      <c r="D269" s="18" t="s">
        <v>961</v>
      </c>
      <c r="E269" s="18" t="s">
        <v>52</v>
      </c>
      <c r="F269" s="18" t="s">
        <v>53</v>
      </c>
      <c r="G269" s="18"/>
      <c r="H269" s="19" t="s">
        <v>1216</v>
      </c>
      <c r="I269" s="23" t="s">
        <v>1217</v>
      </c>
      <c r="J269" s="24">
        <v>46023</v>
      </c>
      <c r="K269" s="24">
        <v>46387</v>
      </c>
      <c r="L269" s="24" t="s">
        <v>1218</v>
      </c>
      <c r="M269" s="24" t="s">
        <v>1219</v>
      </c>
      <c r="N269" s="24">
        <v>46023</v>
      </c>
      <c r="O269" s="24" t="str">
        <f>VLOOKUP(D269,records!$A:$U,10,FALSE)</f>
        <v>001SZ000005MLEFYA4</v>
      </c>
      <c r="P269" s="24" t="str">
        <f>VLOOKUP(D269,records!$A:$V,20,FALSE)</f>
        <v>FR01529032435</v>
      </c>
      <c r="Q269" s="24" t="str">
        <f>VLOOKUP(D269,records!$A:$V,12,FALSE)</f>
        <v>52 903 243 500 016</v>
      </c>
      <c r="R269" s="24" t="s">
        <v>1220</v>
      </c>
      <c r="S269" s="24" t="str">
        <f>VLOOKUP(D269,records!$A:$U,19,FALSE)</f>
        <v>laurent.guilmin@wkw-group.com</v>
      </c>
      <c r="T269" s="26" t="s">
        <v>1221</v>
      </c>
      <c r="U269" s="26" t="s">
        <v>1222</v>
      </c>
      <c r="V269" s="26" t="str">
        <f>VLOOKUP($D269,records!$A:$V,3,FALSE)</f>
        <v>WKW FRANCE sarl</v>
      </c>
      <c r="W269" s="26"/>
      <c r="X269" s="26" t="str">
        <f>VLOOKUP($D269,records!$A:$V,9,FALSE)</f>
        <v>Les Molières - Route de Richerenches - BP 24</v>
      </c>
      <c r="Y269" s="26" t="str">
        <f>VLOOKUP($D269,records!$A:$V,4,FALSE)</f>
        <v>VALEREAS</v>
      </c>
      <c r="Z269" s="26" t="str">
        <f>VLOOKUP($D269,records!$A:$V,7,FALSE)</f>
        <v>84600</v>
      </c>
      <c r="AA269" s="26" t="s">
        <v>1223</v>
      </c>
      <c r="AB269" s="26">
        <f>VLOOKUP(O269,'records (2)'!$A:$Z,8,FALSE)</f>
        <v>30</v>
      </c>
      <c r="AC269" s="26" t="b">
        <v>0</v>
      </c>
      <c r="AD269" s="26"/>
      <c r="AE269" s="26"/>
      <c r="AF269" s="26" t="str">
        <f>VLOOKUP($D269,records!$A:$V,13,FALSE)</f>
        <v>WKW FRANCE sarl</v>
      </c>
      <c r="AG269" s="26" t="s">
        <v>1226</v>
      </c>
      <c r="AH269" s="26" t="str">
        <f>VLOOKUP($D269,records!$A:$V,19,FALSE)</f>
        <v>laurent.guilmin@wkw-group.com</v>
      </c>
      <c r="AI269" s="26" t="str">
        <f>VLOOKUP($D269,records!$A:$V,14,FALSE)</f>
        <v>.</v>
      </c>
      <c r="AJ269" s="26" t="str">
        <f>VLOOKUP($O269,'records (2)'!$A:$Z,14,FALSE)</f>
        <v>003IV000010su9DYAQ</v>
      </c>
      <c r="AK269" s="26" t="str">
        <f>VLOOKUP($O269,'records (2)'!$A:$Z,15,FALSE)</f>
        <v>Laurent GUILMIN</v>
      </c>
      <c r="AL269" s="26" t="str">
        <f>VLOOKUP($O269,'records (2)'!$A:$Z,10,FALSE)</f>
        <v>003IV000010su9DYAQ</v>
      </c>
      <c r="AM269" s="26" t="str">
        <f>VLOOKUP($O269,'records (2)'!$A:$Z,11,FALSE)</f>
        <v>Laurent GUILMIN</v>
      </c>
      <c r="AN269" s="18">
        <v>1</v>
      </c>
      <c r="AO269" s="4">
        <v>500</v>
      </c>
      <c r="AP269" s="4">
        <v>500</v>
      </c>
      <c r="AQ269" s="20">
        <v>0</v>
      </c>
      <c r="AR269" s="6">
        <v>0</v>
      </c>
    </row>
    <row r="270" spans="1:44">
      <c r="A270" s="18" t="s">
        <v>1150</v>
      </c>
      <c r="B270" s="18" t="s">
        <v>1151</v>
      </c>
      <c r="C270" s="18" t="s">
        <v>1151</v>
      </c>
      <c r="D270" s="18" t="s">
        <v>1152</v>
      </c>
      <c r="E270" s="18" t="s">
        <v>52</v>
      </c>
      <c r="F270" s="18" t="s">
        <v>53</v>
      </c>
      <c r="G270" s="18"/>
      <c r="H270" s="19" t="s">
        <v>1216</v>
      </c>
      <c r="I270" s="23" t="s">
        <v>1217</v>
      </c>
      <c r="J270" s="24">
        <v>46023</v>
      </c>
      <c r="K270" s="24">
        <v>46387</v>
      </c>
      <c r="L270" s="24" t="s">
        <v>1218</v>
      </c>
      <c r="M270" s="24" t="s">
        <v>1219</v>
      </c>
      <c r="N270" s="24">
        <v>46023</v>
      </c>
      <c r="O270" s="24" t="str">
        <f>VLOOKUP(D270,records!$A:$U,10,FALSE)</f>
        <v>001SZ000002N4pnYAC</v>
      </c>
      <c r="P270" s="24" t="str">
        <f>VLOOKUP(D270,records!$A:$V,20,FALSE)</f>
        <v>FR51491371167</v>
      </c>
      <c r="Q270" s="24" t="str">
        <f>VLOOKUP(D270,records!$A:$V,12,FALSE)</f>
        <v>49 137 116 700 017</v>
      </c>
      <c r="R270" s="24" t="s">
        <v>1220</v>
      </c>
      <c r="S270" s="24" t="str">
        <f>VLOOKUP(D270,records!$A:$U,19,FALSE)</f>
        <v>LFBBIOMEDICAMENTS@email.basware.com</v>
      </c>
      <c r="T270" s="26" t="s">
        <v>1221</v>
      </c>
      <c r="U270" s="26" t="s">
        <v>1222</v>
      </c>
      <c r="V270" s="26" t="str">
        <f>VLOOKUP($D270,records!$A:$V,3,FALSE)</f>
        <v>LFB BIOMEDICAMENTS sa</v>
      </c>
      <c r="W270" s="26"/>
      <c r="X270" s="26" t="str">
        <f>VLOOKUP($D270,records!$A:$V,9,FALSE)</f>
        <v>Za de Courtaboeuf - Les Ulis
 3 Avenue des Tropiques</v>
      </c>
      <c r="Y270" s="26" t="str">
        <f>VLOOKUP($D270,records!$A:$V,4,FALSE)</f>
        <v>LES ULIS</v>
      </c>
      <c r="Z270" s="26" t="str">
        <f>VLOOKUP($D270,records!$A:$V,7,FALSE)</f>
        <v>91940</v>
      </c>
      <c r="AA270" s="26" t="s">
        <v>1223</v>
      </c>
      <c r="AB270" s="26">
        <f>VLOOKUP(O270,'records (2)'!$A:$Z,8,FALSE)</f>
        <v>30</v>
      </c>
      <c r="AC270" s="26" t="b">
        <f>VLOOKUP(O270,'records (4)'!$A:$C,3,FALSE)</f>
        <v>1</v>
      </c>
      <c r="AD270" s="26" t="s">
        <v>1225</v>
      </c>
      <c r="AE270" s="24">
        <v>46023</v>
      </c>
      <c r="AF270" s="26" t="str">
        <f>VLOOKUP($D270,records!$A:$V,13,FALSE)</f>
        <v>LFB BIOMEDICAMENTS sa</v>
      </c>
      <c r="AG270" s="26" t="s">
        <v>1226</v>
      </c>
      <c r="AH270" s="26" t="str">
        <f>VLOOKUP($D270,records!$A:$V,19,FALSE)</f>
        <v>LFBBIOMEDICAMENTS@email.basware.com</v>
      </c>
      <c r="AI270" s="26" t="str">
        <f>VLOOKUP($D270,records!$A:$V,14,FALSE)</f>
        <v>.</v>
      </c>
      <c r="AJ270" s="26" t="str">
        <f>VLOOKUP($O270,'records (2)'!$A:$Z,14,FALSE)</f>
        <v>003IV000010tSnNYAU</v>
      </c>
      <c r="AK270" s="26" t="str">
        <f>VLOOKUP($O270,'records (2)'!$A:$Z,15,FALSE)</f>
        <v>Compta Achats-LFB Biomédicaments</v>
      </c>
      <c r="AL270" s="26" t="str">
        <f>VLOOKUP($O270,'records (2)'!$A:$Z,10,FALSE)</f>
        <v>003IV000010tSnNYAU</v>
      </c>
      <c r="AM270" s="26" t="str">
        <f>VLOOKUP($O270,'records (2)'!$A:$Z,11,FALSE)</f>
        <v>Compta Achats-LFB Biomédicaments</v>
      </c>
      <c r="AN270" s="18">
        <v>1</v>
      </c>
      <c r="AO270" s="4">
        <v>2500</v>
      </c>
      <c r="AP270" s="4">
        <v>2500</v>
      </c>
      <c r="AQ270" s="20">
        <v>0</v>
      </c>
      <c r="AR270" s="6"/>
    </row>
    <row r="271" spans="1:44">
      <c r="A271" s="18" t="s">
        <v>749</v>
      </c>
      <c r="B271" s="18" t="s">
        <v>750</v>
      </c>
      <c r="C271" s="18" t="s">
        <v>751</v>
      </c>
      <c r="D271" s="18" t="s">
        <v>752</v>
      </c>
      <c r="E271" s="18" t="s">
        <v>52</v>
      </c>
      <c r="F271" s="18" t="s">
        <v>53</v>
      </c>
      <c r="G271" s="18"/>
      <c r="H271" s="19" t="s">
        <v>1216</v>
      </c>
      <c r="I271" s="23" t="s">
        <v>1217</v>
      </c>
      <c r="J271" s="24">
        <v>46023</v>
      </c>
      <c r="K271" s="24">
        <v>46387</v>
      </c>
      <c r="L271" s="24" t="s">
        <v>1218</v>
      </c>
      <c r="M271" s="24" t="s">
        <v>1219</v>
      </c>
      <c r="N271" s="24">
        <v>46023</v>
      </c>
      <c r="O271" s="24" t="str">
        <f>VLOOKUP(D271,records!$A:$U,10,FALSE)</f>
        <v>0012p00004NMuinAAD</v>
      </c>
      <c r="P271" s="24" t="str">
        <f>VLOOKUP(D271,records!$A:$V,20,FALSE)</f>
        <v>FR47542084447</v>
      </c>
      <c r="Q271" s="24" t="str">
        <f>VLOOKUP(D271,records!$A:$V,12,FALSE)</f>
        <v>54 208 444 700 037</v>
      </c>
      <c r="R271" s="24" t="s">
        <v>1220</v>
      </c>
      <c r="S271" s="24" t="str">
        <f>VLOOKUP(D271,records!$A:$U,19,FALSE)</f>
        <v>lmetzger@smlf.fr</v>
      </c>
      <c r="T271" s="26" t="s">
        <v>1221</v>
      </c>
      <c r="U271" s="26" t="s">
        <v>1222</v>
      </c>
      <c r="V271" s="26" t="str">
        <f>VLOOKUP($D271,records!$A:$V,3,FALSE)</f>
        <v>SOCIETE METALLURGIQUE LIOTARD FRERES sa</v>
      </c>
      <c r="W271" s="26" t="str">
        <f>IFERROR(VLOOKUP($D271,records!$A:$V,6,FALSE),)</f>
        <v>SAVATON Marie Christine</v>
      </c>
      <c r="X271" s="26" t="str">
        <f>VLOOKUP($D271,records!$A:$V,9,FALSE)</f>
        <v>Route départementale 751 - 
 Les Levées de la Loire</v>
      </c>
      <c r="Y271" s="26" t="str">
        <f>VLOOKUP($D271,records!$A:$V,4,FALSE)</f>
        <v>ST PIERRE DES CORPS</v>
      </c>
      <c r="Z271" s="26" t="str">
        <f>VLOOKUP($D271,records!$A:$V,7,FALSE)</f>
        <v>37700</v>
      </c>
      <c r="AA271" s="26" t="s">
        <v>1223</v>
      </c>
      <c r="AB271" s="26">
        <f>VLOOKUP(O271,'records (2)'!$A:$Z,8,FALSE)</f>
        <v>30</v>
      </c>
      <c r="AC271" s="26" t="b">
        <v>0</v>
      </c>
      <c r="AD271" s="26"/>
      <c r="AE271" s="26"/>
      <c r="AF271" s="26" t="str">
        <f>VLOOKUP($D271,records!$A:$V,13,FALSE)</f>
        <v>SOCIETE METALLURGIQUE LIOTARD FRERES sa</v>
      </c>
      <c r="AG271" s="26" t="s">
        <v>1226</v>
      </c>
      <c r="AH271" s="26" t="str">
        <f>VLOOKUP($D271,records!$A:$V,19,FALSE)</f>
        <v>lmetzger@smlf.fr</v>
      </c>
      <c r="AI271" s="26" t="str">
        <f>VLOOKUP($D271,records!$A:$V,14,FALSE)</f>
        <v>.</v>
      </c>
      <c r="AJ271" s="26" t="str">
        <f>VLOOKUP($O271,'records (2)'!$A:$Z,14,FALSE)</f>
        <v>003IV000010tPaFYAU</v>
      </c>
      <c r="AK271" s="26" t="str">
        <f>VLOOKUP($O271,'records (2)'!$A:$Z,15,FALSE)</f>
        <v>Marie Christine SAVATON</v>
      </c>
      <c r="AL271" s="26" t="str">
        <f>VLOOKUP($O271,'records (2)'!$A:$Z,10,FALSE)</f>
        <v>003IV000010tPaFYAU</v>
      </c>
      <c r="AM271" s="26" t="str">
        <f>VLOOKUP($O271,'records (2)'!$A:$Z,11,FALSE)</f>
        <v>Marie Christine SAVATON</v>
      </c>
      <c r="AN271" s="18">
        <v>1</v>
      </c>
      <c r="AO271" s="4">
        <v>500</v>
      </c>
      <c r="AP271" s="4">
        <v>500</v>
      </c>
      <c r="AQ271" s="20"/>
      <c r="AR271" s="6"/>
    </row>
    <row r="272" spans="1:44">
      <c r="A272" s="18" t="s">
        <v>523</v>
      </c>
      <c r="B272" s="18" t="s">
        <v>524</v>
      </c>
      <c r="C272" s="18" t="s">
        <v>524</v>
      </c>
      <c r="D272" s="18" t="s">
        <v>525</v>
      </c>
      <c r="E272" s="18" t="s">
        <v>52</v>
      </c>
      <c r="F272" s="18" t="s">
        <v>53</v>
      </c>
      <c r="G272" s="18"/>
      <c r="H272" s="19" t="s">
        <v>1216</v>
      </c>
      <c r="I272" s="23" t="s">
        <v>1217</v>
      </c>
      <c r="J272" s="24">
        <v>46023</v>
      </c>
      <c r="K272" s="24">
        <v>46387</v>
      </c>
      <c r="L272" s="24" t="s">
        <v>1218</v>
      </c>
      <c r="M272" s="24" t="s">
        <v>1219</v>
      </c>
      <c r="N272" s="24">
        <v>46023</v>
      </c>
      <c r="O272" s="24" t="str">
        <f>VLOOKUP(D272,records!$A:$U,10,FALSE)</f>
        <v>0012p00004LiRo0AAF</v>
      </c>
      <c r="P272" s="24" t="str">
        <f>VLOOKUP(D272,records!$A:$V,20,FALSE)</f>
        <v>FR05428193726</v>
      </c>
      <c r="Q272" s="24" t="str">
        <f>VLOOKUP(D272,records!$A:$V,12,FALSE)</f>
        <v>42 819 372 600 562</v>
      </c>
      <c r="R272" s="24" t="s">
        <v>1220</v>
      </c>
      <c r="S272" s="24" t="str">
        <f>VLOOKUP(D272,records!$A:$U,19,FALSE)</f>
        <v>marc.bonnafous@lacooperativewelcoop.com</v>
      </c>
      <c r="T272" s="26" t="s">
        <v>1221</v>
      </c>
      <c r="U272" s="26" t="s">
        <v>1222</v>
      </c>
      <c r="V272" s="26" t="str">
        <f>VLOOKUP($D272,records!$A:$V,3,FALSE)</f>
        <v>D'MEDICA sa</v>
      </c>
      <c r="W272" s="26" t="str">
        <f>IFERROR(VLOOKUP($D272,records!$A:$V,6,FALSE),)</f>
        <v>Service Comptabilité</v>
      </c>
      <c r="X272" s="26" t="str">
        <f>VLOOKUP($D272,records!$A:$V,9,FALSE)</f>
        <v>4 rue Jean Giono - 
 BP 10063</v>
      </c>
      <c r="Y272" s="26" t="str">
        <f>VLOOKUP($D272,records!$A:$V,4,FALSE)</f>
        <v>BALMA Cedex</v>
      </c>
      <c r="Z272" s="26" t="str">
        <f>VLOOKUP($D272,records!$A:$V,7,FALSE)</f>
        <v>31133</v>
      </c>
      <c r="AA272" s="26" t="s">
        <v>1223</v>
      </c>
      <c r="AB272" s="26">
        <f>VLOOKUP(O272,'records (2)'!$A:$Z,8,FALSE)</f>
        <v>30</v>
      </c>
      <c r="AC272" s="26" t="b">
        <v>0</v>
      </c>
      <c r="AD272" s="26"/>
      <c r="AE272" s="26"/>
      <c r="AF272" s="26" t="str">
        <f>VLOOKUP($D272,records!$A:$V,13,FALSE)</f>
        <v>D'MEDICA sa</v>
      </c>
      <c r="AG272" s="26" t="s">
        <v>1226</v>
      </c>
      <c r="AH272" s="26" t="str">
        <f>VLOOKUP($D272,records!$A:$V,19,FALSE)</f>
        <v>marc.bonnafous@lacooperativewelcoop.com</v>
      </c>
      <c r="AI272" s="26" t="str">
        <f>VLOOKUP($D272,records!$A:$V,14,FALSE)</f>
        <v>.</v>
      </c>
      <c r="AJ272" s="26" t="str">
        <f>VLOOKUP($O272,'records (2)'!$A:$Z,14,FALSE)</f>
        <v>003IV000010t1u6YAA</v>
      </c>
      <c r="AK272" s="26" t="str">
        <f>VLOOKUP($O272,'records (2)'!$A:$Z,15,FALSE)</f>
        <v>Marc BONNAFOUS</v>
      </c>
      <c r="AL272" s="26" t="str">
        <f>VLOOKUP($O272,'records (2)'!$A:$Z,10,FALSE)</f>
        <v>003IV000010t1u8YAA</v>
      </c>
      <c r="AM272" s="26" t="str">
        <f>VLOOKUP($O272,'records (2)'!$A:$Z,11,FALSE)</f>
        <v>François GAYRAUD</v>
      </c>
      <c r="AN272" s="18">
        <v>1</v>
      </c>
      <c r="AO272" s="4">
        <v>500</v>
      </c>
      <c r="AP272" s="4">
        <v>500</v>
      </c>
      <c r="AQ272" s="20">
        <v>0</v>
      </c>
      <c r="AR272" s="6">
        <v>0</v>
      </c>
    </row>
    <row r="273" spans="1:44">
      <c r="A273" s="18" t="s">
        <v>760</v>
      </c>
      <c r="B273" s="18" t="s">
        <v>761</v>
      </c>
      <c r="C273" s="18" t="s">
        <v>761</v>
      </c>
      <c r="D273" s="18" t="s">
        <v>762</v>
      </c>
      <c r="E273" s="18" t="s">
        <v>52</v>
      </c>
      <c r="F273" s="18" t="s">
        <v>53</v>
      </c>
      <c r="G273" s="18"/>
      <c r="H273" s="19" t="s">
        <v>1216</v>
      </c>
      <c r="I273" s="23" t="s">
        <v>1217</v>
      </c>
      <c r="J273" s="24">
        <v>46023</v>
      </c>
      <c r="K273" s="24">
        <v>46387</v>
      </c>
      <c r="L273" s="24" t="s">
        <v>1218</v>
      </c>
      <c r="M273" s="24" t="s">
        <v>1219</v>
      </c>
      <c r="N273" s="24">
        <v>46023</v>
      </c>
      <c r="O273" s="24" t="str">
        <f>VLOOKUP(D273,records!$A:$U,10,FALSE)</f>
        <v>0012p00004ReLicAAF</v>
      </c>
      <c r="P273" s="24" t="str">
        <f>VLOOKUP(D273,records!$A:$V,20,FALSE)</f>
        <v>FR50393891825</v>
      </c>
      <c r="Q273" s="24" t="str">
        <f>VLOOKUP(D273,records!$A:$V,12,FALSE)</f>
        <v>39 389 182 500 027</v>
      </c>
      <c r="R273" s="24" t="s">
        <v>1220</v>
      </c>
      <c r="S273" s="24" t="str">
        <f>VLOOKUP(D273,records!$A:$U,19,FALSE)</f>
        <v>marion.bougeard@maison-colibri.com</v>
      </c>
      <c r="T273" s="26" t="s">
        <v>1221</v>
      </c>
      <c r="U273" s="26" t="s">
        <v>1222</v>
      </c>
      <c r="V273" s="26" t="str">
        <f>VLOOKUP($D273,records!$A:$V,3,FALSE)</f>
        <v>COLIBRI sasu</v>
      </c>
      <c r="W273" s="26"/>
      <c r="X273" s="26" t="str">
        <f>VLOOKUP($D273,records!$A:$V,9,FALSE)</f>
        <v>2 Route de Marennes</v>
      </c>
      <c r="Y273" s="26" t="str">
        <f>VLOOKUP($D273,records!$A:$V,4,FALSE)</f>
        <v>PONS</v>
      </c>
      <c r="Z273" s="26" t="str">
        <f>VLOOKUP($D273,records!$A:$V,7,FALSE)</f>
        <v>17800</v>
      </c>
      <c r="AA273" s="26" t="s">
        <v>1223</v>
      </c>
      <c r="AB273" s="26">
        <f>VLOOKUP(O273,'records (2)'!$A:$Z,8,FALSE)</f>
        <v>30</v>
      </c>
      <c r="AC273" s="26" t="b">
        <v>0</v>
      </c>
      <c r="AD273" s="26"/>
      <c r="AE273" s="26"/>
      <c r="AF273" s="26" t="str">
        <f>VLOOKUP($D273,records!$A:$V,13,FALSE)</f>
        <v>COLIBRI sasu</v>
      </c>
      <c r="AG273" s="26" t="s">
        <v>1226</v>
      </c>
      <c r="AH273" s="26" t="str">
        <f>VLOOKUP($D273,records!$A:$V,19,FALSE)</f>
        <v>marion.bougeard@maison-colibri.com</v>
      </c>
      <c r="AI273" s="26" t="str">
        <f>VLOOKUP($D273,records!$A:$V,14,FALSE)</f>
        <v>.</v>
      </c>
      <c r="AJ273" s="26" t="str">
        <f>VLOOKUP($O273,'records (2)'!$A:$Z,14,FALSE)</f>
        <v>003IV000010tIiVYAU</v>
      </c>
      <c r="AK273" s="26" t="str">
        <f>VLOOKUP($O273,'records (2)'!$A:$Z,15,FALSE)</f>
        <v>Aurélie RANNOU (compta)</v>
      </c>
      <c r="AL273" s="26" t="str">
        <f>VLOOKUP($O273,'records (2)'!$A:$Z,10,FALSE)</f>
        <v>003IV000010tRUFYA2</v>
      </c>
      <c r="AM273" s="26" t="str">
        <f>VLOOKUP($O273,'records (2)'!$A:$Z,11,FALSE)</f>
        <v>Marion BOUGEARD</v>
      </c>
      <c r="AN273" s="18">
        <v>1</v>
      </c>
      <c r="AO273" s="4">
        <v>1000</v>
      </c>
      <c r="AP273" s="4">
        <v>1000</v>
      </c>
      <c r="AQ273" s="20">
        <v>0</v>
      </c>
      <c r="AR273" s="6">
        <v>0</v>
      </c>
    </row>
    <row r="274" spans="1:44">
      <c r="A274" s="18" t="s">
        <v>161</v>
      </c>
      <c r="B274" s="18" t="s">
        <v>162</v>
      </c>
      <c r="C274" s="18" t="s">
        <v>163</v>
      </c>
      <c r="D274" s="18" t="s">
        <v>164</v>
      </c>
      <c r="E274" s="18" t="s">
        <v>16</v>
      </c>
      <c r="F274" s="18" t="s">
        <v>17</v>
      </c>
      <c r="G274" s="18"/>
      <c r="H274" s="19" t="s">
        <v>1216</v>
      </c>
      <c r="I274" s="23" t="s">
        <v>1217</v>
      </c>
      <c r="J274" s="24">
        <v>46023</v>
      </c>
      <c r="K274" s="24">
        <v>46387</v>
      </c>
      <c r="L274" s="24" t="s">
        <v>1218</v>
      </c>
      <c r="M274" s="24" t="s">
        <v>1219</v>
      </c>
      <c r="N274" s="24">
        <v>46023</v>
      </c>
      <c r="O274" s="24" t="str">
        <f>VLOOKUP(D274,records!$A:$U,10,FALSE)</f>
        <v>0012p00004Ne1aHAAR</v>
      </c>
      <c r="P274" s="24" t="str">
        <f>VLOOKUP(D274,records!$A:$V,20,FALSE)</f>
        <v>FR55330001645</v>
      </c>
      <c r="Q274" s="24" t="str">
        <f>VLOOKUP(D274,records!$A:$V,12,FALSE)</f>
        <v>33 000 164 500 119</v>
      </c>
      <c r="R274" s="24" t="s">
        <v>1220</v>
      </c>
      <c r="S274" s="24" t="str">
        <f>VLOOKUP(D274,records!$A:$U,19,FALSE)</f>
        <v>mdesablin@flip.fr</v>
      </c>
      <c r="T274" s="26" t="s">
        <v>1221</v>
      </c>
      <c r="U274" s="26" t="s">
        <v>1222</v>
      </c>
      <c r="V274" s="26" t="str">
        <f>VLOOKUP($D274,records!$A:$V,3,FALSE)</f>
        <v>FLIP sas</v>
      </c>
      <c r="W274" s="26"/>
      <c r="X274" s="26" t="str">
        <f>VLOOKUP($D274,records!$A:$V,9,FALSE)</f>
        <v>ZI rue Pierre Et Marie Curie</v>
      </c>
      <c r="Y274" s="26" t="str">
        <f>VLOOKUP($D274,records!$A:$V,4,FALSE)</f>
        <v>GONDECOURT</v>
      </c>
      <c r="Z274" s="26" t="str">
        <f>VLOOKUP($D274,records!$A:$V,7,FALSE)</f>
        <v>59147</v>
      </c>
      <c r="AA274" s="26" t="s">
        <v>1223</v>
      </c>
      <c r="AB274" s="26">
        <f>VLOOKUP(O274,'records (2)'!$A:$Z,8,FALSE)</f>
        <v>30</v>
      </c>
      <c r="AC274" s="26" t="b">
        <v>0</v>
      </c>
      <c r="AD274" s="26"/>
      <c r="AE274" s="26"/>
      <c r="AF274" s="26" t="str">
        <f>VLOOKUP($D274,records!$A:$V,13,FALSE)</f>
        <v>FLIP sas</v>
      </c>
      <c r="AG274" s="26" t="s">
        <v>1226</v>
      </c>
      <c r="AH274" s="26" t="str">
        <f>VLOOKUP($D274,records!$A:$V,19,FALSE)</f>
        <v>mdesablin@flip.fr</v>
      </c>
      <c r="AI274" s="26" t="str">
        <f>VLOOKUP($D274,records!$A:$V,14,FALSE)</f>
        <v>.</v>
      </c>
      <c r="AJ274" s="26" t="str">
        <f>VLOOKUP($O274,'records (2)'!$A:$Z,14,FALSE)</f>
        <v>003IV000010tIelYAE</v>
      </c>
      <c r="AK274" s="26" t="str">
        <f>VLOOKUP($O274,'records (2)'!$A:$Z,15,FALSE)</f>
        <v>Michel DESABLIN</v>
      </c>
      <c r="AL274" s="26" t="str">
        <f>VLOOKUP($O274,'records (2)'!$A:$Z,10,FALSE)</f>
        <v>003IV000010tIelYAE</v>
      </c>
      <c r="AM274" s="26" t="str">
        <f>VLOOKUP($O274,'records (2)'!$A:$Z,11,FALSE)</f>
        <v>Michel DESABLIN</v>
      </c>
      <c r="AN274" s="18">
        <v>1</v>
      </c>
      <c r="AO274" s="4">
        <v>1000</v>
      </c>
      <c r="AP274" s="4">
        <v>1000</v>
      </c>
      <c r="AQ274" s="20">
        <v>0</v>
      </c>
      <c r="AR274" s="6">
        <v>0</v>
      </c>
    </row>
    <row r="275" spans="1:44">
      <c r="A275" s="18" t="s">
        <v>288</v>
      </c>
      <c r="B275" s="18" t="s">
        <v>289</v>
      </c>
      <c r="C275" s="18" t="s">
        <v>289</v>
      </c>
      <c r="D275" s="18" t="s">
        <v>290</v>
      </c>
      <c r="E275" s="18" t="s">
        <v>23</v>
      </c>
      <c r="F275" s="18" t="s">
        <v>24</v>
      </c>
      <c r="G275" s="18"/>
      <c r="H275" s="19" t="s">
        <v>1216</v>
      </c>
      <c r="I275" s="23" t="s">
        <v>1217</v>
      </c>
      <c r="J275" s="24">
        <v>46023</v>
      </c>
      <c r="K275" s="24">
        <v>46387</v>
      </c>
      <c r="L275" s="24" t="s">
        <v>1218</v>
      </c>
      <c r="M275" s="24" t="s">
        <v>1219</v>
      </c>
      <c r="N275" s="24">
        <v>46023</v>
      </c>
      <c r="O275" s="24" t="str">
        <f>VLOOKUP(D275,records!$A:$U,10,FALSE)</f>
        <v>0012p00004U0MCtAAN</v>
      </c>
      <c r="P275" s="24" t="str">
        <f>VLOOKUP(D275,records!$A:$V,20,FALSE)</f>
        <v>FR17685550444</v>
      </c>
      <c r="Q275" s="24" t="str">
        <f>VLOOKUP(D275,records!$A:$V,12,FALSE)</f>
        <v>68 555 044 400 010</v>
      </c>
      <c r="R275" s="24" t="s">
        <v>1220</v>
      </c>
      <c r="S275" s="24" t="str">
        <f>VLOOKUP(D275,records!$A:$U,19,FALSE)</f>
        <v>metso.fr105@bscs.basware.com</v>
      </c>
      <c r="T275" s="26" t="s">
        <v>1221</v>
      </c>
      <c r="U275" s="26" t="s">
        <v>1222</v>
      </c>
      <c r="V275" s="26" t="str">
        <f>VLOOKUP($D275,records!$A:$V,3,FALSE)</f>
        <v>METSO FRANCE SAS</v>
      </c>
      <c r="W275" s="26" t="str">
        <f>IFERROR(VLOOKUP($D275,records!$A:$V,6,FALSE),)</f>
        <v>RH</v>
      </c>
      <c r="X275" s="26" t="str">
        <f>VLOOKUP($D275,records!$A:$V,9,FALSE)</f>
        <v>41 Rue de la République 71000 MACON</v>
      </c>
      <c r="Y275" s="26" t="str">
        <f>VLOOKUP($D275,records!$A:$V,4,FALSE)</f>
        <v>MACON</v>
      </c>
      <c r="Z275" s="26" t="str">
        <f>VLOOKUP($D275,records!$A:$V,7,FALSE)</f>
        <v>69830</v>
      </c>
      <c r="AA275" s="26" t="s">
        <v>1223</v>
      </c>
      <c r="AB275" s="26">
        <f>VLOOKUP(O275,'records (2)'!$A:$Z,8,FALSE)</f>
        <v>30</v>
      </c>
      <c r="AC275" s="26" t="b">
        <f>VLOOKUP(O275,'records (4)'!$A:$C,3,FALSE)</f>
        <v>1</v>
      </c>
      <c r="AD275" s="26" t="s">
        <v>1225</v>
      </c>
      <c r="AE275" s="24">
        <v>46023</v>
      </c>
      <c r="AF275" s="26" t="str">
        <f>VLOOKUP($D275,records!$A:$V,13,FALSE)</f>
        <v>METSO FRANCE SAS</v>
      </c>
      <c r="AG275" s="26" t="s">
        <v>1226</v>
      </c>
      <c r="AH275" s="26" t="str">
        <f>VLOOKUP($D275,records!$A:$V,19,FALSE)</f>
        <v>metso.fr105@bscs.basware.com</v>
      </c>
      <c r="AI275" s="26" t="str">
        <f>VLOOKUP($D275,records!$A:$V,14,FALSE)</f>
        <v>.</v>
      </c>
      <c r="AJ275" s="26" t="str">
        <f>VLOOKUP($O275,'records (2)'!$A:$Z,14,FALSE)</f>
        <v>003IV000010t3wmYAA</v>
      </c>
      <c r="AK275" s="26" t="str">
        <f>VLOOKUP($O275,'records (2)'!$A:$Z,15,FALSE)</f>
        <v>Sabrina LESAGE (metso)</v>
      </c>
      <c r="AL275" s="26" t="str">
        <f>VLOOKUP($O275,'records (2)'!$A:$Z,10,FALSE)</f>
        <v>003IV000010t3wmYAA</v>
      </c>
      <c r="AM275" s="26" t="str">
        <f>VLOOKUP($O275,'records (2)'!$A:$Z,11,FALSE)</f>
        <v>Sabrina LESAGE (metso)</v>
      </c>
      <c r="AN275" s="18">
        <v>1</v>
      </c>
      <c r="AO275" s="4">
        <v>2232</v>
      </c>
      <c r="AP275" s="4">
        <v>2232</v>
      </c>
      <c r="AQ275" s="20">
        <v>0</v>
      </c>
      <c r="AR275" s="6">
        <v>0</v>
      </c>
    </row>
    <row r="276" spans="1:44">
      <c r="A276" s="18" t="s">
        <v>116</v>
      </c>
      <c r="B276" s="18" t="s">
        <v>117</v>
      </c>
      <c r="C276" s="18" t="s">
        <v>118</v>
      </c>
      <c r="D276" s="18" t="s">
        <v>119</v>
      </c>
      <c r="E276" s="18" t="s">
        <v>16</v>
      </c>
      <c r="F276" s="18" t="s">
        <v>17</v>
      </c>
      <c r="G276" s="18"/>
      <c r="H276" s="19" t="s">
        <v>1216</v>
      </c>
      <c r="I276" s="23" t="s">
        <v>1217</v>
      </c>
      <c r="J276" s="24">
        <v>46023</v>
      </c>
      <c r="K276" s="24">
        <v>46387</v>
      </c>
      <c r="L276" s="24" t="s">
        <v>1218</v>
      </c>
      <c r="M276" s="24" t="s">
        <v>1219</v>
      </c>
      <c r="N276" s="24">
        <v>46023</v>
      </c>
      <c r="O276" s="24" t="str">
        <f>VLOOKUP(D276,records!$A:$U,10,FALSE)</f>
        <v>001SZ0000018YllYAE</v>
      </c>
      <c r="P276" s="24" t="str">
        <f>VLOOKUP(D276,records!$A:$V,20,FALSE)</f>
        <v>FR92802099655</v>
      </c>
      <c r="Q276" s="24" t="str">
        <f>VLOOKUP(D276,records!$A:$V,12,FALSE)</f>
        <v>80 209 965 500 028</v>
      </c>
      <c r="R276" s="24" t="s">
        <v>1220</v>
      </c>
      <c r="S276" s="24" t="str">
        <f>VLOOKUP(D276,records!$A:$U,19,FALSE)</f>
        <v>mgrelier@cetih.eu</v>
      </c>
      <c r="T276" s="26" t="s">
        <v>1221</v>
      </c>
      <c r="U276" s="26" t="s">
        <v>1222</v>
      </c>
      <c r="V276" s="26" t="str">
        <f>VLOOKUP($D276,records!$A:$V,3,FALSE)</f>
        <v>CETIH DEVELOPPEMENT sas</v>
      </c>
      <c r="W276" s="26"/>
      <c r="X276" s="26" t="str">
        <f>VLOOKUP($D276,records!$A:$V,9,FALSE)</f>
        <v>2 rue Gustave Eiffel - BP 41</v>
      </c>
      <c r="Y276" s="26" t="str">
        <f>VLOOKUP($D276,records!$A:$V,4,FALSE)</f>
        <v>MACHECOUL-SAINT-MEME</v>
      </c>
      <c r="Z276" s="26" t="str">
        <f>VLOOKUP($D276,records!$A:$V,7,FALSE)</f>
        <v>44270</v>
      </c>
      <c r="AA276" s="26" t="s">
        <v>1223</v>
      </c>
      <c r="AB276" s="26">
        <f>VLOOKUP(O276,'records (2)'!$A:$Z,8,FALSE)</f>
        <v>30</v>
      </c>
      <c r="AC276" s="26" t="b">
        <v>0</v>
      </c>
      <c r="AD276" s="26"/>
      <c r="AE276" s="26"/>
      <c r="AF276" s="26" t="str">
        <f>VLOOKUP($D276,records!$A:$V,13,FALSE)</f>
        <v>CETIH DEVELOPPEMENT sas</v>
      </c>
      <c r="AG276" s="26" t="s">
        <v>1226</v>
      </c>
      <c r="AH276" s="26" t="str">
        <f>VLOOKUP($D276,records!$A:$V,19,FALSE)</f>
        <v>mgrelier@cetih.eu</v>
      </c>
      <c r="AI276" s="26" t="str">
        <f>VLOOKUP($D276,records!$A:$V,14,FALSE)</f>
        <v>.</v>
      </c>
      <c r="AJ276" s="26" t="str">
        <f>VLOOKUP($O276,'records (2)'!$A:$Z,14,FALSE)</f>
        <v>003IV000010tTtEYAU</v>
      </c>
      <c r="AK276" s="26" t="str">
        <f>VLOOKUP($O276,'records (2)'!$A:$Z,15,FALSE)</f>
        <v>Mathias GRELIER</v>
      </c>
      <c r="AL276" s="26" t="str">
        <f>VLOOKUP($O276,'records (2)'!$A:$Z,10,FALSE)</f>
        <v>003IV000010tTtEYAU</v>
      </c>
      <c r="AM276" s="26" t="str">
        <f>VLOOKUP($O276,'records (2)'!$A:$Z,11,FALSE)</f>
        <v>Mathias GRELIER</v>
      </c>
      <c r="AN276" s="18">
        <v>1</v>
      </c>
      <c r="AO276" s="4">
        <v>7000</v>
      </c>
      <c r="AP276" s="4">
        <v>7000</v>
      </c>
      <c r="AQ276" s="20">
        <v>0</v>
      </c>
      <c r="AR276" s="6">
        <v>0</v>
      </c>
    </row>
    <row r="277" spans="1:44">
      <c r="A277" s="18" t="s">
        <v>999</v>
      </c>
      <c r="B277" s="18" t="s">
        <v>1000</v>
      </c>
      <c r="C277" s="12" t="s">
        <v>1182</v>
      </c>
      <c r="D277" s="18" t="s">
        <v>1001</v>
      </c>
      <c r="E277" s="18" t="s">
        <v>52</v>
      </c>
      <c r="F277" s="18" t="s">
        <v>53</v>
      </c>
      <c r="G277" s="18"/>
      <c r="H277" s="19" t="s">
        <v>1216</v>
      </c>
      <c r="I277" s="23" t="s">
        <v>1217</v>
      </c>
      <c r="J277" s="24">
        <v>46023</v>
      </c>
      <c r="K277" s="24">
        <v>46387</v>
      </c>
      <c r="L277" s="24" t="s">
        <v>1218</v>
      </c>
      <c r="M277" s="24" t="s">
        <v>1219</v>
      </c>
      <c r="N277" s="24">
        <v>46023</v>
      </c>
      <c r="O277" s="24" t="str">
        <f>VLOOKUP(D277,records!$A:$U,10,FALSE)</f>
        <v>001SZ000004Sn8MYAS</v>
      </c>
      <c r="P277" s="24" t="str">
        <f>VLOOKUP(D277,records!$A:$V,20,FALSE)</f>
        <v>FR44509553459</v>
      </c>
      <c r="Q277" s="24" t="str">
        <f>VLOOKUP(D277,records!$A:$V,12,FALSE)</f>
        <v>50 955 345 900 033</v>
      </c>
      <c r="R277" s="24" t="s">
        <v>1220</v>
      </c>
      <c r="S277" s="24" t="str">
        <f>VLOOKUP(D277,records!$A:$U,19,FALSE)</f>
        <v>mhcs.comptafrs@moethennessy.com</v>
      </c>
      <c r="T277" s="26" t="s">
        <v>1221</v>
      </c>
      <c r="U277" s="26" t="s">
        <v>1222</v>
      </c>
      <c r="V277" s="26" t="str">
        <f>VLOOKUP($D277,records!$A:$V,3,FALSE)</f>
        <v>MHCS sa</v>
      </c>
      <c r="W277" s="26"/>
      <c r="X277" s="26" t="str">
        <f>VLOOKUP($D277,records!$A:$V,9,FALSE)</f>
        <v>9 avenue de Champagne</v>
      </c>
      <c r="Y277" s="26" t="str">
        <f>VLOOKUP($D277,records!$A:$V,4,FALSE)</f>
        <v>EPERNAY CEDEX</v>
      </c>
      <c r="Z277" s="26" t="str">
        <f>VLOOKUP($D277,records!$A:$V,7,FALSE)</f>
        <v>51207</v>
      </c>
      <c r="AA277" s="26" t="s">
        <v>1223</v>
      </c>
      <c r="AB277" s="26">
        <f>VLOOKUP(O277,'records (2)'!$A:$Z,8,FALSE)</f>
        <v>60</v>
      </c>
      <c r="AC277" s="26" t="b">
        <f>VLOOKUP(O277,'records (4)'!$A:$C,3,FALSE)</f>
        <v>1</v>
      </c>
      <c r="AD277" s="26" t="s">
        <v>1225</v>
      </c>
      <c r="AE277" s="24">
        <v>46023</v>
      </c>
      <c r="AF277" s="26" t="str">
        <f>VLOOKUP($D277,records!$A:$V,13,FALSE)</f>
        <v>MHCS sa</v>
      </c>
      <c r="AG277" s="26" t="s">
        <v>1226</v>
      </c>
      <c r="AH277" s="26" t="str">
        <f>VLOOKUP($D277,records!$A:$V,19,FALSE)</f>
        <v>mhcs.comptafrs@moethennessy.com</v>
      </c>
      <c r="AI277" s="26" t="str">
        <f>VLOOKUP($D277,records!$A:$V,14,FALSE)</f>
        <v>.</v>
      </c>
      <c r="AJ277" s="26" t="str">
        <f>VLOOKUP($O277,'records (2)'!$A:$Z,14,FALSE)</f>
        <v>003IV000010tHInYAM</v>
      </c>
      <c r="AK277" s="26" t="str">
        <f>VLOOKUP($O277,'records (2)'!$A:$Z,15,FALSE)</f>
        <v>Catherine ARNAUD</v>
      </c>
      <c r="AL277" s="26" t="str">
        <f>VLOOKUP($O277,'records (2)'!$A:$Z,10,FALSE)</f>
        <v>003IV000010tHInYAM</v>
      </c>
      <c r="AM277" s="26" t="str">
        <f>VLOOKUP($O277,'records (2)'!$A:$Z,11,FALSE)</f>
        <v>Catherine ARNAUD</v>
      </c>
      <c r="AN277" s="18">
        <v>1</v>
      </c>
      <c r="AO277" s="4">
        <v>2500</v>
      </c>
      <c r="AP277" s="4">
        <v>2500</v>
      </c>
      <c r="AQ277" s="20">
        <v>0</v>
      </c>
      <c r="AR277" s="6">
        <v>0</v>
      </c>
    </row>
    <row r="278" spans="1:44">
      <c r="A278" s="12" t="s">
        <v>999</v>
      </c>
      <c r="B278" s="12" t="s">
        <v>1182</v>
      </c>
      <c r="C278" s="12" t="s">
        <v>1182</v>
      </c>
      <c r="D278" s="18" t="s">
        <v>1001</v>
      </c>
      <c r="E278" s="18" t="s">
        <v>1172</v>
      </c>
      <c r="F278" s="18" t="s">
        <v>1173</v>
      </c>
      <c r="G278" s="18"/>
      <c r="H278" s="19" t="s">
        <v>1216</v>
      </c>
      <c r="I278" s="23" t="s">
        <v>1217</v>
      </c>
      <c r="J278" s="24">
        <v>46023</v>
      </c>
      <c r="K278" s="24">
        <v>46387</v>
      </c>
      <c r="L278" s="24" t="s">
        <v>1218</v>
      </c>
      <c r="M278" s="24" t="s">
        <v>1219</v>
      </c>
      <c r="N278" s="24">
        <v>46023</v>
      </c>
      <c r="O278" s="24" t="str">
        <f>VLOOKUP(D278,records!$A:$U,10,FALSE)</f>
        <v>001SZ000004Sn8MYAS</v>
      </c>
      <c r="P278" s="24" t="str">
        <f>VLOOKUP(D278,records!$A:$V,20,FALSE)</f>
        <v>FR44509553459</v>
      </c>
      <c r="Q278" s="24" t="str">
        <f>VLOOKUP(D278,records!$A:$V,12,FALSE)</f>
        <v>50 955 345 900 033</v>
      </c>
      <c r="R278" s="24" t="s">
        <v>1220</v>
      </c>
      <c r="S278" s="24" t="str">
        <f>VLOOKUP(D278,records!$A:$U,19,FALSE)</f>
        <v>mhcs.comptafrs@moethennessy.com</v>
      </c>
      <c r="T278" s="26" t="s">
        <v>1221</v>
      </c>
      <c r="U278" s="26" t="s">
        <v>1222</v>
      </c>
      <c r="V278" s="26" t="str">
        <f>VLOOKUP($D278,records!$A:$V,3,FALSE)</f>
        <v>MHCS sa</v>
      </c>
      <c r="W278" s="26"/>
      <c r="X278" s="26" t="str">
        <f>VLOOKUP($D278,records!$A:$V,9,FALSE)</f>
        <v>9 avenue de Champagne</v>
      </c>
      <c r="Y278" s="26" t="str">
        <f>VLOOKUP($D278,records!$A:$V,4,FALSE)</f>
        <v>EPERNAY CEDEX</v>
      </c>
      <c r="Z278" s="26" t="str">
        <f>VLOOKUP($D278,records!$A:$V,7,FALSE)</f>
        <v>51207</v>
      </c>
      <c r="AA278" s="26" t="s">
        <v>1223</v>
      </c>
      <c r="AB278" s="26">
        <f>VLOOKUP(O278,'records (2)'!$A:$Z,8,FALSE)</f>
        <v>60</v>
      </c>
      <c r="AC278" s="26" t="b">
        <f>VLOOKUP(O278,'records (4)'!$A:$C,3,FALSE)</f>
        <v>1</v>
      </c>
      <c r="AD278" s="26" t="s">
        <v>1225</v>
      </c>
      <c r="AE278" s="24">
        <v>46023</v>
      </c>
      <c r="AF278" s="26" t="str">
        <f>VLOOKUP($D278,records!$A:$V,13,FALSE)</f>
        <v>MHCS sa</v>
      </c>
      <c r="AG278" s="26" t="s">
        <v>1226</v>
      </c>
      <c r="AH278" s="26" t="str">
        <f>VLOOKUP($D278,records!$A:$V,19,FALSE)</f>
        <v>mhcs.comptafrs@moethennessy.com</v>
      </c>
      <c r="AI278" s="26" t="str">
        <f>VLOOKUP($D278,records!$A:$V,14,FALSE)</f>
        <v>.</v>
      </c>
      <c r="AJ278" s="26" t="str">
        <f>VLOOKUP($O278,'records (2)'!$A:$Z,14,FALSE)</f>
        <v>003IV000010tHInYAM</v>
      </c>
      <c r="AK278" s="26" t="str">
        <f>VLOOKUP($O278,'records (2)'!$A:$Z,15,FALSE)</f>
        <v>Catherine ARNAUD</v>
      </c>
      <c r="AL278" s="26" t="str">
        <f>VLOOKUP($O278,'records (2)'!$A:$Z,10,FALSE)</f>
        <v>003IV000010tHInYAM</v>
      </c>
      <c r="AM278" s="26" t="str">
        <f>VLOOKUP($O278,'records (2)'!$A:$Z,11,FALSE)</f>
        <v>Catherine ARNAUD</v>
      </c>
      <c r="AN278" s="18">
        <v>1</v>
      </c>
      <c r="AO278" s="4">
        <v>1800</v>
      </c>
      <c r="AP278" s="4">
        <v>1800</v>
      </c>
      <c r="AQ278" s="20">
        <v>0</v>
      </c>
      <c r="AR278" s="6" t="s">
        <v>1174</v>
      </c>
    </row>
    <row r="279" spans="1:44">
      <c r="A279" s="12" t="s">
        <v>999</v>
      </c>
      <c r="B279" s="12" t="s">
        <v>1182</v>
      </c>
      <c r="C279" s="12" t="s">
        <v>1182</v>
      </c>
      <c r="D279" s="18" t="s">
        <v>1001</v>
      </c>
      <c r="E279" s="18" t="s">
        <v>1177</v>
      </c>
      <c r="F279" s="18" t="s">
        <v>1178</v>
      </c>
      <c r="G279" s="18"/>
      <c r="H279" s="19" t="s">
        <v>1216</v>
      </c>
      <c r="I279" s="23" t="s">
        <v>1217</v>
      </c>
      <c r="J279" s="24">
        <v>46023</v>
      </c>
      <c r="K279" s="24">
        <v>46387</v>
      </c>
      <c r="L279" s="24" t="s">
        <v>1218</v>
      </c>
      <c r="M279" s="24" t="s">
        <v>1219</v>
      </c>
      <c r="N279" s="24">
        <v>46023</v>
      </c>
      <c r="O279" s="24" t="str">
        <f>VLOOKUP(D279,records!$A:$U,10,FALSE)</f>
        <v>001SZ000004Sn8MYAS</v>
      </c>
      <c r="P279" s="24" t="str">
        <f>VLOOKUP(D279,records!$A:$V,20,FALSE)</f>
        <v>FR44509553459</v>
      </c>
      <c r="Q279" s="24" t="str">
        <f>VLOOKUP(D279,records!$A:$V,12,FALSE)</f>
        <v>50 955 345 900 033</v>
      </c>
      <c r="R279" s="24" t="s">
        <v>1220</v>
      </c>
      <c r="S279" s="24" t="str">
        <f>VLOOKUP(D279,records!$A:$U,19,FALSE)</f>
        <v>mhcs.comptafrs@moethennessy.com</v>
      </c>
      <c r="T279" s="26" t="s">
        <v>1221</v>
      </c>
      <c r="U279" s="26" t="s">
        <v>1222</v>
      </c>
      <c r="V279" s="26" t="str">
        <f>VLOOKUP($D279,records!$A:$V,3,FALSE)</f>
        <v>MHCS sa</v>
      </c>
      <c r="W279" s="26"/>
      <c r="X279" s="26" t="str">
        <f>VLOOKUP($D279,records!$A:$V,9,FALSE)</f>
        <v>9 avenue de Champagne</v>
      </c>
      <c r="Y279" s="26" t="str">
        <f>VLOOKUP($D279,records!$A:$V,4,FALSE)</f>
        <v>EPERNAY CEDEX</v>
      </c>
      <c r="Z279" s="26" t="str">
        <f>VLOOKUP($D279,records!$A:$V,7,FALSE)</f>
        <v>51207</v>
      </c>
      <c r="AA279" s="26" t="s">
        <v>1223</v>
      </c>
      <c r="AB279" s="26">
        <f>VLOOKUP(O279,'records (2)'!$A:$Z,8,FALSE)</f>
        <v>60</v>
      </c>
      <c r="AC279" s="26" t="b">
        <f>VLOOKUP(O279,'records (4)'!$A:$C,3,FALSE)</f>
        <v>1</v>
      </c>
      <c r="AD279" s="26" t="s">
        <v>1225</v>
      </c>
      <c r="AE279" s="24">
        <v>46023</v>
      </c>
      <c r="AF279" s="26" t="str">
        <f>VLOOKUP($D279,records!$A:$V,13,FALSE)</f>
        <v>MHCS sa</v>
      </c>
      <c r="AG279" s="26" t="s">
        <v>1226</v>
      </c>
      <c r="AH279" s="26" t="str">
        <f>VLOOKUP($D279,records!$A:$V,19,FALSE)</f>
        <v>mhcs.comptafrs@moethennessy.com</v>
      </c>
      <c r="AI279" s="26" t="str">
        <f>VLOOKUP($D279,records!$A:$V,14,FALSE)</f>
        <v>.</v>
      </c>
      <c r="AJ279" s="26" t="str">
        <f>VLOOKUP($O279,'records (2)'!$A:$Z,14,FALSE)</f>
        <v>003IV000010tHInYAM</v>
      </c>
      <c r="AK279" s="26" t="str">
        <f>VLOOKUP($O279,'records (2)'!$A:$Z,15,FALSE)</f>
        <v>Catherine ARNAUD</v>
      </c>
      <c r="AL279" s="26" t="str">
        <f>VLOOKUP($O279,'records (2)'!$A:$Z,10,FALSE)</f>
        <v>003IV000010tHInYAM</v>
      </c>
      <c r="AM279" s="26" t="str">
        <f>VLOOKUP($O279,'records (2)'!$A:$Z,11,FALSE)</f>
        <v>Catherine ARNAUD</v>
      </c>
      <c r="AN279" s="18">
        <v>1</v>
      </c>
      <c r="AO279" s="4">
        <v>1000</v>
      </c>
      <c r="AP279" s="4">
        <v>1000</v>
      </c>
      <c r="AQ279" s="20">
        <v>0</v>
      </c>
      <c r="AR279" s="6" t="s">
        <v>1174</v>
      </c>
    </row>
    <row r="280" spans="1:44">
      <c r="A280" s="18" t="s">
        <v>1022</v>
      </c>
      <c r="B280" s="18" t="s">
        <v>1023</v>
      </c>
      <c r="C280" s="12" t="s">
        <v>1179</v>
      </c>
      <c r="D280" s="18" t="s">
        <v>1024</v>
      </c>
      <c r="E280" s="18" t="s">
        <v>52</v>
      </c>
      <c r="F280" s="18" t="s">
        <v>53</v>
      </c>
      <c r="G280" s="18"/>
      <c r="H280" s="19" t="s">
        <v>1216</v>
      </c>
      <c r="I280" s="23" t="s">
        <v>1217</v>
      </c>
      <c r="J280" s="24">
        <v>46023</v>
      </c>
      <c r="K280" s="24">
        <v>46387</v>
      </c>
      <c r="L280" s="24" t="s">
        <v>1218</v>
      </c>
      <c r="M280" s="24" t="s">
        <v>1219</v>
      </c>
      <c r="N280" s="24">
        <v>46023</v>
      </c>
      <c r="O280" s="24" t="str">
        <f>VLOOKUP(D280,records!$A:$U,10,FALSE)</f>
        <v>001SZ000004So1BYAS</v>
      </c>
      <c r="P280" s="24" t="str">
        <f>VLOOKUP(D280,records!$A:$V,20,FALSE)</f>
        <v>FR44509553459</v>
      </c>
      <c r="Q280" s="24" t="str">
        <f>VLOOKUP(D280,records!$A:$V,12,FALSE)</f>
        <v>50 955 345 900 033</v>
      </c>
      <c r="R280" s="24" t="s">
        <v>1220</v>
      </c>
      <c r="S280" s="24" t="str">
        <f>VLOOKUP(D280,records!$A:$U,19,FALSE)</f>
        <v>mhcs.comptafrs@moethennessy.com</v>
      </c>
      <c r="T280" s="26" t="s">
        <v>1221</v>
      </c>
      <c r="U280" s="26" t="s">
        <v>1222</v>
      </c>
      <c r="V280" s="26" t="str">
        <f>VLOOKUP($D280,records!$A:$V,3,FALSE)</f>
        <v>MHCS sa</v>
      </c>
      <c r="W280" s="26"/>
      <c r="X280" s="26" t="str">
        <f>VLOOKUP($D280,records!$A:$V,9,FALSE)</f>
        <v>9 avenue de Champagne</v>
      </c>
      <c r="Y280" s="26" t="str">
        <f>VLOOKUP($D280,records!$A:$V,4,FALSE)</f>
        <v>EPERNAY</v>
      </c>
      <c r="Z280" s="26" t="str">
        <f>VLOOKUP($D280,records!$A:$V,7,FALSE)</f>
        <v>51200</v>
      </c>
      <c r="AA280" s="26" t="s">
        <v>1223</v>
      </c>
      <c r="AB280" s="26">
        <f>VLOOKUP(O280,'records (2)'!$A:$Z,8,FALSE)</f>
        <v>60</v>
      </c>
      <c r="AC280" s="26" t="b">
        <f>VLOOKUP(O280,'records (4)'!$A:$C,3,FALSE)</f>
        <v>1</v>
      </c>
      <c r="AD280" s="26" t="s">
        <v>1225</v>
      </c>
      <c r="AE280" s="24">
        <v>46023</v>
      </c>
      <c r="AF280" s="26" t="str">
        <f>VLOOKUP($D280,records!$A:$V,13,FALSE)</f>
        <v>MHCS sa</v>
      </c>
      <c r="AG280" s="26" t="s">
        <v>1226</v>
      </c>
      <c r="AH280" s="26" t="str">
        <f>VLOOKUP($D280,records!$A:$V,19,FALSE)</f>
        <v>mhcs.comptafrs@moethennessy.com</v>
      </c>
      <c r="AI280" s="26" t="str">
        <f>VLOOKUP($D280,records!$A:$V,14,FALSE)</f>
        <v>.</v>
      </c>
      <c r="AJ280" s="26" t="str">
        <f>VLOOKUP($O280,'records (2)'!$A:$Z,14,FALSE)</f>
        <v>003IV000010tHInYAM</v>
      </c>
      <c r="AK280" s="26" t="str">
        <f>VLOOKUP($O280,'records (2)'!$A:$Z,15,FALSE)</f>
        <v>Catherine ARNAUD</v>
      </c>
      <c r="AL280" s="26" t="str">
        <f>VLOOKUP($O280,'records (2)'!$A:$Z,10,FALSE)</f>
        <v>003IV000010tHInYAM</v>
      </c>
      <c r="AM280" s="26" t="str">
        <f>VLOOKUP($O280,'records (2)'!$A:$Z,11,FALSE)</f>
        <v>Catherine ARNAUD</v>
      </c>
      <c r="AN280" s="18">
        <v>1</v>
      </c>
      <c r="AO280" s="4">
        <v>2000</v>
      </c>
      <c r="AP280" s="4">
        <v>2000</v>
      </c>
      <c r="AQ280" s="20">
        <v>0</v>
      </c>
      <c r="AR280" s="6">
        <v>0</v>
      </c>
    </row>
    <row r="281" spans="1:44">
      <c r="A281" s="12" t="s">
        <v>1022</v>
      </c>
      <c r="B281" s="12" t="s">
        <v>1179</v>
      </c>
      <c r="C281" s="12" t="s">
        <v>1179</v>
      </c>
      <c r="D281" s="18" t="s">
        <v>1024</v>
      </c>
      <c r="E281" s="18" t="s">
        <v>1177</v>
      </c>
      <c r="F281" s="18" t="s">
        <v>1178</v>
      </c>
      <c r="G281" s="18"/>
      <c r="H281" s="19" t="s">
        <v>1216</v>
      </c>
      <c r="I281" s="23" t="s">
        <v>1217</v>
      </c>
      <c r="J281" s="24">
        <v>46023</v>
      </c>
      <c r="K281" s="24">
        <v>46387</v>
      </c>
      <c r="L281" s="24" t="s">
        <v>1218</v>
      </c>
      <c r="M281" s="24" t="s">
        <v>1219</v>
      </c>
      <c r="N281" s="24">
        <v>46023</v>
      </c>
      <c r="O281" s="24" t="str">
        <f>VLOOKUP(D281,records!$A:$U,10,FALSE)</f>
        <v>001SZ000004So1BYAS</v>
      </c>
      <c r="P281" s="24" t="str">
        <f>VLOOKUP(D281,records!$A:$V,20,FALSE)</f>
        <v>FR44509553459</v>
      </c>
      <c r="Q281" s="24" t="str">
        <f>VLOOKUP(D281,records!$A:$V,12,FALSE)</f>
        <v>50 955 345 900 033</v>
      </c>
      <c r="R281" s="24" t="s">
        <v>1220</v>
      </c>
      <c r="S281" s="24" t="str">
        <f>VLOOKUP(D281,records!$A:$U,19,FALSE)</f>
        <v>mhcs.comptafrs@moethennessy.com</v>
      </c>
      <c r="T281" s="26" t="s">
        <v>1221</v>
      </c>
      <c r="U281" s="26" t="s">
        <v>1222</v>
      </c>
      <c r="V281" s="26" t="str">
        <f>VLOOKUP($D281,records!$A:$V,3,FALSE)</f>
        <v>MHCS sa</v>
      </c>
      <c r="W281" s="26"/>
      <c r="X281" s="26" t="str">
        <f>VLOOKUP($D281,records!$A:$V,9,FALSE)</f>
        <v>9 avenue de Champagne</v>
      </c>
      <c r="Y281" s="26" t="str">
        <f>VLOOKUP($D281,records!$A:$V,4,FALSE)</f>
        <v>EPERNAY</v>
      </c>
      <c r="Z281" s="26" t="str">
        <f>VLOOKUP($D281,records!$A:$V,7,FALSE)</f>
        <v>51200</v>
      </c>
      <c r="AA281" s="26" t="s">
        <v>1223</v>
      </c>
      <c r="AB281" s="26">
        <f>VLOOKUP(O281,'records (2)'!$A:$Z,8,FALSE)</f>
        <v>60</v>
      </c>
      <c r="AC281" s="26" t="b">
        <f>VLOOKUP(O281,'records (4)'!$A:$C,3,FALSE)</f>
        <v>1</v>
      </c>
      <c r="AD281" s="26" t="s">
        <v>1225</v>
      </c>
      <c r="AE281" s="24">
        <v>46023</v>
      </c>
      <c r="AF281" s="26" t="str">
        <f>VLOOKUP($D281,records!$A:$V,13,FALSE)</f>
        <v>MHCS sa</v>
      </c>
      <c r="AG281" s="26" t="s">
        <v>1226</v>
      </c>
      <c r="AH281" s="26" t="str">
        <f>VLOOKUP($D281,records!$A:$V,19,FALSE)</f>
        <v>mhcs.comptafrs@moethennessy.com</v>
      </c>
      <c r="AI281" s="26" t="str">
        <f>VLOOKUP($D281,records!$A:$V,14,FALSE)</f>
        <v>.</v>
      </c>
      <c r="AJ281" s="26" t="str">
        <f>VLOOKUP($O281,'records (2)'!$A:$Z,14,FALSE)</f>
        <v>003IV000010tHInYAM</v>
      </c>
      <c r="AK281" s="26" t="str">
        <f>VLOOKUP($O281,'records (2)'!$A:$Z,15,FALSE)</f>
        <v>Catherine ARNAUD</v>
      </c>
      <c r="AL281" s="26" t="str">
        <f>VLOOKUP($O281,'records (2)'!$A:$Z,10,FALSE)</f>
        <v>003IV000010tHInYAM</v>
      </c>
      <c r="AM281" s="26" t="str">
        <f>VLOOKUP($O281,'records (2)'!$A:$Z,11,FALSE)</f>
        <v>Catherine ARNAUD</v>
      </c>
      <c r="AN281" s="18">
        <v>1</v>
      </c>
      <c r="AO281" s="4">
        <v>1000</v>
      </c>
      <c r="AP281" s="4">
        <v>1000</v>
      </c>
      <c r="AQ281" s="20">
        <v>0</v>
      </c>
      <c r="AR281" s="6" t="s">
        <v>1174</v>
      </c>
    </row>
    <row r="282" spans="1:44">
      <c r="A282" s="12" t="s">
        <v>1022</v>
      </c>
      <c r="B282" s="12" t="s">
        <v>1179</v>
      </c>
      <c r="C282" s="12" t="s">
        <v>1179</v>
      </c>
      <c r="D282" s="18" t="s">
        <v>1024</v>
      </c>
      <c r="E282" s="18" t="s">
        <v>1172</v>
      </c>
      <c r="F282" s="18" t="s">
        <v>1173</v>
      </c>
      <c r="G282" s="18"/>
      <c r="H282" s="19" t="s">
        <v>1216</v>
      </c>
      <c r="I282" s="23" t="s">
        <v>1217</v>
      </c>
      <c r="J282" s="24">
        <v>46023</v>
      </c>
      <c r="K282" s="24">
        <v>46387</v>
      </c>
      <c r="L282" s="24" t="s">
        <v>1218</v>
      </c>
      <c r="M282" s="24" t="s">
        <v>1219</v>
      </c>
      <c r="N282" s="24">
        <v>46023</v>
      </c>
      <c r="O282" s="24" t="str">
        <f>VLOOKUP(D282,records!$A:$U,10,FALSE)</f>
        <v>001SZ000004So1BYAS</v>
      </c>
      <c r="P282" s="24" t="str">
        <f>VLOOKUP(D282,records!$A:$V,20,FALSE)</f>
        <v>FR44509553459</v>
      </c>
      <c r="Q282" s="24" t="str">
        <f>VLOOKUP(D282,records!$A:$V,12,FALSE)</f>
        <v>50 955 345 900 033</v>
      </c>
      <c r="R282" s="24" t="s">
        <v>1220</v>
      </c>
      <c r="S282" s="24" t="str">
        <f>VLOOKUP(D282,records!$A:$U,19,FALSE)</f>
        <v>mhcs.comptafrs@moethennessy.com</v>
      </c>
      <c r="T282" s="26" t="s">
        <v>1221</v>
      </c>
      <c r="U282" s="26" t="s">
        <v>1222</v>
      </c>
      <c r="V282" s="26" t="str">
        <f>VLOOKUP($D282,records!$A:$V,3,FALSE)</f>
        <v>MHCS sa</v>
      </c>
      <c r="W282" s="26"/>
      <c r="X282" s="26" t="str">
        <f>VLOOKUP($D282,records!$A:$V,9,FALSE)</f>
        <v>9 avenue de Champagne</v>
      </c>
      <c r="Y282" s="26" t="str">
        <f>VLOOKUP($D282,records!$A:$V,4,FALSE)</f>
        <v>EPERNAY</v>
      </c>
      <c r="Z282" s="26" t="str">
        <f>VLOOKUP($D282,records!$A:$V,7,FALSE)</f>
        <v>51200</v>
      </c>
      <c r="AA282" s="26" t="s">
        <v>1223</v>
      </c>
      <c r="AB282" s="26">
        <f>VLOOKUP(O282,'records (2)'!$A:$Z,8,FALSE)</f>
        <v>60</v>
      </c>
      <c r="AC282" s="26" t="b">
        <f>VLOOKUP(O282,'records (4)'!$A:$C,3,FALSE)</f>
        <v>1</v>
      </c>
      <c r="AD282" s="26" t="s">
        <v>1225</v>
      </c>
      <c r="AE282" s="24">
        <v>46023</v>
      </c>
      <c r="AF282" s="26" t="str">
        <f>VLOOKUP($D282,records!$A:$V,13,FALSE)</f>
        <v>MHCS sa</v>
      </c>
      <c r="AG282" s="26" t="s">
        <v>1226</v>
      </c>
      <c r="AH282" s="26" t="str">
        <f>VLOOKUP($D282,records!$A:$V,19,FALSE)</f>
        <v>mhcs.comptafrs@moethennessy.com</v>
      </c>
      <c r="AI282" s="26" t="str">
        <f>VLOOKUP($D282,records!$A:$V,14,FALSE)</f>
        <v>.</v>
      </c>
      <c r="AJ282" s="26" t="str">
        <f>VLOOKUP($O282,'records (2)'!$A:$Z,14,FALSE)</f>
        <v>003IV000010tHInYAM</v>
      </c>
      <c r="AK282" s="26" t="str">
        <f>VLOOKUP($O282,'records (2)'!$A:$Z,15,FALSE)</f>
        <v>Catherine ARNAUD</v>
      </c>
      <c r="AL282" s="26" t="str">
        <f>VLOOKUP($O282,'records (2)'!$A:$Z,10,FALSE)</f>
        <v>003IV000010tHInYAM</v>
      </c>
      <c r="AM282" s="26" t="str">
        <f>VLOOKUP($O282,'records (2)'!$A:$Z,11,FALSE)</f>
        <v>Catherine ARNAUD</v>
      </c>
      <c r="AN282" s="18">
        <v>1</v>
      </c>
      <c r="AO282" s="4">
        <v>1200</v>
      </c>
      <c r="AP282" s="4">
        <v>1200</v>
      </c>
      <c r="AQ282" s="20">
        <v>0</v>
      </c>
      <c r="AR282" s="6" t="s">
        <v>1174</v>
      </c>
    </row>
    <row r="283" spans="1:44">
      <c r="A283" s="18" t="s">
        <v>763</v>
      </c>
      <c r="B283" s="18" t="s">
        <v>764</v>
      </c>
      <c r="C283" s="18" t="s">
        <v>765</v>
      </c>
      <c r="D283" s="18" t="s">
        <v>766</v>
      </c>
      <c r="E283" s="18" t="s">
        <v>52</v>
      </c>
      <c r="F283" s="18" t="s">
        <v>53</v>
      </c>
      <c r="G283" s="18"/>
      <c r="H283" s="19" t="s">
        <v>1216</v>
      </c>
      <c r="I283" s="23" t="s">
        <v>1217</v>
      </c>
      <c r="J283" s="24">
        <v>46023</v>
      </c>
      <c r="K283" s="24">
        <v>46387</v>
      </c>
      <c r="L283" s="24" t="s">
        <v>1218</v>
      </c>
      <c r="M283" s="24" t="s">
        <v>1219</v>
      </c>
      <c r="N283" s="24">
        <v>46023</v>
      </c>
      <c r="O283" s="24" t="str">
        <f>VLOOKUP(D283,records!$A:$U,10,FALSE)</f>
        <v>0012p00004NsVMXAA3</v>
      </c>
      <c r="P283" s="24" t="str">
        <f>VLOOKUP(D283,records!$A:$V,20,FALSE)</f>
        <v>FR12338154610</v>
      </c>
      <c r="Q283" s="24" t="str">
        <f>VLOOKUP(D283,records!$A:$V,12,FALSE)</f>
        <v>33 815 461 000 046</v>
      </c>
      <c r="R283" s="24" t="s">
        <v>1220</v>
      </c>
      <c r="S283" s="24" t="str">
        <f>VLOOKUP(D283,records!$A:$U,19,FALSE)</f>
        <v>mlc-demat-frn@maitres-laitiers.fr</v>
      </c>
      <c r="T283" s="26" t="s">
        <v>1221</v>
      </c>
      <c r="U283" s="26" t="s">
        <v>1222</v>
      </c>
      <c r="V283" s="26" t="str">
        <f>VLOOKUP($D283,records!$A:$V,3,FALSE)</f>
        <v>COOPERATIVE AGRICOLE LAITIERE LES MAITRES LAITIERS DU COTENTIN</v>
      </c>
      <c r="W283" s="26"/>
      <c r="X283" s="26" t="str">
        <f>VLOOKUP($D283,records!$A:$V,9,FALSE)</f>
        <v>8 Route de Valognes</v>
      </c>
      <c r="Y283" s="26" t="str">
        <f>VLOOKUP($D283,records!$A:$V,4,FALSE)</f>
        <v>SOTTEVAST</v>
      </c>
      <c r="Z283" s="26" t="str">
        <f>VLOOKUP($D283,records!$A:$V,7,FALSE)</f>
        <v>50260</v>
      </c>
      <c r="AA283" s="26" t="s">
        <v>1223</v>
      </c>
      <c r="AB283" s="26">
        <f>VLOOKUP(O283,'records (2)'!$A:$Z,8,FALSE)</f>
        <v>30</v>
      </c>
      <c r="AC283" s="26" t="b">
        <v>0</v>
      </c>
      <c r="AD283" s="26"/>
      <c r="AE283" s="26"/>
      <c r="AF283" s="26" t="str">
        <f>VLOOKUP($D283,records!$A:$V,13,FALSE)</f>
        <v>LES MAITRES LAITIERS DU COTENTIN</v>
      </c>
      <c r="AG283" s="26" t="s">
        <v>1226</v>
      </c>
      <c r="AH283" s="26" t="str">
        <f>VLOOKUP($D283,records!$A:$V,19,FALSE)</f>
        <v>mlc-demat-frn@maitres-laitiers.fr</v>
      </c>
      <c r="AI283" s="26" t="str">
        <f>VLOOKUP($D283,records!$A:$V,14,FALSE)</f>
        <v>.</v>
      </c>
      <c r="AJ283" s="26" t="str">
        <f>VLOOKUP($O283,'records (2)'!$A:$Z,14,FALSE)</f>
        <v>003IV000010s6R1YAI</v>
      </c>
      <c r="AK283" s="26" t="str">
        <f>VLOOKUP($O283,'records (2)'!$A:$Z,15,FALSE)</f>
        <v>Paul BEZARD</v>
      </c>
      <c r="AL283" s="26" t="str">
        <f>VLOOKUP($O283,'records (2)'!$A:$Z,10,FALSE)</f>
        <v>003IV000018MJ4DYAW</v>
      </c>
      <c r="AM283" s="26" t="str">
        <f>VLOOKUP($O283,'records (2)'!$A:$Z,11,FALSE)</f>
        <v>Recouvrement MAITRES LAITIERS DU COTENTIN</v>
      </c>
      <c r="AN283" s="18">
        <v>1</v>
      </c>
      <c r="AO283" s="4">
        <v>1500</v>
      </c>
      <c r="AP283" s="4">
        <v>1500</v>
      </c>
      <c r="AQ283" s="20">
        <v>0</v>
      </c>
      <c r="AR283" s="6">
        <v>0</v>
      </c>
    </row>
    <row r="284" spans="1:44">
      <c r="A284" s="18" t="s">
        <v>222</v>
      </c>
      <c r="B284" s="18" t="s">
        <v>223</v>
      </c>
      <c r="C284" s="18" t="s">
        <v>223</v>
      </c>
      <c r="D284" s="18" t="s">
        <v>224</v>
      </c>
      <c r="E284" s="18" t="s">
        <v>23</v>
      </c>
      <c r="F284" s="18" t="s">
        <v>24</v>
      </c>
      <c r="G284" s="18"/>
      <c r="H284" s="19" t="s">
        <v>1216</v>
      </c>
      <c r="I284" s="23" t="s">
        <v>1217</v>
      </c>
      <c r="J284" s="24">
        <v>46023</v>
      </c>
      <c r="K284" s="24">
        <v>46387</v>
      </c>
      <c r="L284" s="24" t="s">
        <v>1218</v>
      </c>
      <c r="M284" s="24" t="s">
        <v>1219</v>
      </c>
      <c r="N284" s="24">
        <v>46023</v>
      </c>
      <c r="O284" s="24" t="str">
        <f>VLOOKUP(D284,records!$A:$U,10,FALSE)</f>
        <v>0012p00004TnAhwAAF</v>
      </c>
      <c r="P284" s="24" t="str">
        <f>VLOOKUP(D284,records!$A:$V,20,FALSE)</f>
        <v>FR66343958138</v>
      </c>
      <c r="Q284" s="24" t="str">
        <f>VLOOKUP(D284,records!$A:$V,12,FALSE)</f>
        <v>34 395 813 800 012</v>
      </c>
      <c r="R284" s="24" t="s">
        <v>1220</v>
      </c>
      <c r="S284" s="24" t="str">
        <f>VLOOKUP(D284,records!$A:$U,19,FALSE)</f>
        <v>m-perchoc@bruneau.fr</v>
      </c>
      <c r="T284" s="26" t="s">
        <v>1221</v>
      </c>
      <c r="U284" s="26" t="s">
        <v>1222</v>
      </c>
      <c r="V284" s="26" t="str">
        <f>VLOOKUP($D284,records!$A:$V,3,FALSE)</f>
        <v>JM BRUNEAU sas</v>
      </c>
      <c r="W284" s="26"/>
      <c r="X284" s="26" t="str">
        <f>VLOOKUP($D284,records!$A:$V,9,FALSE)</f>
        <v>19 avenue de la Baltique</v>
      </c>
      <c r="Y284" s="26" t="str">
        <f>VLOOKUP($D284,records!$A:$V,4,FALSE)</f>
        <v>VILLEBON SUR YVETTE</v>
      </c>
      <c r="Z284" s="26" t="str">
        <f>VLOOKUP($D284,records!$A:$V,7,FALSE)</f>
        <v>91140</v>
      </c>
      <c r="AA284" s="26" t="s">
        <v>1223</v>
      </c>
      <c r="AB284" s="26">
        <f>VLOOKUP(O284,'records (2)'!$A:$Z,8,FALSE)</f>
        <v>30</v>
      </c>
      <c r="AC284" s="26" t="b">
        <v>0</v>
      </c>
      <c r="AD284" s="26"/>
      <c r="AE284" s="26"/>
      <c r="AF284" s="26" t="str">
        <f>VLOOKUP($D284,records!$A:$V,13,FALSE)</f>
        <v>JM BRUNEAU sas</v>
      </c>
      <c r="AG284" s="26" t="s">
        <v>1226</v>
      </c>
      <c r="AH284" s="26" t="str">
        <f>VLOOKUP($D284,records!$A:$V,19,FALSE)</f>
        <v>m-perchoc@bruneau.fr</v>
      </c>
      <c r="AI284" s="26" t="str">
        <f>VLOOKUP($D284,records!$A:$V,14,FALSE)</f>
        <v>.</v>
      </c>
      <c r="AJ284" s="26" t="str">
        <f>VLOOKUP($O284,'records (2)'!$A:$Z,14,FALSE)</f>
        <v>003IV000010tRdaYAE</v>
      </c>
      <c r="AK284" s="26" t="str">
        <f>VLOOKUP($O284,'records (2)'!$A:$Z,15,FALSE)</f>
        <v>Comptabilité Fournisseurs JM BRUNEAU</v>
      </c>
      <c r="AL284" s="26" t="str">
        <f>VLOOKUP($O284,'records (2)'!$A:$Z,10,FALSE)</f>
        <v>003IV000010tRdaYAE</v>
      </c>
      <c r="AM284" s="26" t="str">
        <f>VLOOKUP($O284,'records (2)'!$A:$Z,11,FALSE)</f>
        <v>Comptabilité Fournisseurs JM BRUNEAU</v>
      </c>
      <c r="AN284" s="18">
        <v>1</v>
      </c>
      <c r="AO284" s="4">
        <v>1200</v>
      </c>
      <c r="AP284" s="4">
        <v>1200</v>
      </c>
      <c r="AQ284" s="20">
        <v>0</v>
      </c>
      <c r="AR284" s="6">
        <v>0</v>
      </c>
    </row>
    <row r="285" spans="1:44">
      <c r="A285" s="18" t="s">
        <v>177</v>
      </c>
      <c r="B285" s="18" t="s">
        <v>178</v>
      </c>
      <c r="C285" s="18" t="s">
        <v>178</v>
      </c>
      <c r="D285" s="18" t="s">
        <v>179</v>
      </c>
      <c r="E285" s="18" t="s">
        <v>23</v>
      </c>
      <c r="F285" s="18" t="s">
        <v>24</v>
      </c>
      <c r="G285" s="18"/>
      <c r="H285" s="19" t="s">
        <v>1216</v>
      </c>
      <c r="I285" s="23" t="s">
        <v>1217</v>
      </c>
      <c r="J285" s="24">
        <v>46023</v>
      </c>
      <c r="K285" s="24">
        <v>46387</v>
      </c>
      <c r="L285" s="24" t="s">
        <v>1218</v>
      </c>
      <c r="M285" s="24" t="s">
        <v>1219</v>
      </c>
      <c r="N285" s="24">
        <v>46023</v>
      </c>
      <c r="O285" s="24" t="str">
        <f>VLOOKUP(D285,records!$A:$U,10,FALSE)</f>
        <v>0012p00004PasjtAAB</v>
      </c>
      <c r="P285" s="24" t="str">
        <f>VLOOKUP(D285,records!$A:$V,20,FALSE)</f>
        <v>FR66302491899</v>
      </c>
      <c r="Q285" s="24" t="str">
        <f>VLOOKUP(D285,records!$A:$V,12,FALSE)</f>
        <v>30 249 189 900 043</v>
      </c>
      <c r="R285" s="24" t="s">
        <v>1220</v>
      </c>
      <c r="S285" s="24" t="str">
        <f>VLOOKUP(D285,records!$A:$U,19,FALSE)</f>
        <v>nathalie.lessert@georgeshelfer.com</v>
      </c>
      <c r="T285" s="26" t="s">
        <v>1221</v>
      </c>
      <c r="U285" s="26" t="s">
        <v>1222</v>
      </c>
      <c r="V285" s="26" t="str">
        <f>VLOOKUP($D285,records!$A:$V,3,FALSE)</f>
        <v>GEORGES HELFER SA FRANCE</v>
      </c>
      <c r="W285" s="26"/>
      <c r="X285" s="26" t="str">
        <f>VLOOKUP($D285,records!$A:$V,9,FALSE)</f>
        <v>62 avenue de la Villette -
 BP Fleurs 389 -</v>
      </c>
      <c r="Y285" s="26" t="str">
        <f>VLOOKUP($D285,records!$A:$V,4,FALSE)</f>
        <v>RUNGIS CEDEX</v>
      </c>
      <c r="Z285" s="26" t="str">
        <f>VLOOKUP($D285,records!$A:$V,7,FALSE)</f>
        <v>94637</v>
      </c>
      <c r="AA285" s="26" t="s">
        <v>1223</v>
      </c>
      <c r="AB285" s="26">
        <f>VLOOKUP(O285,'records (2)'!$A:$Z,8,FALSE)</f>
        <v>30</v>
      </c>
      <c r="AC285" s="26" t="b">
        <v>0</v>
      </c>
      <c r="AD285" s="26"/>
      <c r="AE285" s="26"/>
      <c r="AF285" s="26" t="str">
        <f>VLOOKUP($D285,records!$A:$V,13,FALSE)</f>
        <v>GEORGES HELFER SA FRANCE</v>
      </c>
      <c r="AG285" s="26" t="s">
        <v>1226</v>
      </c>
      <c r="AH285" s="26" t="str">
        <f>VLOOKUP($D285,records!$A:$V,19,FALSE)</f>
        <v>nathalie.lessert@georgeshelfer.com</v>
      </c>
      <c r="AI285" s="26" t="str">
        <f>VLOOKUP($D285,records!$A:$V,14,FALSE)</f>
        <v>.</v>
      </c>
      <c r="AJ285" s="26" t="str">
        <f>VLOOKUP($O285,'records (2)'!$A:$Z,14,FALSE)</f>
        <v>003IV000010tRytYAE</v>
      </c>
      <c r="AK285" s="26" t="str">
        <f>VLOOKUP($O285,'records (2)'!$A:$Z,15,FALSE)</f>
        <v>Nathalie LESSERT</v>
      </c>
      <c r="AL285" s="26" t="str">
        <f>VLOOKUP($O285,'records (2)'!$A:$Z,10,FALSE)</f>
        <v>003IV000010tRytYAE</v>
      </c>
      <c r="AM285" s="26" t="str">
        <f>VLOOKUP($O285,'records (2)'!$A:$Z,11,FALSE)</f>
        <v>Nathalie LESSERT</v>
      </c>
      <c r="AN285" s="18">
        <v>1</v>
      </c>
      <c r="AO285" s="4">
        <v>4120</v>
      </c>
      <c r="AP285" s="4">
        <v>4120</v>
      </c>
      <c r="AQ285" s="20">
        <v>0</v>
      </c>
      <c r="AR285" s="6">
        <v>0</v>
      </c>
    </row>
    <row r="286" spans="1:44">
      <c r="A286" s="18" t="s">
        <v>314</v>
      </c>
      <c r="B286" s="18" t="s">
        <v>315</v>
      </c>
      <c r="C286" s="18" t="s">
        <v>316</v>
      </c>
      <c r="D286" s="18" t="s">
        <v>317</v>
      </c>
      <c r="E286" s="18" t="s">
        <v>16</v>
      </c>
      <c r="F286" s="18" t="s">
        <v>17</v>
      </c>
      <c r="G286" s="18"/>
      <c r="H286" s="19" t="s">
        <v>1216</v>
      </c>
      <c r="I286" s="23" t="s">
        <v>1217</v>
      </c>
      <c r="J286" s="24">
        <v>46023</v>
      </c>
      <c r="K286" s="24">
        <v>46387</v>
      </c>
      <c r="L286" s="24" t="s">
        <v>1218</v>
      </c>
      <c r="M286" s="24" t="s">
        <v>1219</v>
      </c>
      <c r="N286" s="24">
        <v>46023</v>
      </c>
      <c r="O286" s="24" t="str">
        <f>VLOOKUP(D286,records!$A:$U,10,FALSE)</f>
        <v>0012p00004O4XCpAAN</v>
      </c>
      <c r="P286" s="24" t="str">
        <f>VLOOKUP(D286,records!$A:$V,20,FALSE)</f>
        <v>FR94865500052</v>
      </c>
      <c r="Q286" s="24" t="str">
        <f>VLOOKUP(D286,records!$A:$V,12,FALSE)</f>
        <v>86 550 005 200 010</v>
      </c>
      <c r="R286" s="24" t="s">
        <v>1220</v>
      </c>
      <c r="S286" s="24" t="str">
        <f>VLOOKUP(D286,records!$A:$U,19,FALSE)</f>
        <v>olichon@olichon.fr</v>
      </c>
      <c r="T286" s="26" t="s">
        <v>1221</v>
      </c>
      <c r="U286" s="26" t="s">
        <v>1222</v>
      </c>
      <c r="V286" s="26" t="str">
        <f>VLOOKUP($D286,records!$A:$V,3,FALSE)</f>
        <v>OLICHON sasu</v>
      </c>
      <c r="W286" s="26"/>
      <c r="X286" s="26" t="str">
        <f>VLOOKUP($D286,records!$A:$V,9,FALSE)</f>
        <v>ZI de Keryado - Rue Jules Védrines</v>
      </c>
      <c r="Y286" s="26" t="str">
        <f>VLOOKUP($D286,records!$A:$V,4,FALSE)</f>
        <v>LORIENT</v>
      </c>
      <c r="Z286" s="26" t="str">
        <f>VLOOKUP($D286,records!$A:$V,7,FALSE)</f>
        <v>56100</v>
      </c>
      <c r="AA286" s="26" t="s">
        <v>1223</v>
      </c>
      <c r="AB286" s="26">
        <f>VLOOKUP(O286,'records (2)'!$A:$Z,8,FALSE)</f>
        <v>30</v>
      </c>
      <c r="AC286" s="26" t="b">
        <v>0</v>
      </c>
      <c r="AD286" s="26"/>
      <c r="AE286" s="26"/>
      <c r="AF286" s="26" t="str">
        <f>VLOOKUP($D286,records!$A:$V,13,FALSE)</f>
        <v>OLICHON sasu</v>
      </c>
      <c r="AG286" s="26" t="s">
        <v>1226</v>
      </c>
      <c r="AH286" s="26" t="str">
        <f>VLOOKUP($D286,records!$A:$V,19,FALSE)</f>
        <v>olichon@olichon.fr</v>
      </c>
      <c r="AI286" s="26" t="str">
        <f>VLOOKUP($D286,records!$A:$V,14,FALSE)</f>
        <v>.</v>
      </c>
      <c r="AJ286" s="26" t="str">
        <f>VLOOKUP($O286,'records (2)'!$A:$Z,14,FALSE)</f>
        <v>003IV000010tRVSYA2</v>
      </c>
      <c r="AK286" s="26" t="str">
        <f>VLOOKUP($O286,'records (2)'!$A:$Z,15,FALSE)</f>
        <v>Laure ESCUDIE</v>
      </c>
      <c r="AL286" s="26" t="str">
        <f>VLOOKUP($O286,'records (2)'!$A:$Z,10,FALSE)</f>
        <v>003IV000010tRVSYA2</v>
      </c>
      <c r="AM286" s="26" t="str">
        <f>VLOOKUP($O286,'records (2)'!$A:$Z,11,FALSE)</f>
        <v>Laure ESCUDIE</v>
      </c>
      <c r="AN286" s="18">
        <v>1</v>
      </c>
      <c r="AO286" s="4">
        <v>1000</v>
      </c>
      <c r="AP286" s="4">
        <v>1000</v>
      </c>
      <c r="AQ286" s="20"/>
      <c r="AR286" s="6"/>
    </row>
    <row r="287" spans="1:44">
      <c r="A287" s="18" t="s">
        <v>576</v>
      </c>
      <c r="B287" s="18" t="s">
        <v>577</v>
      </c>
      <c r="C287" s="18" t="s">
        <v>578</v>
      </c>
      <c r="D287" s="18" t="s">
        <v>579</v>
      </c>
      <c r="E287" s="18" t="s">
        <v>52</v>
      </c>
      <c r="F287" s="18" t="s">
        <v>53</v>
      </c>
      <c r="G287" s="18"/>
      <c r="H287" s="19" t="s">
        <v>1216</v>
      </c>
      <c r="I287" s="23" t="s">
        <v>1217</v>
      </c>
      <c r="J287" s="24">
        <v>46023</v>
      </c>
      <c r="K287" s="24">
        <v>46387</v>
      </c>
      <c r="L287" s="24" t="s">
        <v>1218</v>
      </c>
      <c r="M287" s="24" t="s">
        <v>1219</v>
      </c>
      <c r="N287" s="24">
        <v>46023</v>
      </c>
      <c r="O287" s="24" t="str">
        <f>VLOOKUP(D287,records!$A:$U,10,FALSE)</f>
        <v>001SZ00000FIhp4YAD</v>
      </c>
      <c r="P287" s="24" t="str">
        <f>VLOOKUP(D287,records!$A:$V,20,FALSE)</f>
        <v>FR54307390104</v>
      </c>
      <c r="Q287" s="24" t="str">
        <f>VLOOKUP(D287,records!$A:$V,12,FALSE)</f>
        <v>30 739 010 400 023</v>
      </c>
      <c r="R287" s="24" t="s">
        <v>1220</v>
      </c>
      <c r="S287" s="24" t="str">
        <f>VLOOKUP(D287,records!$A:$U,19,FALSE)</f>
        <v>only.invoices.eurocoustic@saint-gobain.com</v>
      </c>
      <c r="T287" s="26" t="s">
        <v>1221</v>
      </c>
      <c r="U287" s="26" t="s">
        <v>1222</v>
      </c>
      <c r="V287" s="26" t="str">
        <f>VLOOKUP($D287,records!$A:$V,3,FALSE)</f>
        <v>SAINT GOBAIN EUROCOUSTIC sasu</v>
      </c>
      <c r="W287" s="26"/>
      <c r="X287" s="26" t="str">
        <f>VLOOKUP($D287,records!$A:$V,9,FALSE)</f>
        <v>ZI DE Bellevue</v>
      </c>
      <c r="Y287" s="26" t="str">
        <f>VLOOKUP($D287,records!$A:$V,4,FALSE)</f>
        <v>GENOUILLAC</v>
      </c>
      <c r="Z287" s="26" t="str">
        <f>VLOOKUP($D287,records!$A:$V,7,FALSE)</f>
        <v>23350</v>
      </c>
      <c r="AA287" s="26" t="s">
        <v>1223</v>
      </c>
      <c r="AB287" s="26">
        <f>VLOOKUP(O287,'records (2)'!$A:$Z,8,FALSE)</f>
        <v>30</v>
      </c>
      <c r="AC287" s="26" t="b">
        <v>0</v>
      </c>
      <c r="AD287" s="26"/>
      <c r="AE287" s="26"/>
      <c r="AF287" s="26" t="str">
        <f>VLOOKUP($D287,records!$A:$V,13,FALSE)</f>
        <v>SAINT GOBAIN EUROCOUSTIC sasu</v>
      </c>
      <c r="AG287" s="26" t="s">
        <v>1226</v>
      </c>
      <c r="AH287" s="26" t="str">
        <f>VLOOKUP($D287,records!$A:$V,19,FALSE)</f>
        <v>only.invoices.eurocoustic@saint-gobain.com</v>
      </c>
      <c r="AI287" s="26" t="str">
        <f>VLOOKUP($D287,records!$A:$V,14,FALSE)</f>
        <v>.</v>
      </c>
      <c r="AJ287" s="26" t="str">
        <f>VLOOKUP($O287,'records (2)'!$A:$Z,14,FALSE)</f>
        <v>003IV000010tJZgYAM</v>
      </c>
      <c r="AK287" s="26" t="str">
        <f>VLOOKUP($O287,'records (2)'!$A:$Z,15,FALSE)</f>
        <v>Patricia BROUILLARD</v>
      </c>
      <c r="AL287" s="26" t="str">
        <f>VLOOKUP($O287,'records (2)'!$A:$Z,10,FALSE)</f>
        <v>003IV000010tJZgYAM</v>
      </c>
      <c r="AM287" s="26" t="str">
        <f>VLOOKUP($O287,'records (2)'!$A:$Z,11,FALSE)</f>
        <v>Patricia BROUILLARD</v>
      </c>
      <c r="AN287" s="18">
        <v>1</v>
      </c>
      <c r="AO287" s="4">
        <v>1000</v>
      </c>
      <c r="AP287" s="4">
        <v>1000</v>
      </c>
      <c r="AQ287" s="20">
        <v>0</v>
      </c>
      <c r="AR287" s="6">
        <v>0</v>
      </c>
    </row>
    <row r="288" spans="1:44">
      <c r="A288" s="18" t="s">
        <v>1121</v>
      </c>
      <c r="B288" s="18" t="s">
        <v>1122</v>
      </c>
      <c r="C288" s="18" t="s">
        <v>1122</v>
      </c>
      <c r="D288" s="18" t="s">
        <v>1123</v>
      </c>
      <c r="E288" s="18" t="s">
        <v>52</v>
      </c>
      <c r="F288" s="18" t="s">
        <v>53</v>
      </c>
      <c r="G288" s="18"/>
      <c r="H288" s="19" t="s">
        <v>1216</v>
      </c>
      <c r="I288" s="23" t="s">
        <v>1217</v>
      </c>
      <c r="J288" s="24">
        <v>46023</v>
      </c>
      <c r="K288" s="24">
        <v>46387</v>
      </c>
      <c r="L288" s="24" t="s">
        <v>1218</v>
      </c>
      <c r="M288" s="24" t="s">
        <v>1219</v>
      </c>
      <c r="N288" s="24">
        <v>46023</v>
      </c>
      <c r="O288" s="24" t="str">
        <f>VLOOKUP(D288,records!$A:$U,10,FALSE)</f>
        <v>001SZ00000EtFxgYAF</v>
      </c>
      <c r="P288" s="24" t="str">
        <f>VLOOKUP(D288,records!$A:$V,20,FALSE)</f>
        <v>FR03305756413</v>
      </c>
      <c r="Q288" s="24" t="str">
        <f>VLOOKUP(D288,records!$A:$V,12,FALSE)</f>
        <v>30 575 641 300 236</v>
      </c>
      <c r="R288" s="24" t="s">
        <v>1220</v>
      </c>
      <c r="S288" s="24" t="str">
        <f>VLOOKUP(D288,records!$A:$U,19,FALSE)</f>
        <v>only.invoices.sepr@saint-gobain.com</v>
      </c>
      <c r="T288" s="26" t="s">
        <v>1221</v>
      </c>
      <c r="U288" s="26" t="s">
        <v>1222</v>
      </c>
      <c r="V288" s="26" t="str">
        <f>VLOOKUP($D288,records!$A:$V,3,FALSE)</f>
        <v>SOCIETE EUROPEENNE DES PRODUITS REFRACTAIRES sas</v>
      </c>
      <c r="W288" s="26"/>
      <c r="X288" s="26" t="str">
        <f>VLOOKUP($D288,records!$A:$V,9,FALSE)</f>
        <v>2539 Route de Sorgues</v>
      </c>
      <c r="Y288" s="26" t="str">
        <f>VLOOKUP($D288,records!$A:$V,4,FALSE)</f>
        <v>LE PONTET</v>
      </c>
      <c r="Z288" s="26" t="str">
        <f>VLOOKUP($D288,records!$A:$V,7,FALSE)</f>
        <v>84130</v>
      </c>
      <c r="AA288" s="26" t="s">
        <v>1223</v>
      </c>
      <c r="AB288" s="26">
        <f>VLOOKUP(O288,'records (2)'!$A:$Z,8,FALSE)</f>
        <v>30</v>
      </c>
      <c r="AC288" s="26" t="b">
        <f>VLOOKUP(O288,'records (4)'!$A:$C,3,FALSE)</f>
        <v>1</v>
      </c>
      <c r="AD288" s="26" t="s">
        <v>1225</v>
      </c>
      <c r="AE288" s="24">
        <v>46023</v>
      </c>
      <c r="AF288" s="26" t="str">
        <f>VLOOKUP($D288,records!$A:$V,13,FALSE)</f>
        <v>SOCIETE EUROPEENNE DES PRODUITS REFRACTAIRES sas</v>
      </c>
      <c r="AG288" s="26" t="s">
        <v>1226</v>
      </c>
      <c r="AH288" s="26" t="str">
        <f>VLOOKUP($D288,records!$A:$V,19,FALSE)</f>
        <v>only.invoices.sepr@saint-gobain.com</v>
      </c>
      <c r="AI288" s="26" t="str">
        <f>VLOOKUP($D288,records!$A:$V,14,FALSE)</f>
        <v>.</v>
      </c>
      <c r="AJ288" s="26" t="str">
        <f>VLOOKUP($O288,'records (2)'!$A:$Z,14,FALSE)</f>
        <v>003IV000010tJaBYAU</v>
      </c>
      <c r="AK288" s="26" t="str">
        <f>VLOOKUP($O288,'records (2)'!$A:$Z,15,FALSE)</f>
        <v>Béatrice BERTRAND</v>
      </c>
      <c r="AL288" s="26" t="str">
        <f>VLOOKUP($O288,'records (2)'!$A:$Z,10,FALSE)</f>
        <v>003IV000010tJaBYAU</v>
      </c>
      <c r="AM288" s="26" t="str">
        <f>VLOOKUP($O288,'records (2)'!$A:$Z,11,FALSE)</f>
        <v>Béatrice BERTRAND</v>
      </c>
      <c r="AN288" s="18">
        <v>1</v>
      </c>
      <c r="AO288" s="4">
        <v>500</v>
      </c>
      <c r="AP288" s="4">
        <v>500</v>
      </c>
      <c r="AQ288" s="20">
        <v>0</v>
      </c>
      <c r="AR288" s="6">
        <v>0</v>
      </c>
    </row>
    <row r="289" spans="1:44">
      <c r="A289" s="18" t="s">
        <v>884</v>
      </c>
      <c r="B289" s="18" t="s">
        <v>885</v>
      </c>
      <c r="C289" s="18" t="s">
        <v>885</v>
      </c>
      <c r="D289" s="18" t="s">
        <v>886</v>
      </c>
      <c r="E289" s="18" t="s">
        <v>52</v>
      </c>
      <c r="F289" s="18" t="s">
        <v>53</v>
      </c>
      <c r="G289" s="18"/>
      <c r="H289" s="19" t="s">
        <v>1216</v>
      </c>
      <c r="I289" s="23" t="s">
        <v>1217</v>
      </c>
      <c r="J289" s="24">
        <v>46023</v>
      </c>
      <c r="K289" s="24">
        <v>46387</v>
      </c>
      <c r="L289" s="24" t="s">
        <v>1218</v>
      </c>
      <c r="M289" s="24" t="s">
        <v>1219</v>
      </c>
      <c r="N289" s="24">
        <v>46023</v>
      </c>
      <c r="O289" s="24" t="str">
        <f>VLOOKUP(D289,records!$A:$U,10,FALSE)</f>
        <v>0012p00004RBJa7AAH</v>
      </c>
      <c r="P289" s="24" t="str">
        <f>VLOOKUP(D289,records!$A:$V,20,FALSE)</f>
        <v>FR95389488719</v>
      </c>
      <c r="Q289" s="24" t="str">
        <f>VLOOKUP(D289,records!$A:$V,12,FALSE)</f>
        <v>38 948 871 900 037</v>
      </c>
      <c r="R289" s="24" t="s">
        <v>1220</v>
      </c>
      <c r="S289" s="24" t="str">
        <f>VLOOKUP(D289,records!$A:$U,19,FALSE)</f>
        <v>only.invoices.sggsmi@saint-gobain.com</v>
      </c>
      <c r="T289" s="26" t="s">
        <v>1221</v>
      </c>
      <c r="U289" s="26" t="s">
        <v>1222</v>
      </c>
      <c r="V289" s="26" t="str">
        <f>VLOOKUP($D289,records!$A:$V,3,FALSE)</f>
        <v>SAINT-GOBAIN GLASS SOLUTIONS MENUISIERS INDUSTRIELS sasu - SGGSMI</v>
      </c>
      <c r="W289" s="26"/>
      <c r="X289" s="26" t="str">
        <f>VLOOKUP($D289,records!$A:$V,9,FALSE)</f>
        <v>ZI du Vivier</v>
      </c>
      <c r="Y289" s="26" t="str">
        <f>VLOOKUP($D289,records!$A:$V,4,FALSE)</f>
        <v>SAINT-PIERRE-DES-ECHAUBROGNES</v>
      </c>
      <c r="Z289" s="26" t="str">
        <f>VLOOKUP($D289,records!$A:$V,7,FALSE)</f>
        <v>79700</v>
      </c>
      <c r="AA289" s="26" t="s">
        <v>1223</v>
      </c>
      <c r="AB289" s="26">
        <f>VLOOKUP(O289,'records (2)'!$A:$Z,8,FALSE)</f>
        <v>30</v>
      </c>
      <c r="AC289" s="26" t="b">
        <v>0</v>
      </c>
      <c r="AD289" s="26"/>
      <c r="AE289" s="26"/>
      <c r="AF289" s="26" t="str">
        <f>VLOOKUP($D289,records!$A:$V,13,FALSE)</f>
        <v>SAINT-GOBAIN GLASS SOLUTIONS MENUISIERS INDUSTRIELS sasu - SGGSMI</v>
      </c>
      <c r="AG289" s="26" t="s">
        <v>1226</v>
      </c>
      <c r="AH289" s="26" t="str">
        <f>VLOOKUP($D289,records!$A:$V,19,FALSE)</f>
        <v>only.invoices.sggsmi@saint-gobain.com</v>
      </c>
      <c r="AI289" s="26" t="str">
        <f>VLOOKUP($D289,records!$A:$V,14,FALSE)</f>
        <v>.</v>
      </c>
      <c r="AJ289" s="26" t="str">
        <f>VLOOKUP($O289,'records (2)'!$A:$Z,14,FALSE)</f>
        <v>003IV000010tWSyYAM</v>
      </c>
      <c r="AK289" s="26" t="str">
        <f>VLOOKUP($O289,'records (2)'!$A:$Z,15,FALSE)</f>
        <v>Corinne AUDOUARD</v>
      </c>
      <c r="AL289" s="26" t="str">
        <f>VLOOKUP($O289,'records (2)'!$A:$Z,10,FALSE)</f>
        <v>003IV000010tWSyYAM</v>
      </c>
      <c r="AM289" s="26" t="str">
        <f>VLOOKUP($O289,'records (2)'!$A:$Z,11,FALSE)</f>
        <v>Corinne AUDOUARD</v>
      </c>
      <c r="AN289" s="18">
        <v>1</v>
      </c>
      <c r="AO289" s="4">
        <v>2000</v>
      </c>
      <c r="AP289" s="4">
        <v>2000</v>
      </c>
      <c r="AQ289" s="20">
        <v>0</v>
      </c>
      <c r="AR289" s="6">
        <v>0</v>
      </c>
    </row>
    <row r="290" spans="1:44">
      <c r="A290" s="18" t="s">
        <v>793</v>
      </c>
      <c r="B290" s="18" t="s">
        <v>794</v>
      </c>
      <c r="C290" s="18" t="s">
        <v>795</v>
      </c>
      <c r="D290" s="18" t="s">
        <v>796</v>
      </c>
      <c r="E290" s="18" t="s">
        <v>52</v>
      </c>
      <c r="F290" s="18" t="s">
        <v>53</v>
      </c>
      <c r="G290" s="18"/>
      <c r="H290" s="19" t="s">
        <v>1216</v>
      </c>
      <c r="I290" s="23" t="s">
        <v>1217</v>
      </c>
      <c r="J290" s="24">
        <v>46023</v>
      </c>
      <c r="K290" s="24">
        <v>46387</v>
      </c>
      <c r="L290" s="24" t="s">
        <v>1218</v>
      </c>
      <c r="M290" s="24" t="s">
        <v>1219</v>
      </c>
      <c r="N290" s="24">
        <v>46023</v>
      </c>
      <c r="O290" s="24" t="str">
        <f>VLOOKUP(D290,records!$A:$U,10,FALSE)</f>
        <v>001SZ000004SHTRYA4</v>
      </c>
      <c r="P290" s="24" t="str">
        <f>VLOOKUP(D290,records!$A:$V,20,FALSE)</f>
        <v>FR05407512938</v>
      </c>
      <c r="Q290" s="24" t="str">
        <f>VLOOKUP(D290,records!$A:$V,12,FALSE)</f>
        <v>40 751 293 800 041</v>
      </c>
      <c r="R290" s="24" t="s">
        <v>1220</v>
      </c>
      <c r="S290" s="24" t="str">
        <f>VLOOKUP(D290,records!$A:$U,19,FALSE)</f>
        <v>osfp.app@suntory.com</v>
      </c>
      <c r="T290" s="26" t="s">
        <v>1221</v>
      </c>
      <c r="U290" s="26" t="s">
        <v>1222</v>
      </c>
      <c r="V290" s="26" t="str">
        <f>VLOOKUP($D290,records!$A:$V,3,FALSE)</f>
        <v>ORANGINA SUNTORY FRANCE PRODUCTION sasu</v>
      </c>
      <c r="W290" s="26"/>
      <c r="X290" s="26" t="str">
        <f>VLOOKUP($D290,records!$A:$V,9,FALSE)</f>
        <v>433 Chemin des Matouses</v>
      </c>
      <c r="Y290" s="26" t="str">
        <f>VLOOKUP($D290,records!$A:$V,4,FALSE)</f>
        <v>CHATEAUNEUF-DE-GADAGNE</v>
      </c>
      <c r="Z290" s="26" t="str">
        <f>VLOOKUP($D290,records!$A:$V,7,FALSE)</f>
        <v>84470</v>
      </c>
      <c r="AA290" s="26" t="s">
        <v>1223</v>
      </c>
      <c r="AB290" s="26">
        <f>VLOOKUP(O290,'records (2)'!$A:$Z,8,FALSE)</f>
        <v>45</v>
      </c>
      <c r="AC290" s="26" t="b">
        <f>VLOOKUP(O290,'records (4)'!$A:$C,3,FALSE)</f>
        <v>1</v>
      </c>
      <c r="AD290" s="26" t="s">
        <v>1225</v>
      </c>
      <c r="AE290" s="24">
        <v>46023</v>
      </c>
      <c r="AF290" s="26" t="str">
        <f>VLOOKUP($D290,records!$A:$V,13,FALSE)</f>
        <v>ORANGINA SUNTORY FRANCE PRODUCTION sasu</v>
      </c>
      <c r="AG290" s="26" t="s">
        <v>1226</v>
      </c>
      <c r="AH290" s="26" t="str">
        <f>VLOOKUP($D290,records!$A:$V,19,FALSE)</f>
        <v>osfp.app@suntory.com</v>
      </c>
      <c r="AI290" s="26" t="str">
        <f>VLOOKUP($D290,records!$A:$V,14,FALSE)</f>
        <v>.</v>
      </c>
      <c r="AJ290" s="26" t="str">
        <f>VLOOKUP($O290,'records (2)'!$A:$Z,14,FALSE)</f>
        <v>003IV000010su8dYAA</v>
      </c>
      <c r="AK290" s="26" t="str">
        <f>VLOOKUP($O290,'records (2)'!$A:$Z,15,FALSE)</f>
        <v>Lucile CORTIJO</v>
      </c>
      <c r="AL290" s="26" t="str">
        <f>VLOOKUP($O290,'records (2)'!$A:$Z,10,FALSE)</f>
        <v>003IV000010su8eYAA</v>
      </c>
      <c r="AM290" s="26" t="str">
        <f>VLOOKUP($O290,'records (2)'!$A:$Z,11,FALSE)</f>
        <v>Recouvrement ORANGINA SCHWEPPES France</v>
      </c>
      <c r="AN290" s="18">
        <v>1</v>
      </c>
      <c r="AO290" s="4">
        <v>3000</v>
      </c>
      <c r="AP290" s="4">
        <v>3000</v>
      </c>
      <c r="AQ290" s="20">
        <v>0</v>
      </c>
      <c r="AR290" s="6">
        <v>0</v>
      </c>
    </row>
    <row r="291" spans="1:44">
      <c r="A291" s="18" t="s">
        <v>96</v>
      </c>
      <c r="B291" s="18" t="s">
        <v>97</v>
      </c>
      <c r="C291" s="18" t="s">
        <v>97</v>
      </c>
      <c r="D291" s="18" t="s">
        <v>98</v>
      </c>
      <c r="E291" s="18" t="s">
        <v>52</v>
      </c>
      <c r="F291" s="18" t="s">
        <v>53</v>
      </c>
      <c r="G291" s="18"/>
      <c r="H291" s="19" t="s">
        <v>1216</v>
      </c>
      <c r="I291" s="23" t="s">
        <v>1217</v>
      </c>
      <c r="J291" s="24">
        <v>46023</v>
      </c>
      <c r="K291" s="24">
        <v>46387</v>
      </c>
      <c r="L291" s="24" t="s">
        <v>1218</v>
      </c>
      <c r="M291" s="24" t="s">
        <v>1219</v>
      </c>
      <c r="N291" s="24">
        <v>46023</v>
      </c>
      <c r="O291" s="24" t="str">
        <f>VLOOKUP(D291,records!$A:$U,10,FALSE)</f>
        <v>0012p00004Qwo2GAAR</v>
      </c>
      <c r="P291" s="24" t="str">
        <f>VLOOKUP(D291,records!$A:$V,20,FALSE)</f>
        <v>FR86511239915</v>
      </c>
      <c r="Q291" s="24" t="str">
        <f>VLOOKUP(D291,records!$A:$V,12,FALSE)</f>
        <v>51 123 991 500 016</v>
      </c>
      <c r="R291" s="24" t="s">
        <v>1220</v>
      </c>
      <c r="S291" s="24" t="str">
        <f>VLOOKUP(D291,records!$A:$U,19,FALSE)</f>
        <v>p.pelard@beneteauhabitat.com</v>
      </c>
      <c r="T291" s="26" t="s">
        <v>1221</v>
      </c>
      <c r="U291" s="26" t="s">
        <v>1222</v>
      </c>
      <c r="V291" s="26" t="str">
        <f>VLOOKUP($D291,records!$A:$V,3,FALSE)</f>
        <v>BIO HABITAT sa</v>
      </c>
      <c r="W291" s="26"/>
      <c r="X291" s="26" t="str">
        <f>VLOOKUP($D291,records!$A:$V,9,FALSE)</f>
        <v>Rue Charles Tellier</v>
      </c>
      <c r="Y291" s="26" t="str">
        <f>VLOOKUP($D291,records!$A:$V,4,FALSE)</f>
        <v>LA CHAIZE LE VICOMTE</v>
      </c>
      <c r="Z291" s="26" t="str">
        <f>VLOOKUP($D291,records!$A:$V,7,FALSE)</f>
        <v>85310</v>
      </c>
      <c r="AA291" s="26" t="s">
        <v>1223</v>
      </c>
      <c r="AB291" s="26">
        <f>VLOOKUP(O291,'records (2)'!$A:$Z,8,FALSE)</f>
        <v>30</v>
      </c>
      <c r="AC291" s="26" t="b">
        <v>0</v>
      </c>
      <c r="AD291" s="26"/>
      <c r="AE291" s="26"/>
      <c r="AF291" s="26" t="str">
        <f>VLOOKUP($D291,records!$A:$V,13,FALSE)</f>
        <v>BIO HABITAT sa</v>
      </c>
      <c r="AG291" s="26" t="s">
        <v>1226</v>
      </c>
      <c r="AH291" s="26" t="str">
        <f>VLOOKUP($D291,records!$A:$V,19,FALSE)</f>
        <v>p.pelard@beneteauhabitat.com</v>
      </c>
      <c r="AI291" s="26" t="str">
        <f>VLOOKUP($D291,records!$A:$V,14,FALSE)</f>
        <v>.</v>
      </c>
      <c r="AJ291" s="26" t="str">
        <f>VLOOKUP($O291,'records (2)'!$A:$Z,14,FALSE)</f>
        <v>003IV000010sxGuYAI</v>
      </c>
      <c r="AK291" s="26" t="str">
        <f>VLOOKUP($O291,'records (2)'!$A:$Z,15,FALSE)</f>
        <v>Patricia PELARD</v>
      </c>
      <c r="AL291" s="26" t="str">
        <f>VLOOKUP($O291,'records (2)'!$A:$Z,10,FALSE)</f>
        <v>003IV000010sxGuYAI</v>
      </c>
      <c r="AM291" s="26" t="str">
        <f>VLOOKUP($O291,'records (2)'!$A:$Z,11,FALSE)</f>
        <v>Patricia PELARD</v>
      </c>
      <c r="AN291" s="18">
        <v>1</v>
      </c>
      <c r="AO291" s="4">
        <v>2500</v>
      </c>
      <c r="AP291" s="4">
        <v>2500</v>
      </c>
      <c r="AQ291" s="20">
        <v>0</v>
      </c>
      <c r="AR291" s="6">
        <v>0</v>
      </c>
    </row>
    <row r="292" spans="1:44">
      <c r="A292" s="18" t="s">
        <v>601</v>
      </c>
      <c r="B292" s="18" t="s">
        <v>602</v>
      </c>
      <c r="C292" s="18" t="s">
        <v>602</v>
      </c>
      <c r="D292" s="18" t="s">
        <v>603</v>
      </c>
      <c r="E292" s="18" t="s">
        <v>52</v>
      </c>
      <c r="F292" s="18" t="s">
        <v>53</v>
      </c>
      <c r="G292" s="18"/>
      <c r="H292" s="19" t="s">
        <v>1216</v>
      </c>
      <c r="I292" s="23" t="s">
        <v>1217</v>
      </c>
      <c r="J292" s="24">
        <v>46023</v>
      </c>
      <c r="K292" s="24">
        <v>46387</v>
      </c>
      <c r="L292" s="24" t="s">
        <v>1218</v>
      </c>
      <c r="M292" s="24" t="s">
        <v>1219</v>
      </c>
      <c r="N292" s="24">
        <v>46023</v>
      </c>
      <c r="O292" s="24" t="str">
        <f>VLOOKUP(D292,records!$A:$U,10,FALSE)</f>
        <v>0012p00004UprtrAAB</v>
      </c>
      <c r="P292" s="24" t="str">
        <f>VLOOKUP(D292,records!$A:$V,20,FALSE)</f>
        <v>FR14422613513</v>
      </c>
      <c r="Q292" s="24" t="str">
        <f>VLOOKUP(D292,records!$A:$V,12,FALSE)</f>
        <v>42 261 351 300 023</v>
      </c>
      <c r="R292" s="24" t="s">
        <v>1224</v>
      </c>
      <c r="S292" s="24"/>
      <c r="T292" s="26" t="s">
        <v>1221</v>
      </c>
      <c r="U292" s="26" t="s">
        <v>1222</v>
      </c>
      <c r="V292" s="26" t="str">
        <f>VLOOKUP($D292,records!$A:$V,3,FALSE)</f>
        <v>FENETREA sasu</v>
      </c>
      <c r="W292" s="26" t="str">
        <f>IFERROR(VLOOKUP($D292,records!$A:$V,6,FALSE),)</f>
        <v>COMPTABILITE</v>
      </c>
      <c r="X292" s="26" t="str">
        <f>VLOOKUP($D292,records!$A:$V,9,FALSE)</f>
        <v>PA du Chenot - BP4</v>
      </c>
      <c r="Y292" s="26" t="str">
        <f>VLOOKUP($D292,records!$A:$V,4,FALSE)</f>
        <v>BEIGNON</v>
      </c>
      <c r="Z292" s="26" t="str">
        <f>VLOOKUP($D292,records!$A:$V,7,FALSE)</f>
        <v>56380</v>
      </c>
      <c r="AA292" s="26" t="s">
        <v>1223</v>
      </c>
      <c r="AB292" s="26">
        <f>VLOOKUP(O292,'records (2)'!$A:$Z,8,FALSE)</f>
        <v>30</v>
      </c>
      <c r="AC292" s="26" t="b">
        <v>0</v>
      </c>
      <c r="AD292" s="26"/>
      <c r="AE292" s="26"/>
      <c r="AF292" s="26" t="str">
        <f>VLOOKUP($D292,records!$A:$V,13,FALSE)</f>
        <v>FENETREA sasu</v>
      </c>
      <c r="AG292" s="26" t="s">
        <v>1226</v>
      </c>
      <c r="AH292" s="26" t="str">
        <f>VLOOKUP($D292,records!$A:$V,19,FALSE)</f>
        <v>PA du Chenot - BP4</v>
      </c>
      <c r="AI292" s="26" t="str">
        <f>VLOOKUP($D292,records!$A:$V,14,FALSE)</f>
        <v>BEIGNON</v>
      </c>
      <c r="AJ292" s="26" t="str">
        <f>VLOOKUP($O292,'records (2)'!$A:$Z,14,FALSE)</f>
        <v>003IV000010su85YAA</v>
      </c>
      <c r="AK292" s="26" t="str">
        <f>VLOOKUP($O292,'records (2)'!$A:$Z,15,FALSE)</f>
        <v>Aurélie BOMPAYS</v>
      </c>
      <c r="AL292" s="26" t="str">
        <f>VLOOKUP($O292,'records (2)'!$A:$Z,10,FALSE)</f>
        <v>003IV000010su85YAA</v>
      </c>
      <c r="AM292" s="26" t="str">
        <f>VLOOKUP($O292,'records (2)'!$A:$Z,11,FALSE)</f>
        <v>Aurélie BOMPAYS</v>
      </c>
      <c r="AN292" s="18">
        <v>1</v>
      </c>
      <c r="AO292" s="4">
        <v>1500</v>
      </c>
      <c r="AP292" s="4">
        <v>1500</v>
      </c>
      <c r="AQ292" s="20">
        <v>0</v>
      </c>
      <c r="AR292" s="6">
        <v>0</v>
      </c>
    </row>
    <row r="293" spans="1:44">
      <c r="A293" s="18" t="s">
        <v>612</v>
      </c>
      <c r="B293" s="18" t="s">
        <v>613</v>
      </c>
      <c r="C293" s="18" t="s">
        <v>614</v>
      </c>
      <c r="D293" s="18" t="s">
        <v>615</v>
      </c>
      <c r="E293" s="18" t="s">
        <v>52</v>
      </c>
      <c r="F293" s="18" t="s">
        <v>53</v>
      </c>
      <c r="G293" s="18"/>
      <c r="H293" s="19" t="s">
        <v>1216</v>
      </c>
      <c r="I293" s="23" t="s">
        <v>1217</v>
      </c>
      <c r="J293" s="24">
        <v>46023</v>
      </c>
      <c r="K293" s="24">
        <v>46387</v>
      </c>
      <c r="L293" s="24" t="s">
        <v>1218</v>
      </c>
      <c r="M293" s="24" t="s">
        <v>1219</v>
      </c>
      <c r="N293" s="24">
        <v>46023</v>
      </c>
      <c r="O293" s="24" t="str">
        <f>VLOOKUP(D293,records!$A:$U,10,FALSE)</f>
        <v>0012p00004TnEmlAAF</v>
      </c>
      <c r="P293" s="24" t="str">
        <f>VLOOKUP(D293,records!$A:$V,20,FALSE)</f>
        <v>FR49350693586</v>
      </c>
      <c r="Q293" s="24" t="str">
        <f>VLOOKUP(D293,records!$A:$V,12,FALSE)</f>
        <v>35 069 358 600 017</v>
      </c>
      <c r="R293" s="24" t="s">
        <v>1220</v>
      </c>
      <c r="S293" s="24" t="str">
        <f>VLOOKUP(D293,records!$A:$U,19,FALSE)</f>
        <v>pascale.nivot@fptindustrial.com</v>
      </c>
      <c r="T293" s="26" t="s">
        <v>1221</v>
      </c>
      <c r="U293" s="26" t="s">
        <v>1222</v>
      </c>
      <c r="V293" s="26" t="str">
        <f>VLOOKUP($D293,records!$A:$V,3,FALSE)</f>
        <v>FPT POWERTRAIN TECHNOLOGIES FRANCE sas</v>
      </c>
      <c r="W293" s="26"/>
      <c r="X293" s="26" t="str">
        <f>VLOOKUP($D293,records!$A:$V,9,FALSE)</f>
        <v>5 rue Pierre Timbaud</v>
      </c>
      <c r="Y293" s="26" t="str">
        <f>VLOOKUP($D293,records!$A:$V,4,FALSE)</f>
        <v>GARCHIZY</v>
      </c>
      <c r="Z293" s="26" t="str">
        <f>VLOOKUP($D293,records!$A:$V,7,FALSE)</f>
        <v>58600</v>
      </c>
      <c r="AA293" s="26" t="s">
        <v>1223</v>
      </c>
      <c r="AB293" s="26">
        <f>VLOOKUP(O293,'records (2)'!$A:$Z,8,FALSE)</f>
        <v>30</v>
      </c>
      <c r="AC293" s="26" t="b">
        <v>0</v>
      </c>
      <c r="AD293" s="26"/>
      <c r="AE293" s="26"/>
      <c r="AF293" s="26" t="str">
        <f>VLOOKUP($D293,records!$A:$V,13,FALSE)</f>
        <v>FPT POWERTRAIN TECHNOLOGIES FRANCE sas</v>
      </c>
      <c r="AG293" s="26" t="s">
        <v>1226</v>
      </c>
      <c r="AH293" s="26" t="str">
        <f>VLOOKUP($D293,records!$A:$V,19,FALSE)</f>
        <v>pascale.nivot@fptindustrial.com</v>
      </c>
      <c r="AI293" s="26" t="str">
        <f>VLOOKUP($D293,records!$A:$V,14,FALSE)</f>
        <v>.</v>
      </c>
      <c r="AJ293" s="26" t="str">
        <f>VLOOKUP($O293,'records (2)'!$A:$Z,14,FALSE)</f>
        <v>003IV000010tPaSYAU</v>
      </c>
      <c r="AK293" s="26" t="str">
        <f>VLOOKUP($O293,'records (2)'!$A:$Z,15,FALSE)</f>
        <v>Pascale NIVOT</v>
      </c>
      <c r="AL293" s="26" t="str">
        <f>VLOOKUP($O293,'records (2)'!$A:$Z,10,FALSE)</f>
        <v>003IV000010tPaSYAU</v>
      </c>
      <c r="AM293" s="26" t="str">
        <f>VLOOKUP($O293,'records (2)'!$A:$Z,11,FALSE)</f>
        <v>Pascale NIVOT</v>
      </c>
      <c r="AN293" s="18">
        <v>1</v>
      </c>
      <c r="AO293" s="4">
        <v>500</v>
      </c>
      <c r="AP293" s="4">
        <v>500</v>
      </c>
      <c r="AQ293" s="20">
        <v>0</v>
      </c>
      <c r="AR293" s="6">
        <v>0</v>
      </c>
    </row>
    <row r="294" spans="1:44">
      <c r="A294" s="18" t="s">
        <v>356</v>
      </c>
      <c r="B294" s="18" t="s">
        <v>357</v>
      </c>
      <c r="C294" s="18" t="s">
        <v>357</v>
      </c>
      <c r="D294" s="18" t="s">
        <v>358</v>
      </c>
      <c r="E294" s="18" t="s">
        <v>16</v>
      </c>
      <c r="F294" s="18" t="s">
        <v>17</v>
      </c>
      <c r="G294" s="18"/>
      <c r="H294" s="19" t="s">
        <v>1216</v>
      </c>
      <c r="I294" s="23" t="s">
        <v>1217</v>
      </c>
      <c r="J294" s="24">
        <v>46023</v>
      </c>
      <c r="K294" s="24">
        <v>46387</v>
      </c>
      <c r="L294" s="24" t="s">
        <v>1218</v>
      </c>
      <c r="M294" s="24" t="s">
        <v>1219</v>
      </c>
      <c r="N294" s="24">
        <v>46023</v>
      </c>
      <c r="O294" s="24" t="str">
        <f>VLOOKUP(D294,records!$A:$U,10,FALSE)</f>
        <v>0012p00004OK0VOAA1</v>
      </c>
      <c r="P294" s="24" t="str">
        <f>VLOOKUP(D294,records!$A:$V,20,FALSE)</f>
        <v>FR71337621841</v>
      </c>
      <c r="Q294" s="24" t="str">
        <f>VLOOKUP(D294,records!$A:$V,12,FALSE)</f>
        <v>33 762 184 100 903</v>
      </c>
      <c r="R294" s="24" t="s">
        <v>1220</v>
      </c>
      <c r="S294" s="24" t="str">
        <f>VLOOKUP(D294,records!$A:$U,19,FALSE)</f>
        <v>paul.bertrand@ricoh.fr</v>
      </c>
      <c r="T294" s="26" t="s">
        <v>1221</v>
      </c>
      <c r="U294" s="26" t="s">
        <v>1222</v>
      </c>
      <c r="V294" s="26" t="str">
        <f>VLOOKUP($D294,records!$A:$V,3,FALSE)</f>
        <v>RICOH FRANCE sas</v>
      </c>
      <c r="W294" s="26"/>
      <c r="X294" s="26" t="str">
        <f>VLOOKUP($D294,records!$A:$V,9,FALSE)</f>
        <v>7-9 Avenue Robert Schuman</v>
      </c>
      <c r="Y294" s="26" t="str">
        <f>VLOOKUP($D294,records!$A:$V,4,FALSE)</f>
        <v>RUNGIS</v>
      </c>
      <c r="Z294" s="26" t="str">
        <f>VLOOKUP($D294,records!$A:$V,7,FALSE)</f>
        <v>94150</v>
      </c>
      <c r="AA294" s="26" t="s">
        <v>1223</v>
      </c>
      <c r="AB294" s="26">
        <f>VLOOKUP(O294,'records (2)'!$A:$Z,8,FALSE)</f>
        <v>30</v>
      </c>
      <c r="AC294" s="26" t="b">
        <v>0</v>
      </c>
      <c r="AD294" s="26"/>
      <c r="AE294" s="26"/>
      <c r="AF294" s="26" t="str">
        <f>VLOOKUP($D294,records!$A:$V,13,FALSE)</f>
        <v>RICOH FRANCE sas</v>
      </c>
      <c r="AG294" s="26" t="s">
        <v>1226</v>
      </c>
      <c r="AH294" s="26" t="str">
        <f>VLOOKUP($D294,records!$A:$V,19,FALSE)</f>
        <v>paul.bertrand@ricoh.fr</v>
      </c>
      <c r="AI294" s="26" t="str">
        <f>VLOOKUP($D294,records!$A:$V,14,FALSE)</f>
        <v>.</v>
      </c>
      <c r="AJ294" s="26" t="str">
        <f>VLOOKUP($O294,'records (2)'!$A:$Z,14,FALSE)</f>
        <v>003IV000010t2g2YAA</v>
      </c>
      <c r="AK294" s="26" t="str">
        <f>VLOOKUP($O294,'records (2)'!$A:$Z,15,FALSE)</f>
        <v>Paul BERTRAND</v>
      </c>
      <c r="AL294" s="26" t="str">
        <f>VLOOKUP($O294,'records (2)'!$A:$Z,10,FALSE)</f>
        <v>003IV000010t2g3YAA</v>
      </c>
      <c r="AM294" s="26" t="str">
        <f>VLOOKUP($O294,'records (2)'!$A:$Z,11,FALSE)</f>
        <v>Albina KAMALETDINOVA (Compta)</v>
      </c>
      <c r="AN294" s="18">
        <v>1</v>
      </c>
      <c r="AO294" s="4">
        <v>1000</v>
      </c>
      <c r="AP294" s="4">
        <v>1000</v>
      </c>
      <c r="AQ294" s="20">
        <v>0</v>
      </c>
      <c r="AR294" s="6">
        <v>0</v>
      </c>
    </row>
    <row r="295" spans="1:44">
      <c r="A295" s="18" t="s">
        <v>421</v>
      </c>
      <c r="B295" s="18" t="s">
        <v>422</v>
      </c>
      <c r="C295" s="18" t="s">
        <v>423</v>
      </c>
      <c r="D295" s="18" t="s">
        <v>424</v>
      </c>
      <c r="E295" s="18" t="s">
        <v>52</v>
      </c>
      <c r="F295" s="18" t="s">
        <v>53</v>
      </c>
      <c r="G295" s="18"/>
      <c r="H295" s="19" t="s">
        <v>1239</v>
      </c>
      <c r="I295" s="23" t="s">
        <v>1217</v>
      </c>
      <c r="J295" s="24">
        <v>46023</v>
      </c>
      <c r="K295" s="24">
        <v>46387</v>
      </c>
      <c r="L295" s="24" t="s">
        <v>1218</v>
      </c>
      <c r="M295" s="24" t="s">
        <v>1219</v>
      </c>
      <c r="N295" s="24">
        <v>46023</v>
      </c>
      <c r="O295" s="24" t="str">
        <f>VLOOKUP(D295,records!$A:$U,10,FALSE)</f>
        <v>001SZ00000HOhrdYAD</v>
      </c>
      <c r="P295" s="24" t="str">
        <f>VLOOKUP(D295,records!$A:$V,20,FALSE)</f>
        <v>FR87302079462</v>
      </c>
      <c r="Q295" s="24" t="str">
        <f>VLOOKUP(D295,records!$A:$V,12,FALSE)</f>
        <v>30 207 946 200 206</v>
      </c>
      <c r="R295" s="24" t="s">
        <v>1220</v>
      </c>
      <c r="S295" s="24" t="str">
        <f>VLOOKUP(D295,records!$A:$U,19,FALSE)</f>
        <v>Paul.Raymond@purina.nestle.com</v>
      </c>
      <c r="T295" s="26" t="s">
        <v>1221</v>
      </c>
      <c r="U295" s="26" t="s">
        <v>1222</v>
      </c>
      <c r="V295" s="26" t="str">
        <f>VLOOKUP($D295,records!$A:$V,3,FALSE)</f>
        <v>NESTLE PURINA PETCARE FRANCE sas</v>
      </c>
      <c r="W295" s="26" t="str">
        <f>IFERROR(VLOOKUP($D295,records!$A:$V,6,FALSE),)</f>
        <v>PO Box 1282</v>
      </c>
      <c r="X295" s="26" t="str">
        <f>VLOOKUP($D295,records!$A:$V,9,FALSE)</f>
        <v>Urzad Pocztowy 44</v>
      </c>
      <c r="Y295" s="26" t="str">
        <f>VLOOKUP($D295,records!$A:$V,4,FALSE)</f>
        <v>WROCLAW</v>
      </c>
      <c r="Z295" s="26" t="str">
        <f>VLOOKUP($D295,records!$A:$V,7,FALSE)</f>
        <v>50- 986</v>
      </c>
      <c r="AA295" s="26" t="s">
        <v>1223</v>
      </c>
      <c r="AB295" s="26">
        <f>VLOOKUP(O295,'records (2)'!$A:$Z,8,FALSE)</f>
        <v>60</v>
      </c>
      <c r="AC295" s="26" t="b">
        <f>VLOOKUP(O295,'records (4)'!$A:$C,3,FALSE)</f>
        <v>1</v>
      </c>
      <c r="AD295" s="26" t="s">
        <v>1225</v>
      </c>
      <c r="AE295" s="24">
        <v>46023</v>
      </c>
      <c r="AF295" s="26" t="str">
        <f>VLOOKUP($D295,records!$A:$V,13,FALSE)</f>
        <v>NESTLE PURINA PETCARE FRANCE sas</v>
      </c>
      <c r="AG295" s="26" t="s">
        <v>1226</v>
      </c>
      <c r="AH295" s="26" t="str">
        <f>VLOOKUP($D295,records!$A:$V,19,FALSE)</f>
        <v>Paul.Raymond@purina.nestle.com</v>
      </c>
      <c r="AI295" s="26" t="str">
        <f>VLOOKUP($D295,records!$A:$V,14,FALSE)</f>
        <v>.</v>
      </c>
      <c r="AJ295" s="26" t="str">
        <f>VLOOKUP($O295,'records (2)'!$A:$Z,14,FALSE)</f>
        <v>003IV000010tTxyYAE</v>
      </c>
      <c r="AK295" s="26" t="str">
        <f>VLOOKUP($O295,'records (2)'!$A:$Z,15,FALSE)</f>
        <v>Paul RAYMOND</v>
      </c>
      <c r="AL295" s="26" t="str">
        <f>VLOOKUP($O295,'records (2)'!$A:$Z,10,FALSE)</f>
        <v>003IV000010tTxyYAE</v>
      </c>
      <c r="AM295" s="26" t="str">
        <f>VLOOKUP($O295,'records (2)'!$A:$Z,11,FALSE)</f>
        <v>Paul RAYMOND</v>
      </c>
      <c r="AN295" s="18">
        <v>1</v>
      </c>
      <c r="AO295" s="4">
        <v>3500</v>
      </c>
      <c r="AP295" s="4">
        <v>3500</v>
      </c>
      <c r="AQ295" s="20">
        <v>0</v>
      </c>
      <c r="AR295" s="6">
        <v>0</v>
      </c>
    </row>
    <row r="296" spans="1:44">
      <c r="A296" s="18" t="s">
        <v>974</v>
      </c>
      <c r="B296" s="18" t="s">
        <v>975</v>
      </c>
      <c r="C296" s="18" t="s">
        <v>976</v>
      </c>
      <c r="D296" s="18" t="s">
        <v>977</v>
      </c>
      <c r="E296" s="18" t="s">
        <v>52</v>
      </c>
      <c r="F296" s="18" t="s">
        <v>53</v>
      </c>
      <c r="G296" s="18"/>
      <c r="H296" s="19" t="s">
        <v>1216</v>
      </c>
      <c r="I296" s="23" t="s">
        <v>1217</v>
      </c>
      <c r="J296" s="24">
        <v>46023</v>
      </c>
      <c r="K296" s="24">
        <v>46387</v>
      </c>
      <c r="L296" s="24" t="s">
        <v>1218</v>
      </c>
      <c r="M296" s="24" t="s">
        <v>1219</v>
      </c>
      <c r="N296" s="24">
        <v>46023</v>
      </c>
      <c r="O296" s="24" t="str">
        <f>VLOOKUP(D296,records!$A:$U,10,FALSE)</f>
        <v>0012p00004SxcYeAAJ</v>
      </c>
      <c r="P296" s="24" t="str">
        <f>VLOOKUP(D296,records!$A:$V,20,FALSE)</f>
        <v>FR70590800215</v>
      </c>
      <c r="Q296" s="24" t="str">
        <f>VLOOKUP(D296,records!$A:$V,12,FALSE)</f>
        <v>59 080 021 500 170</v>
      </c>
      <c r="R296" s="24" t="s">
        <v>1220</v>
      </c>
      <c r="S296" s="24" t="str">
        <f>VLOOKUP(D296,records!$A:$U,19,FALSE)</f>
        <v>pdf-invoices.fr@boehringer-ingelheim.com</v>
      </c>
      <c r="T296" s="26" t="s">
        <v>1221</v>
      </c>
      <c r="U296" s="26" t="s">
        <v>1222</v>
      </c>
      <c r="V296" s="26" t="str">
        <f>VLOOKUP($D296,records!$A:$V,3,FALSE)</f>
        <v>BOEHRINGER INGELHEIM ANIMAL HEALTH FRANCE scs</v>
      </c>
      <c r="W296" s="26" t="str">
        <f>IFERROR(VLOOKUP($D296,records!$A:$V,6,FALSE),)</f>
        <v>RH - Talent GoA</v>
      </c>
      <c r="X296" s="26" t="str">
        <f>VLOOKUP($D296,records!$A:$V,9,FALSE)</f>
        <v>29 avenue Tony Garnier</v>
      </c>
      <c r="Y296" s="26" t="str">
        <f>VLOOKUP($D296,records!$A:$V,4,FALSE)</f>
        <v>LYON</v>
      </c>
      <c r="Z296" s="26" t="str">
        <f>VLOOKUP($D296,records!$A:$V,7,FALSE)</f>
        <v>69007</v>
      </c>
      <c r="AA296" s="26" t="s">
        <v>1223</v>
      </c>
      <c r="AB296" s="26">
        <f>VLOOKUP(O296,'records (2)'!$A:$Z,8,FALSE)</f>
        <v>30</v>
      </c>
      <c r="AC296" s="26" t="b">
        <f>VLOOKUP(O296,'records (4)'!$A:$C,3,FALSE)</f>
        <v>1</v>
      </c>
      <c r="AD296" s="26" t="s">
        <v>1225</v>
      </c>
      <c r="AE296" s="24">
        <v>46023</v>
      </c>
      <c r="AF296" s="26" t="str">
        <f>VLOOKUP($D296,records!$A:$V,13,FALSE)</f>
        <v>BOEHRINGER INGELHEIM ANIMAL HEALTH FRANCE scs</v>
      </c>
      <c r="AG296" s="26" t="s">
        <v>1226</v>
      </c>
      <c r="AH296" s="26" t="str">
        <f>VLOOKUP($D296,records!$A:$V,19,FALSE)</f>
        <v>pdf-invoices.fr@boehringer-ingelheim.com</v>
      </c>
      <c r="AI296" s="26" t="str">
        <f>VLOOKUP($D296,records!$A:$V,14,FALSE)</f>
        <v>.</v>
      </c>
      <c r="AJ296" s="26" t="str">
        <f>VLOOKUP($O296,'records (2)'!$A:$Z,14,FALSE)</f>
        <v>003IV000010tHIpYAM</v>
      </c>
      <c r="AK296" s="26" t="str">
        <f>VLOOKUP($O296,'records (2)'!$A:$Z,15,FALSE)</f>
        <v>Paloma FAJARDO</v>
      </c>
      <c r="AL296" s="26" t="str">
        <f>VLOOKUP($O296,'records (2)'!$A:$Z,10,FALSE)</f>
        <v>003IV000010tHIpYAM</v>
      </c>
      <c r="AM296" s="26" t="str">
        <f>VLOOKUP($O296,'records (2)'!$A:$Z,11,FALSE)</f>
        <v>Paloma FAJARDO</v>
      </c>
      <c r="AN296" s="18">
        <v>1</v>
      </c>
      <c r="AO296" s="4">
        <v>5500</v>
      </c>
      <c r="AP296" s="4">
        <v>5500</v>
      </c>
      <c r="AQ296" s="20">
        <v>0</v>
      </c>
      <c r="AR296" s="6">
        <v>0</v>
      </c>
    </row>
    <row r="297" spans="1:44">
      <c r="A297" s="18" t="s">
        <v>460</v>
      </c>
      <c r="B297" s="18" t="s">
        <v>461</v>
      </c>
      <c r="C297" s="18" t="s">
        <v>462</v>
      </c>
      <c r="D297" s="18" t="s">
        <v>463</v>
      </c>
      <c r="E297" s="18" t="s">
        <v>52</v>
      </c>
      <c r="F297" s="18" t="s">
        <v>53</v>
      </c>
      <c r="G297" s="18"/>
      <c r="H297" s="19" t="s">
        <v>1216</v>
      </c>
      <c r="I297" s="23" t="s">
        <v>1217</v>
      </c>
      <c r="J297" s="24">
        <v>46023</v>
      </c>
      <c r="K297" s="24">
        <v>46387</v>
      </c>
      <c r="L297" s="24" t="s">
        <v>1218</v>
      </c>
      <c r="M297" s="24" t="s">
        <v>1219</v>
      </c>
      <c r="N297" s="24">
        <v>46023</v>
      </c>
      <c r="O297" s="24" t="str">
        <f>VLOOKUP(D297,records!$A:$U,10,FALSE)</f>
        <v>001SZ0000038L0jYAE</v>
      </c>
      <c r="P297" s="24" t="str">
        <f>VLOOKUP(D297,records!$A:$V,20,FALSE)</f>
        <v>FR46433225356</v>
      </c>
      <c r="Q297" s="24" t="str">
        <f>VLOOKUP(D297,records!$A:$V,12,FALSE)</f>
        <v>43 322 535 600 099</v>
      </c>
      <c r="R297" s="24" t="s">
        <v>1220</v>
      </c>
      <c r="S297" s="24" t="str">
        <f>VLOOKUP(D297,records!$A:$U,19,FALSE)</f>
        <v>pierrick.manuel@barilla.com</v>
      </c>
      <c r="T297" s="26" t="s">
        <v>1221</v>
      </c>
      <c r="U297" s="26" t="s">
        <v>1222</v>
      </c>
      <c r="V297" s="26" t="str">
        <f>VLOOKUP($D297,records!$A:$V,3,FALSE)</f>
        <v>BARILLA FRANCE sas - Site de Saint-Vulbas</v>
      </c>
      <c r="W297" s="26" t="str">
        <f>IFERROR(VLOOKUP($D297,records!$A:$V,6,FALSE),)</f>
        <v>RH</v>
      </c>
      <c r="X297" s="26" t="str">
        <f>VLOOKUP($D297,records!$A:$V,9,FALSE)</f>
        <v>860 Avenue des Bergeries</v>
      </c>
      <c r="Y297" s="26" t="str">
        <f>VLOOKUP($D297,records!$A:$V,4,FALSE)</f>
        <v>SAINT-VULBAS</v>
      </c>
      <c r="Z297" s="26" t="str">
        <f>VLOOKUP($D297,records!$A:$V,7,FALSE)</f>
        <v>1150</v>
      </c>
      <c r="AA297" s="26" t="s">
        <v>1223</v>
      </c>
      <c r="AB297" s="26">
        <f>VLOOKUP(O297,'records (2)'!$A:$Z,8,FALSE)</f>
        <v>30</v>
      </c>
      <c r="AC297" s="26" t="b">
        <f>VLOOKUP(O297,'records (4)'!$A:$C,3,FALSE)</f>
        <v>1</v>
      </c>
      <c r="AD297" s="26" t="s">
        <v>1225</v>
      </c>
      <c r="AE297" s="24">
        <v>46023</v>
      </c>
      <c r="AF297" s="26" t="str">
        <f>VLOOKUP($D297,records!$A:$V,13,FALSE)</f>
        <v>BARILLA FRANCE sas - Site de Saint-Vulbas</v>
      </c>
      <c r="AG297" s="26" t="s">
        <v>1226</v>
      </c>
      <c r="AH297" s="26" t="str">
        <f>VLOOKUP($D297,records!$A:$V,19,FALSE)</f>
        <v>pierrick.manuel@barilla.com</v>
      </c>
      <c r="AI297" s="26" t="str">
        <f>VLOOKUP($D297,records!$A:$V,14,FALSE)</f>
        <v>.</v>
      </c>
      <c r="AJ297" s="26" t="str">
        <f>VLOOKUP($O297,'records (2)'!$A:$Z,14,FALSE)</f>
        <v>003IV000010tRThYAM</v>
      </c>
      <c r="AK297" s="26" t="str">
        <f>VLOOKUP($O297,'records (2)'!$A:$Z,15,FALSE)</f>
        <v>Pierrick MANUEL</v>
      </c>
      <c r="AL297" s="26" t="str">
        <f>VLOOKUP($O297,'records (2)'!$A:$Z,10,FALSE)</f>
        <v>003IV000010tRThYAM</v>
      </c>
      <c r="AM297" s="26" t="str">
        <f>VLOOKUP($O297,'records (2)'!$A:$Z,11,FALSE)</f>
        <v>Pierrick MANUEL</v>
      </c>
      <c r="AN297" s="18">
        <v>1</v>
      </c>
      <c r="AO297" s="4">
        <v>1000</v>
      </c>
      <c r="AP297" s="4">
        <v>1000</v>
      </c>
      <c r="AQ297" s="20">
        <v>0</v>
      </c>
      <c r="AR297" s="6">
        <v>0</v>
      </c>
    </row>
    <row r="298" spans="1:44">
      <c r="A298" s="18" t="s">
        <v>703</v>
      </c>
      <c r="B298" s="18" t="s">
        <v>704</v>
      </c>
      <c r="C298" s="18" t="s">
        <v>705</v>
      </c>
      <c r="D298" s="18" t="s">
        <v>706</v>
      </c>
      <c r="E298" s="18" t="s">
        <v>52</v>
      </c>
      <c r="F298" s="18" t="s">
        <v>53</v>
      </c>
      <c r="G298" s="18"/>
      <c r="H298" s="19" t="s">
        <v>1216</v>
      </c>
      <c r="I298" s="23" t="s">
        <v>1217</v>
      </c>
      <c r="J298" s="24">
        <v>46023</v>
      </c>
      <c r="K298" s="24">
        <v>46387</v>
      </c>
      <c r="L298" s="24" t="s">
        <v>1218</v>
      </c>
      <c r="M298" s="24" t="s">
        <v>1219</v>
      </c>
      <c r="N298" s="24">
        <v>46023</v>
      </c>
      <c r="O298" s="24" t="str">
        <f>VLOOKUP(D298,records!$A:$U,10,FALSE)</f>
        <v>001SZ000006BHIJYA4</v>
      </c>
      <c r="P298" s="24" t="str">
        <f>VLOOKUP(D298,records!$A:$V,20,FALSE)</f>
        <v>FR28434027249</v>
      </c>
      <c r="Q298" s="24" t="str">
        <f>VLOOKUP(D298,records!$A:$V,12,FALSE)</f>
        <v>43 402 724 900 235</v>
      </c>
      <c r="R298" s="24" t="s">
        <v>1224</v>
      </c>
      <c r="S298" s="24"/>
      <c r="T298" s="26" t="s">
        <v>1221</v>
      </c>
      <c r="U298" s="26" t="s">
        <v>1222</v>
      </c>
      <c r="V298" s="26" t="str">
        <f>VLOOKUP($D298,records!$A:$V,3,FALSE)</f>
        <v>ITRON FRANCE</v>
      </c>
      <c r="W298" s="26"/>
      <c r="X298" s="26" t="str">
        <f>VLOOKUP($D298,records!$A:$V,9,FALSE)</f>
        <v>15 Avenue du Maréchal Juin CS 35002</v>
      </c>
      <c r="Y298" s="26" t="str">
        <f>VLOOKUP($D298,records!$A:$V,4,FALSE)</f>
        <v>MASSY CEDEX</v>
      </c>
      <c r="Z298" s="26" t="str">
        <f>VLOOKUP($D298,records!$A:$V,7,FALSE)</f>
        <v>91301</v>
      </c>
      <c r="AA298" s="26" t="s">
        <v>1223</v>
      </c>
      <c r="AB298" s="26">
        <f>VLOOKUP(O298,'records (2)'!$A:$Z,8,FALSE)</f>
        <v>30</v>
      </c>
      <c r="AC298" s="26" t="b">
        <v>0</v>
      </c>
      <c r="AD298" s="26"/>
      <c r="AE298" s="26"/>
      <c r="AF298" s="26" t="str">
        <f>VLOOKUP($D298,records!$A:$V,13,FALSE)</f>
        <v>ITRON FRANCE</v>
      </c>
      <c r="AG298" s="26" t="s">
        <v>1226</v>
      </c>
      <c r="AH298" s="26" t="s">
        <v>1254</v>
      </c>
      <c r="AI298" s="26" t="s">
        <v>1255</v>
      </c>
      <c r="AJ298" s="26" t="str">
        <f>VLOOKUP($O298,'records (2)'!$A:$Z,14,FALSE)</f>
        <v>003IV000010su9SYAQ</v>
      </c>
      <c r="AK298" s="26" t="str">
        <f>VLOOKUP($O298,'records (2)'!$A:$Z,15,FALSE)</f>
        <v>Brigitte COURIAUD</v>
      </c>
      <c r="AL298" s="26" t="str">
        <f>VLOOKUP($O298,'records (2)'!$A:$Z,10,FALSE)</f>
        <v>003IV000010su9SYAQ</v>
      </c>
      <c r="AM298" s="26" t="str">
        <f>VLOOKUP($O298,'records (2)'!$A:$Z,11,FALSE)</f>
        <v>Brigitte COURIAUD</v>
      </c>
      <c r="AN298" s="18">
        <v>1</v>
      </c>
      <c r="AO298" s="4">
        <v>2500</v>
      </c>
      <c r="AP298" s="4">
        <v>2500</v>
      </c>
      <c r="AQ298" s="20">
        <v>0</v>
      </c>
      <c r="AR298" s="6">
        <v>0</v>
      </c>
    </row>
    <row r="299" spans="1:44">
      <c r="A299" s="18" t="s">
        <v>337</v>
      </c>
      <c r="B299" s="18" t="s">
        <v>338</v>
      </c>
      <c r="C299" s="18" t="s">
        <v>338</v>
      </c>
      <c r="D299" s="18" t="s">
        <v>339</v>
      </c>
      <c r="E299" s="18" t="s">
        <v>16</v>
      </c>
      <c r="F299" s="18" t="s">
        <v>17</v>
      </c>
      <c r="G299" s="18"/>
      <c r="H299" s="19" t="s">
        <v>1216</v>
      </c>
      <c r="I299" s="23" t="s">
        <v>1217</v>
      </c>
      <c r="J299" s="24">
        <v>46023</v>
      </c>
      <c r="K299" s="24">
        <v>46387</v>
      </c>
      <c r="L299" s="24" t="s">
        <v>1218</v>
      </c>
      <c r="M299" s="24" t="s">
        <v>1219</v>
      </c>
      <c r="N299" s="24">
        <v>46023</v>
      </c>
      <c r="O299" s="24" t="str">
        <f>VLOOKUP(D299,records!$A:$U,10,FALSE)</f>
        <v>0012p00004O4NqdAAF</v>
      </c>
      <c r="P299" s="24" t="str">
        <f>VLOOKUP(D299,records!$A:$V,20,FALSE)</f>
        <v>FR39303656375</v>
      </c>
      <c r="Q299" s="24" t="str">
        <f>VLOOKUP(D299,records!$A:$V,12,FALSE)</f>
        <v>30 365 637 500 217</v>
      </c>
      <c r="R299" s="24" t="s">
        <v>1220</v>
      </c>
      <c r="S299" s="24" t="str">
        <f>VLOOKUP(D299,records!$A:$U,19,FALSE)</f>
        <v>prf.facturesfournisseurs@pernod-ricard.com</v>
      </c>
      <c r="T299" s="26" t="s">
        <v>1221</v>
      </c>
      <c r="U299" s="26" t="s">
        <v>1222</v>
      </c>
      <c r="V299" s="26" t="str">
        <f>VLOOKUP($D299,records!$A:$V,3,FALSE)</f>
        <v>PERNOD RICARD FRANCE sas</v>
      </c>
      <c r="W299" s="26" t="str">
        <f>IFERROR(VLOOKUP($D299,records!$A:$V,6,FALSE),)</f>
        <v>Administratif</v>
      </c>
      <c r="X299" s="26" t="str">
        <f>VLOOKUP($D299,records!$A:$V,9,FALSE)</f>
        <v>6 Rue de Seclin</v>
      </c>
      <c r="Y299" s="26" t="str">
        <f>VLOOKUP($D299,records!$A:$V,4,FALSE)</f>
        <v>VENDEVILLE</v>
      </c>
      <c r="Z299" s="26" t="str">
        <f>VLOOKUP($D299,records!$A:$V,7,FALSE)</f>
        <v>59175</v>
      </c>
      <c r="AA299" s="26" t="s">
        <v>1223</v>
      </c>
      <c r="AB299" s="26">
        <f>VLOOKUP(O299,'records (2)'!$A:$Z,8,FALSE)</f>
        <v>30</v>
      </c>
      <c r="AC299" s="26" t="b">
        <v>0</v>
      </c>
      <c r="AD299" s="26"/>
      <c r="AE299" s="26"/>
      <c r="AF299" s="26" t="str">
        <f>VLOOKUP($D299,records!$A:$V,13,FALSE)</f>
        <v>PERNOD RICARD FRANCE sas</v>
      </c>
      <c r="AG299" s="26" t="s">
        <v>1226</v>
      </c>
      <c r="AH299" s="26" t="str">
        <f>VLOOKUP($D299,records!$A:$V,19,FALSE)</f>
        <v>prf.facturesfournisseurs@pernod-ricard.com</v>
      </c>
      <c r="AI299" s="26" t="str">
        <f>VLOOKUP($D299,records!$A:$V,14,FALSE)</f>
        <v>.</v>
      </c>
      <c r="AJ299" s="26" t="str">
        <f>VLOOKUP($O299,'records (2)'!$A:$Z,14,FALSE)</f>
        <v>003IV000010s6QvYAI</v>
      </c>
      <c r="AK299" s="26" t="str">
        <f>VLOOKUP($O299,'records (2)'!$A:$Z,15,FALSE)</f>
        <v>Ludivine HAQUETTE</v>
      </c>
      <c r="AL299" s="26" t="str">
        <f>VLOOKUP($O299,'records (2)'!$A:$Z,10,FALSE)</f>
        <v>003IV000010s6QvYAI</v>
      </c>
      <c r="AM299" s="26" t="str">
        <f>VLOOKUP($O299,'records (2)'!$A:$Z,11,FALSE)</f>
        <v>Ludivine HAQUETTE</v>
      </c>
      <c r="AN299" s="18">
        <v>1</v>
      </c>
      <c r="AO299" s="4">
        <v>1000</v>
      </c>
      <c r="AP299" s="4">
        <v>1000</v>
      </c>
      <c r="AQ299" s="20">
        <v>0</v>
      </c>
      <c r="AR299" s="6">
        <v>0</v>
      </c>
    </row>
    <row r="300" spans="1:44">
      <c r="A300" s="18" t="s">
        <v>413</v>
      </c>
      <c r="B300" s="18" t="s">
        <v>414</v>
      </c>
      <c r="C300" s="18" t="s">
        <v>415</v>
      </c>
      <c r="D300" s="18" t="s">
        <v>416</v>
      </c>
      <c r="E300" s="18" t="s">
        <v>23</v>
      </c>
      <c r="F300" s="18" t="s">
        <v>24</v>
      </c>
      <c r="G300" s="18"/>
      <c r="H300" s="19" t="s">
        <v>1216</v>
      </c>
      <c r="I300" s="23" t="s">
        <v>1217</v>
      </c>
      <c r="J300" s="24">
        <v>46023</v>
      </c>
      <c r="K300" s="24">
        <v>46387</v>
      </c>
      <c r="L300" s="24" t="s">
        <v>1218</v>
      </c>
      <c r="M300" s="24" t="s">
        <v>1219</v>
      </c>
      <c r="N300" s="24">
        <v>46023</v>
      </c>
      <c r="O300" s="24" t="str">
        <f>VLOOKUP(D300,records!$A:$U,10,FALSE)</f>
        <v>001SZ000001uUm3YAE</v>
      </c>
      <c r="P300" s="24" t="str">
        <f>VLOOKUP(D300,records!$A:$V,20,FALSE)</f>
        <v>FR57668502966</v>
      </c>
      <c r="Q300" s="24" t="str">
        <f>VLOOKUP(D300,records!$A:$V,12,FALSE)</f>
        <v>66 850 296 600 041</v>
      </c>
      <c r="R300" s="24" t="s">
        <v>1220</v>
      </c>
      <c r="S300" s="24" t="str">
        <f>VLOOKUP(D300,records!$A:$U,19,FALSE)</f>
        <v>quentin.feist@wurth.fr</v>
      </c>
      <c r="T300" s="26" t="s">
        <v>1221</v>
      </c>
      <c r="U300" s="26" t="s">
        <v>1222</v>
      </c>
      <c r="V300" s="26" t="str">
        <f>VLOOKUP($D300,records!$A:$V,3,FALSE)</f>
        <v>WURTH FRANCE sas</v>
      </c>
      <c r="W300" s="26"/>
      <c r="X300" s="26" t="str">
        <f>VLOOKUP($D300,records!$A:$V,9,FALSE)</f>
        <v>Rue Georges Besse</v>
      </c>
      <c r="Y300" s="26" t="str">
        <f>VLOOKUP($D300,records!$A:$V,4,FALSE)</f>
        <v>ERSTEIN</v>
      </c>
      <c r="Z300" s="26" t="str">
        <f>VLOOKUP($D300,records!$A:$V,7,FALSE)</f>
        <v>67150</v>
      </c>
      <c r="AA300" s="26" t="s">
        <v>1223</v>
      </c>
      <c r="AB300" s="26">
        <f>VLOOKUP(O300,'records (2)'!$A:$Z,8,FALSE)</f>
        <v>30</v>
      </c>
      <c r="AC300" s="26" t="b">
        <v>0</v>
      </c>
      <c r="AD300" s="26"/>
      <c r="AE300" s="26"/>
      <c r="AF300" s="26" t="str">
        <f>VLOOKUP($D300,records!$A:$V,13,FALSE)</f>
        <v>WURTH FRANCE sas</v>
      </c>
      <c r="AG300" s="26" t="s">
        <v>1226</v>
      </c>
      <c r="AH300" s="26" t="str">
        <f>VLOOKUP($D300,records!$A:$V,19,FALSE)</f>
        <v>quentin.feist@wurth.fr</v>
      </c>
      <c r="AI300" s="26" t="str">
        <f>VLOOKUP($D300,records!$A:$V,14,FALSE)</f>
        <v>.</v>
      </c>
      <c r="AJ300" s="26" t="str">
        <f>VLOOKUP($O300,'records (2)'!$A:$Z,14,FALSE)</f>
        <v>003IV000010tRywYAE</v>
      </c>
      <c r="AK300" s="26" t="str">
        <f>VLOOKUP($O300,'records (2)'!$A:$Z,15,FALSE)</f>
        <v>Quentin FEIST</v>
      </c>
      <c r="AL300" s="26" t="str">
        <f>VLOOKUP($O300,'records (2)'!$A:$Z,10,FALSE)</f>
        <v>003IV000010tRywYAE</v>
      </c>
      <c r="AM300" s="26" t="str">
        <f>VLOOKUP($O300,'records (2)'!$A:$Z,11,FALSE)</f>
        <v>Quentin FEIST</v>
      </c>
      <c r="AN300" s="18">
        <v>1</v>
      </c>
      <c r="AO300" s="4">
        <v>4000</v>
      </c>
      <c r="AP300" s="4">
        <v>4000</v>
      </c>
      <c r="AQ300" s="20">
        <v>0</v>
      </c>
      <c r="AR300" s="6">
        <v>0</v>
      </c>
    </row>
    <row r="301" spans="1:44">
      <c r="A301" s="18" t="s">
        <v>237</v>
      </c>
      <c r="B301" s="18" t="s">
        <v>238</v>
      </c>
      <c r="C301" s="18" t="s">
        <v>239</v>
      </c>
      <c r="D301" s="18" t="s">
        <v>240</v>
      </c>
      <c r="E301" s="18" t="s">
        <v>16</v>
      </c>
      <c r="F301" s="18" t="s">
        <v>17</v>
      </c>
      <c r="G301" s="18"/>
      <c r="H301" s="19" t="s">
        <v>1216</v>
      </c>
      <c r="I301" s="23" t="s">
        <v>1217</v>
      </c>
      <c r="J301" s="24">
        <v>46023</v>
      </c>
      <c r="K301" s="24">
        <v>46387</v>
      </c>
      <c r="L301" s="24" t="s">
        <v>1218</v>
      </c>
      <c r="M301" s="24" t="s">
        <v>1219</v>
      </c>
      <c r="N301" s="24">
        <v>46023</v>
      </c>
      <c r="O301" s="24" t="str">
        <f>VLOOKUP(D301,records!$A:$U,10,FALSE)</f>
        <v>0012p00004QdCluAAF</v>
      </c>
      <c r="P301" s="24" t="str">
        <f>VLOOKUP(D301,records!$A:$V,20,FALSE)</f>
        <v>FR88409196821</v>
      </c>
      <c r="Q301" s="24" t="str">
        <f>VLOOKUP(D301,records!$A:$V,12,FALSE)</f>
        <v>40 919 682 100 022</v>
      </c>
      <c r="R301" s="24" t="s">
        <v>1220</v>
      </c>
      <c r="S301" s="24" t="str">
        <f>VLOOKUP(D301,records!$A:$U,19,FALSE)</f>
        <v>regine.zwiebel@llproducts.com</v>
      </c>
      <c r="T301" s="26" t="s">
        <v>1221</v>
      </c>
      <c r="U301" s="26" t="s">
        <v>1222</v>
      </c>
      <c r="V301" s="26" t="str">
        <f>VLOOKUP($D301,records!$A:$V,3,FALSE)</f>
        <v>L&amp;L PRODUCTS EUROPE SAS</v>
      </c>
      <c r="W301" s="26" t="str">
        <f>IFERROR(VLOOKUP($D301,records!$A:$V,6,FALSE),)</f>
        <v>Service Finance</v>
      </c>
      <c r="X301" s="26" t="str">
        <f>VLOOKUP($D301,records!$A:$V,9,FALSE)</f>
        <v>1 rue Charles Lindbergh ZA</v>
      </c>
      <c r="Y301" s="26" t="str">
        <f>VLOOKUP($D301,records!$A:$V,4,FALSE)</f>
        <v>ALTORF</v>
      </c>
      <c r="Z301" s="26" t="str">
        <f>VLOOKUP($D301,records!$A:$V,7,FALSE)</f>
        <v>67120</v>
      </c>
      <c r="AA301" s="26" t="s">
        <v>1223</v>
      </c>
      <c r="AB301" s="26">
        <f>VLOOKUP(O301,'records (2)'!$A:$Z,8,FALSE)</f>
        <v>30</v>
      </c>
      <c r="AC301" s="26" t="b">
        <v>0</v>
      </c>
      <c r="AD301" s="26"/>
      <c r="AE301" s="26"/>
      <c r="AF301" s="26" t="str">
        <f>VLOOKUP($D301,records!$A:$V,13,FALSE)</f>
        <v>L&amp;L PPRODUCTS EUROPE SAS</v>
      </c>
      <c r="AG301" s="26" t="s">
        <v>1226</v>
      </c>
      <c r="AH301" s="26" t="str">
        <f>VLOOKUP($D301,records!$A:$V,19,FALSE)</f>
        <v>regine.zwiebel@llproducts.com</v>
      </c>
      <c r="AI301" s="26" t="str">
        <f>VLOOKUP($D301,records!$A:$V,14,FALSE)</f>
        <v>.</v>
      </c>
      <c r="AJ301" s="26" t="str">
        <f>VLOOKUP($O301,'records (2)'!$A:$Z,14,FALSE)</f>
        <v>003IV000010tQI0YAM</v>
      </c>
      <c r="AK301" s="26" t="str">
        <f>VLOOKUP($O301,'records (2)'!$A:$Z,15,FALSE)</f>
        <v>Régine ZWIEBEL</v>
      </c>
      <c r="AL301" s="26" t="str">
        <f>VLOOKUP($O301,'records (2)'!$A:$Z,10,FALSE)</f>
        <v>003IV000010tQHdYAM</v>
      </c>
      <c r="AM301" s="26" t="str">
        <f>VLOOKUP($O301,'records (2)'!$A:$Z,11,FALSE)</f>
        <v>Elina STEPHAN</v>
      </c>
      <c r="AN301" s="18">
        <v>1</v>
      </c>
      <c r="AO301" s="4">
        <v>1000</v>
      </c>
      <c r="AP301" s="4">
        <v>1000</v>
      </c>
      <c r="AQ301" s="20">
        <v>0</v>
      </c>
      <c r="AR301" s="6">
        <v>0</v>
      </c>
    </row>
    <row r="302" spans="1:44">
      <c r="A302" s="18" t="s">
        <v>207</v>
      </c>
      <c r="B302" s="18" t="s">
        <v>208</v>
      </c>
      <c r="C302" s="18" t="s">
        <v>208</v>
      </c>
      <c r="D302" s="18" t="s">
        <v>209</v>
      </c>
      <c r="E302" s="18" t="s">
        <v>16</v>
      </c>
      <c r="F302" s="18" t="s">
        <v>17</v>
      </c>
      <c r="G302" s="18"/>
      <c r="H302" s="19" t="s">
        <v>1216</v>
      </c>
      <c r="I302" s="23" t="s">
        <v>1217</v>
      </c>
      <c r="J302" s="24">
        <v>46023</v>
      </c>
      <c r="K302" s="24">
        <v>46387</v>
      </c>
      <c r="L302" s="24" t="s">
        <v>1218</v>
      </c>
      <c r="M302" s="24" t="s">
        <v>1219</v>
      </c>
      <c r="N302" s="24">
        <v>46023</v>
      </c>
      <c r="O302" s="24" t="str">
        <f>VLOOKUP(D302,records!$A:$U,10,FALSE)</f>
        <v>0012p00004PjlTfAAJ</v>
      </c>
      <c r="P302" s="24" t="str">
        <f>VLOOKUP(D302,records!$A:$V,20,FALSE)</f>
        <v>FR54783707052</v>
      </c>
      <c r="Q302" s="24" t="str">
        <f>VLOOKUP(D302,records!$A:$V,12,FALSE)</f>
        <v>78 370 705 200 032</v>
      </c>
      <c r="R302" s="24" t="s">
        <v>1220</v>
      </c>
      <c r="S302" s="24" t="str">
        <f>VLOOKUP(D302,records!$A:$U,19,FALSE)</f>
        <v>rh.interim@ieseg.fr</v>
      </c>
      <c r="T302" s="26" t="s">
        <v>1221</v>
      </c>
      <c r="U302" s="26" t="s">
        <v>1222</v>
      </c>
      <c r="V302" s="26" t="str">
        <f>VLOOKUP($D302,records!$A:$V,3,FALSE)</f>
        <v>INSTITUT ECONOMIE SCIENTIFIQUE GESTION association</v>
      </c>
      <c r="W302" s="26" t="str">
        <f>IFERROR(VLOOKUP($D302,records!$A:$V,6,FALSE),)</f>
        <v>IESEG School of Management ad</v>
      </c>
      <c r="X302" s="26" t="str">
        <f>VLOOKUP($D302,records!$A:$V,9,FALSE)</f>
        <v>3 rue de la Digue</v>
      </c>
      <c r="Y302" s="26" t="str">
        <f>VLOOKUP($D302,records!$A:$V,4,FALSE)</f>
        <v>LILLE</v>
      </c>
      <c r="Z302" s="26" t="str">
        <f>VLOOKUP($D302,records!$A:$V,7,FALSE)</f>
        <v>59000</v>
      </c>
      <c r="AA302" s="26" t="s">
        <v>1223</v>
      </c>
      <c r="AB302" s="26">
        <f>VLOOKUP(O302,'records (2)'!$A:$Z,8,FALSE)</f>
        <v>30</v>
      </c>
      <c r="AC302" s="26" t="b">
        <v>0</v>
      </c>
      <c r="AD302" s="26"/>
      <c r="AE302" s="26"/>
      <c r="AF302" s="26" t="str">
        <f>VLOOKUP($D302,records!$A:$V,13,FALSE)</f>
        <v>IESEG School of Management ad</v>
      </c>
      <c r="AG302" s="26" t="s">
        <v>1226</v>
      </c>
      <c r="AH302" s="26" t="str">
        <f>VLOOKUP($D302,records!$A:$V,19,FALSE)</f>
        <v>rh.interim@ieseg.fr</v>
      </c>
      <c r="AI302" s="26" t="str">
        <f>VLOOKUP($D302,records!$A:$V,14,FALSE)</f>
        <v>.</v>
      </c>
      <c r="AJ302" s="26" t="str">
        <f>VLOOKUP($O302,'records (2)'!$A:$Z,14,FALSE)</f>
        <v>003IV000010t2jrYAA</v>
      </c>
      <c r="AK302" s="26" t="str">
        <f>VLOOKUP($O302,'records (2)'!$A:$Z,15,FALSE)</f>
        <v>Céline BALIN</v>
      </c>
      <c r="AL302" s="26" t="str">
        <f>VLOOKUP($O302,'records (2)'!$A:$Z,10,FALSE)</f>
        <v>003IV000010t2jrYAA</v>
      </c>
      <c r="AM302" s="26" t="str">
        <f>VLOOKUP($O302,'records (2)'!$A:$Z,11,FALSE)</f>
        <v>Céline BALIN</v>
      </c>
      <c r="AN302" s="18">
        <v>1</v>
      </c>
      <c r="AO302" s="4">
        <v>2000</v>
      </c>
      <c r="AP302" s="4">
        <v>2000</v>
      </c>
      <c r="AQ302" s="20">
        <v>0</v>
      </c>
      <c r="AR302" s="6">
        <v>0</v>
      </c>
    </row>
    <row r="303" spans="1:44">
      <c r="A303" s="18" t="s">
        <v>45</v>
      </c>
      <c r="B303" s="18" t="s">
        <v>46</v>
      </c>
      <c r="C303" s="18" t="s">
        <v>47</v>
      </c>
      <c r="D303" s="18" t="s">
        <v>48</v>
      </c>
      <c r="E303" s="18" t="s">
        <v>16</v>
      </c>
      <c r="F303" s="18" t="s">
        <v>17</v>
      </c>
      <c r="G303" s="18"/>
      <c r="H303" s="19" t="s">
        <v>1216</v>
      </c>
      <c r="I303" s="23" t="s">
        <v>1217</v>
      </c>
      <c r="J303" s="24">
        <v>46023</v>
      </c>
      <c r="K303" s="24">
        <v>46387</v>
      </c>
      <c r="L303" s="24" t="s">
        <v>1218</v>
      </c>
      <c r="M303" s="24" t="s">
        <v>1219</v>
      </c>
      <c r="N303" s="24">
        <v>46023</v>
      </c>
      <c r="O303" s="24" t="str">
        <f>VLOOKUP(D303,records!$A:$U,10,FALSE)</f>
        <v>001SZ0000013XgQYAU</v>
      </c>
      <c r="P303" s="24" t="str">
        <f>VLOOKUP(D303,records!$A:$V,20,FALSE)</f>
        <v>FR85612028282</v>
      </c>
      <c r="Q303" s="24" t="str">
        <f>VLOOKUP(D303,records!$A:$V,12,FALSE)</f>
        <v>61 202 828 200 103</v>
      </c>
      <c r="R303" s="24" t="s">
        <v>1220</v>
      </c>
      <c r="S303" s="24" t="str">
        <f>VLOOKUP(D303,records!$A:$U,19,FALSE)</f>
        <v>rh.reims@seyfert.fr</v>
      </c>
      <c r="T303" s="26" t="s">
        <v>1237</v>
      </c>
      <c r="U303" s="26" t="s">
        <v>1222</v>
      </c>
      <c r="V303" s="26" t="str">
        <f>VLOOKUP($D303,records!$A:$V,3,FALSE)</f>
        <v>SEYFERT SAS</v>
      </c>
      <c r="W303" s="26"/>
      <c r="X303" s="26" t="str">
        <f>VLOOKUP($D303,records!$A:$V,9,FALSE)</f>
        <v>Rue du Val Clair - CS 11006</v>
      </c>
      <c r="Y303" s="26" t="str">
        <f>VLOOKUP($D303,records!$A:$V,4,FALSE)</f>
        <v>REIMS CEDEX 2</v>
      </c>
      <c r="Z303" s="26" t="str">
        <f>VLOOKUP($D303,records!$A:$V,7,FALSE)</f>
        <v>51683</v>
      </c>
      <c r="AA303" s="26" t="s">
        <v>1223</v>
      </c>
      <c r="AB303" s="26">
        <f>VLOOKUP(O303,'records (2)'!$A:$Z,8,FALSE)</f>
        <v>30</v>
      </c>
      <c r="AC303" s="26" t="b">
        <v>0</v>
      </c>
      <c r="AD303" s="26"/>
      <c r="AE303" s="26"/>
      <c r="AF303" s="26" t="str">
        <f>VLOOKUP($D303,records!$A:$V,13,FALSE)</f>
        <v>SEYFERT SAS</v>
      </c>
      <c r="AG303" s="26" t="s">
        <v>1226</v>
      </c>
      <c r="AH303" s="26" t="str">
        <f>VLOOKUP($D303,records!$A:$V,19,FALSE)</f>
        <v>rh.reims@seyfert.fr</v>
      </c>
      <c r="AI303" s="26" t="str">
        <f>VLOOKUP($D303,records!$A:$V,14,FALSE)</f>
        <v>.</v>
      </c>
      <c r="AJ303" s="26" t="str">
        <f>VLOOKUP($O303,'records (2)'!$A:$Z,14,FALSE)</f>
        <v>003IV000010tJXhYAM</v>
      </c>
      <c r="AK303" s="26" t="str">
        <f>VLOOKUP($O303,'records (2)'!$A:$Z,15,FALSE)</f>
        <v>Bénédicte CHANE (rh)</v>
      </c>
      <c r="AL303" s="26" t="str">
        <f>VLOOKUP($O303,'records (2)'!$A:$Z,10,FALSE)</f>
        <v>003IV000010tJXhYAM</v>
      </c>
      <c r="AM303" s="26" t="str">
        <f>VLOOKUP($O303,'records (2)'!$A:$Z,11,FALSE)</f>
        <v>Bénédicte CHANE (rh)</v>
      </c>
      <c r="AN303" s="18">
        <v>1</v>
      </c>
      <c r="AO303" s="4">
        <v>4000</v>
      </c>
      <c r="AP303" s="4">
        <v>4000</v>
      </c>
      <c r="AQ303" s="20">
        <v>0</v>
      </c>
      <c r="AR303" s="6">
        <v>0</v>
      </c>
    </row>
    <row r="304" spans="1:44">
      <c r="A304" s="18" t="s">
        <v>298</v>
      </c>
      <c r="B304" s="18" t="s">
        <v>299</v>
      </c>
      <c r="C304" s="18" t="s">
        <v>300</v>
      </c>
      <c r="D304" s="18" t="s">
        <v>301</v>
      </c>
      <c r="E304" s="18" t="s">
        <v>16</v>
      </c>
      <c r="F304" s="18" t="s">
        <v>17</v>
      </c>
      <c r="G304" s="18"/>
      <c r="H304" s="19" t="s">
        <v>1216</v>
      </c>
      <c r="I304" s="23" t="s">
        <v>1217</v>
      </c>
      <c r="J304" s="24">
        <v>46023</v>
      </c>
      <c r="K304" s="24">
        <v>46387</v>
      </c>
      <c r="L304" s="24" t="s">
        <v>1218</v>
      </c>
      <c r="M304" s="24" t="s">
        <v>1219</v>
      </c>
      <c r="N304" s="24">
        <v>46023</v>
      </c>
      <c r="O304" s="24" t="str">
        <f>VLOOKUP(D304,records!$A:$U,10,FALSE)</f>
        <v>0012p00004MYVLNAA5</v>
      </c>
      <c r="P304" s="24" t="str">
        <f>VLOOKUP(D304,records!$A:$V,20,FALSE)</f>
        <v>FR55390831121</v>
      </c>
      <c r="Q304" s="24" t="str">
        <f>VLOOKUP(D304,records!$A:$V,12,FALSE)</f>
        <v>39 083 112 100 012</v>
      </c>
      <c r="R304" s="24" t="s">
        <v>1220</v>
      </c>
      <c r="S304" s="24" t="str">
        <f>VLOOKUP(D304,records!$A:$U,19,FALSE)</f>
        <v>rh@moulinsbourgeois.com</v>
      </c>
      <c r="T304" s="26" t="s">
        <v>1221</v>
      </c>
      <c r="U304" s="26" t="s">
        <v>1222</v>
      </c>
      <c r="V304" s="26" t="str">
        <f>VLOOKUP($D304,records!$A:$V,3,FALSE)</f>
        <v>LES MOULINS DE VERDELOT sas</v>
      </c>
      <c r="W304" s="26"/>
      <c r="X304" s="26" t="str">
        <f>VLOOKUP($D304,records!$A:$V,9,FALSE)</f>
        <v>Impasse du Moulin</v>
      </c>
      <c r="Y304" s="26" t="str">
        <f>VLOOKUP($D304,records!$A:$V,4,FALSE)</f>
        <v>VERDELOT</v>
      </c>
      <c r="Z304" s="26" t="str">
        <f>VLOOKUP($D304,records!$A:$V,7,FALSE)</f>
        <v>77510</v>
      </c>
      <c r="AA304" s="26" t="s">
        <v>1223</v>
      </c>
      <c r="AB304" s="26">
        <f>VLOOKUP(O304,'records (2)'!$A:$Z,8,FALSE)</f>
        <v>30</v>
      </c>
      <c r="AC304" s="26" t="b">
        <v>0</v>
      </c>
      <c r="AD304" s="26"/>
      <c r="AE304" s="26"/>
      <c r="AF304" s="26" t="str">
        <f>VLOOKUP($D304,records!$A:$V,13,FALSE)</f>
        <v>LES MOULINS DE VERDELOT sas</v>
      </c>
      <c r="AG304" s="26" t="s">
        <v>1226</v>
      </c>
      <c r="AH304" s="26" t="str">
        <f>VLOOKUP($D304,records!$A:$V,19,FALSE)</f>
        <v>rh@moulinsbourgeois.com</v>
      </c>
      <c r="AI304" s="26" t="str">
        <f>VLOOKUP($D304,records!$A:$V,14,FALSE)</f>
        <v>.</v>
      </c>
      <c r="AJ304" s="26" t="str">
        <f>VLOOKUP($O304,'records (2)'!$A:$Z,14,FALSE)</f>
        <v>003IV000010sxGTYAY</v>
      </c>
      <c r="AK304" s="26" t="str">
        <f>VLOOKUP($O304,'records (2)'!$A:$Z,15,FALSE)</f>
        <v>Clotilde CHAUDRON - Oksana GORLET - Gest.RH</v>
      </c>
      <c r="AL304" s="26" t="str">
        <f>VLOOKUP($O304,'records (2)'!$A:$Z,10,FALSE)</f>
        <v>003IV000010tRTVYA2</v>
      </c>
      <c r="AM304" s="26" t="str">
        <f>VLOOKUP($O304,'records (2)'!$A:$Z,11,FALSE)</f>
        <v>Oksana GORLET</v>
      </c>
      <c r="AN304" s="18">
        <v>1</v>
      </c>
      <c r="AO304" s="4">
        <v>1000</v>
      </c>
      <c r="AP304" s="4">
        <v>1000</v>
      </c>
      <c r="AQ304" s="20">
        <v>0</v>
      </c>
      <c r="AR304" s="6">
        <v>0</v>
      </c>
    </row>
    <row r="305" spans="1:44">
      <c r="A305" s="18" t="s">
        <v>790</v>
      </c>
      <c r="B305" s="18" t="s">
        <v>791</v>
      </c>
      <c r="C305" s="18" t="s">
        <v>791</v>
      </c>
      <c r="D305" s="18" t="s">
        <v>792</v>
      </c>
      <c r="E305" s="18" t="s">
        <v>52</v>
      </c>
      <c r="F305" s="18" t="s">
        <v>53</v>
      </c>
      <c r="G305" s="18"/>
      <c r="H305" s="19" t="s">
        <v>1216</v>
      </c>
      <c r="I305" s="23" t="s">
        <v>1217</v>
      </c>
      <c r="J305" s="24">
        <v>46023</v>
      </c>
      <c r="K305" s="24">
        <v>46387</v>
      </c>
      <c r="L305" s="24" t="s">
        <v>1218</v>
      </c>
      <c r="M305" s="24" t="s">
        <v>1219</v>
      </c>
      <c r="N305" s="24">
        <v>46023</v>
      </c>
      <c r="O305" s="24" t="str">
        <f>VLOOKUP(D305,records!$A:$U,10,FALSE)</f>
        <v>0012p00004QxT1lAAF</v>
      </c>
      <c r="P305" s="24" t="str">
        <f>VLOOKUP(D305,records!$A:$V,20,FALSE)</f>
        <v>FR95306926684</v>
      </c>
      <c r="Q305" s="24" t="str">
        <f>VLOOKUP(D305,records!$A:$V,12,FALSE)</f>
        <v>30 692 668 400 037</v>
      </c>
      <c r="R305" s="24" t="s">
        <v>1220</v>
      </c>
      <c r="S305" s="24" t="str">
        <f>VLOOKUP(D305,records!$A:$U,19,FALSE)</f>
        <v>rh@nicomatic.fr</v>
      </c>
      <c r="T305" s="26" t="s">
        <v>1221</v>
      </c>
      <c r="U305" s="26" t="s">
        <v>1222</v>
      </c>
      <c r="V305" s="26" t="str">
        <f>VLOOKUP($D305,records!$A:$V,3,FALSE)</f>
        <v>NICOMATIC sa</v>
      </c>
      <c r="W305" s="26"/>
      <c r="X305" s="26" t="str">
        <f>VLOOKUP($D305,records!$A:$V,9,FALSE)</f>
        <v>173 rue des Fougères</v>
      </c>
      <c r="Y305" s="26" t="str">
        <f>VLOOKUP($D305,records!$A:$V,4,FALSE)</f>
        <v>BONS EN CHABLAIS</v>
      </c>
      <c r="Z305" s="26" t="str">
        <f>VLOOKUP($D305,records!$A:$V,7,FALSE)</f>
        <v>74890</v>
      </c>
      <c r="AA305" s="26" t="s">
        <v>1223</v>
      </c>
      <c r="AB305" s="26">
        <f>VLOOKUP(O305,'records (2)'!$A:$Z,8,FALSE)</f>
        <v>30</v>
      </c>
      <c r="AC305" s="26" t="b">
        <v>0</v>
      </c>
      <c r="AD305" s="26"/>
      <c r="AE305" s="26"/>
      <c r="AF305" s="26" t="str">
        <f>VLOOKUP($D305,records!$A:$V,13,FALSE)</f>
        <v>NICOMATIC sa</v>
      </c>
      <c r="AG305" s="26" t="s">
        <v>1226</v>
      </c>
      <c r="AH305" s="26" t="str">
        <f>VLOOKUP($D305,records!$A:$V,19,FALSE)</f>
        <v>rh@nicomatic.fr</v>
      </c>
      <c r="AI305" s="26" t="str">
        <f>VLOOKUP($D305,records!$A:$V,14,FALSE)</f>
        <v>.</v>
      </c>
      <c r="AJ305" s="26" t="str">
        <f>VLOOKUP($O305,'records (2)'!$A:$Z,14,FALSE)</f>
        <v>003IV000010tQI2YAM</v>
      </c>
      <c r="AK305" s="26" t="str">
        <f>VLOOKUP($O305,'records (2)'!$A:$Z,15,FALSE)</f>
        <v>MARINE GHIGLIONE</v>
      </c>
      <c r="AL305" s="26" t="str">
        <f>VLOOKUP($O305,'records (2)'!$A:$Z,10,FALSE)</f>
        <v>003IV000010tQI2YAM</v>
      </c>
      <c r="AM305" s="26" t="str">
        <f>VLOOKUP($O305,'records (2)'!$A:$Z,11,FALSE)</f>
        <v>MARINE GHIGLIONE</v>
      </c>
      <c r="AN305" s="18">
        <v>1</v>
      </c>
      <c r="AO305" s="4">
        <v>1000</v>
      </c>
      <c r="AP305" s="4">
        <v>1000</v>
      </c>
      <c r="AQ305" s="20">
        <v>0</v>
      </c>
      <c r="AR305" s="6">
        <v>0</v>
      </c>
    </row>
    <row r="306" spans="1:44">
      <c r="A306" s="18" t="s">
        <v>902</v>
      </c>
      <c r="B306" s="18" t="s">
        <v>903</v>
      </c>
      <c r="C306" s="18" t="s">
        <v>903</v>
      </c>
      <c r="D306" s="18" t="s">
        <v>904</v>
      </c>
      <c r="E306" s="18" t="s">
        <v>52</v>
      </c>
      <c r="F306" s="18" t="s">
        <v>53</v>
      </c>
      <c r="G306" s="18"/>
      <c r="H306" s="19" t="s">
        <v>1216</v>
      </c>
      <c r="I306" s="23" t="s">
        <v>1217</v>
      </c>
      <c r="J306" s="24">
        <v>46023</v>
      </c>
      <c r="K306" s="24">
        <v>46387</v>
      </c>
      <c r="L306" s="24" t="s">
        <v>1218</v>
      </c>
      <c r="M306" s="24" t="s">
        <v>1219</v>
      </c>
      <c r="N306" s="24">
        <v>46023</v>
      </c>
      <c r="O306" s="24" t="str">
        <f>VLOOKUP(D306,records!$A:$U,10,FALSE)</f>
        <v>0012p00004NKZ9mAAH</v>
      </c>
      <c r="P306" s="24" t="str">
        <f>VLOOKUP(D306,records!$A:$V,20,FALSE)</f>
        <v>FR05354063513</v>
      </c>
      <c r="Q306" s="24" t="str">
        <f>VLOOKUP(D306,records!$A:$V,12,FALSE)</f>
        <v>35 406 351 300 015</v>
      </c>
      <c r="R306" s="24" t="s">
        <v>1220</v>
      </c>
      <c r="S306" s="24" t="str">
        <f>VLOOKUP(D306,records!$A:$U,19,FALSE)</f>
        <v>rh@sgt-france.com</v>
      </c>
      <c r="T306" s="26" t="s">
        <v>1221</v>
      </c>
      <c r="U306" s="26" t="s">
        <v>1222</v>
      </c>
      <c r="V306" s="26" t="str">
        <f>VLOOKUP($D306,records!$A:$V,3,FALSE)</f>
        <v>SOCIETE GENERALE DES TECHNIQUES - SGT sas</v>
      </c>
      <c r="W306" s="26"/>
      <c r="X306" s="26" t="str">
        <f>VLOOKUP($D306,records!$A:$V,9,FALSE)</f>
        <v>3 rue de l'ile Macé</v>
      </c>
      <c r="Y306" s="26" t="str">
        <f>VLOOKUP($D306,records!$A:$V,4,FALSE)</f>
        <v>REZE</v>
      </c>
      <c r="Z306" s="26" t="str">
        <f>VLOOKUP($D306,records!$A:$V,7,FALSE)</f>
        <v>44400</v>
      </c>
      <c r="AA306" s="26" t="s">
        <v>1223</v>
      </c>
      <c r="AB306" s="26">
        <f>VLOOKUP(O306,'records (2)'!$A:$Z,8,FALSE)</f>
        <v>30</v>
      </c>
      <c r="AC306" s="26" t="b">
        <v>0</v>
      </c>
      <c r="AD306" s="26"/>
      <c r="AE306" s="26"/>
      <c r="AF306" s="26" t="str">
        <f>VLOOKUP($D306,records!$A:$V,13,FALSE)</f>
        <v>SOCIETE GENERALE DES TECHNIQUES - SGT sas</v>
      </c>
      <c r="AG306" s="26" t="s">
        <v>1226</v>
      </c>
      <c r="AH306" s="26" t="str">
        <f>VLOOKUP($D306,records!$A:$V,19,FALSE)</f>
        <v>rh@sgt-france.com</v>
      </c>
      <c r="AI306" s="26" t="s">
        <v>1233</v>
      </c>
      <c r="AJ306" s="26" t="str">
        <f>VLOOKUP($O306,'records (2)'!$A:$Z,14,FALSE)</f>
        <v>003IV000010tRVQYA2</v>
      </c>
      <c r="AK306" s="26" t="str">
        <f>VLOOKUP($O306,'records (2)'!$A:$Z,15,FALSE)</f>
        <v>Virginie RAYMOND</v>
      </c>
      <c r="AL306" s="26" t="str">
        <f>VLOOKUP($O306,'records (2)'!$A:$Z,10,FALSE)</f>
        <v>003IV000010tRVQYA2</v>
      </c>
      <c r="AM306" s="26" t="str">
        <f>VLOOKUP($O306,'records (2)'!$A:$Z,11,FALSE)</f>
        <v>Virginie RAYMOND</v>
      </c>
      <c r="AN306" s="18">
        <v>1</v>
      </c>
      <c r="AO306" s="4">
        <v>1000</v>
      </c>
      <c r="AP306" s="4">
        <v>1000</v>
      </c>
      <c r="AQ306" s="20">
        <v>0</v>
      </c>
      <c r="AR306" s="6">
        <v>0</v>
      </c>
    </row>
    <row r="307" spans="1:44">
      <c r="A307" s="18" t="s">
        <v>710</v>
      </c>
      <c r="B307" s="18" t="s">
        <v>711</v>
      </c>
      <c r="C307" s="18" t="s">
        <v>711</v>
      </c>
      <c r="D307" s="18" t="s">
        <v>712</v>
      </c>
      <c r="E307" s="18" t="s">
        <v>52</v>
      </c>
      <c r="F307" s="18" t="s">
        <v>53</v>
      </c>
      <c r="G307" s="18"/>
      <c r="H307" s="19" t="s">
        <v>1216</v>
      </c>
      <c r="I307" s="23" t="s">
        <v>1217</v>
      </c>
      <c r="J307" s="24">
        <v>46023</v>
      </c>
      <c r="K307" s="24">
        <v>46387</v>
      </c>
      <c r="L307" s="24" t="s">
        <v>1218</v>
      </c>
      <c r="M307" s="24" t="s">
        <v>1219</v>
      </c>
      <c r="N307" s="24">
        <v>46023</v>
      </c>
      <c r="O307" s="24" t="str">
        <f>VLOOKUP(D307,records!$A:$U,10,FALSE)</f>
        <v>0012p00004MY1ROAA1</v>
      </c>
      <c r="P307" s="24" t="str">
        <f>VLOOKUP(D307,records!$A:$V,20,FALSE)</f>
        <v>FR56403072101</v>
      </c>
      <c r="Q307" s="24" t="str">
        <f>VLOOKUP(D307,records!$A:$V,12,FALSE)</f>
        <v>40 307 210 100 039</v>
      </c>
      <c r="R307" s="24" t="s">
        <v>1220</v>
      </c>
      <c r="S307" s="24" t="str">
        <f>VLOOKUP(D307,records!$A:$U,19,FALSE)</f>
        <v>rhpaie@jeldwen.com</v>
      </c>
      <c r="T307" s="26" t="s">
        <v>1221</v>
      </c>
      <c r="U307" s="26" t="s">
        <v>1222</v>
      </c>
      <c r="V307" s="26" t="str">
        <f>VLOOKUP($D307,records!$A:$V,3,FALSE)</f>
        <v>JELD-WEN FRANCE sas</v>
      </c>
      <c r="W307" s="26" t="str">
        <f>IFERROR(VLOOKUP($D307,records!$A:$V,6,FALSE),)</f>
        <v>Ressources Humaines</v>
      </c>
      <c r="X307" s="26" t="str">
        <f>VLOOKUP($D307,records!$A:$V,9,FALSE)</f>
        <v>35 avenue de la Ténarèze</v>
      </c>
      <c r="Y307" s="26" t="str">
        <f>VLOOKUP($D307,records!$A:$V,4,FALSE)</f>
        <v>EAUZE</v>
      </c>
      <c r="Z307" s="26" t="str">
        <f>VLOOKUP($D307,records!$A:$V,7,FALSE)</f>
        <v>32800</v>
      </c>
      <c r="AA307" s="26" t="s">
        <v>1223</v>
      </c>
      <c r="AB307" s="26">
        <f>VLOOKUP(O307,'records (2)'!$A:$Z,8,FALSE)</f>
        <v>30</v>
      </c>
      <c r="AC307" s="26" t="b">
        <v>0</v>
      </c>
      <c r="AD307" s="26"/>
      <c r="AE307" s="26"/>
      <c r="AF307" s="26" t="str">
        <f>VLOOKUP($D307,records!$A:$V,13,FALSE)</f>
        <v>JELD-WEN FRANCE sas</v>
      </c>
      <c r="AG307" s="26" t="s">
        <v>1226</v>
      </c>
      <c r="AH307" s="26" t="str">
        <f>VLOOKUP($D307,records!$A:$V,19,FALSE)</f>
        <v>rhpaie@jeldwen.com</v>
      </c>
      <c r="AI307" s="26" t="s">
        <v>1233</v>
      </c>
      <c r="AJ307" s="26" t="str">
        <f>VLOOKUP($O307,'records (2)'!$A:$Z,14,FALSE)</f>
        <v>003IV000010sxG9YAI</v>
      </c>
      <c r="AK307" s="26" t="str">
        <f>VLOOKUP($O307,'records (2)'!$A:$Z,15,FALSE)</f>
        <v>Thibaud CACERES (rhpaie)</v>
      </c>
      <c r="AL307" s="26" t="str">
        <f>VLOOKUP($O307,'records (2)'!$A:$Z,10,FALSE)</f>
        <v>003IV000010sxGPYAY</v>
      </c>
      <c r="AM307" s="26" t="str">
        <f>VLOOKUP($O307,'records (2)'!$A:$Z,11,FALSE)</f>
        <v>Pascal RUBIO</v>
      </c>
      <c r="AN307" s="18">
        <v>1</v>
      </c>
      <c r="AO307" s="4">
        <v>1000</v>
      </c>
      <c r="AP307" s="4">
        <v>1000</v>
      </c>
      <c r="AQ307" s="20">
        <v>0</v>
      </c>
      <c r="AR307" s="6">
        <v>0</v>
      </c>
    </row>
    <row r="308" spans="1:44">
      <c r="A308" s="18" t="s">
        <v>147</v>
      </c>
      <c r="B308" s="18" t="s">
        <v>148</v>
      </c>
      <c r="C308" s="18" t="s">
        <v>148</v>
      </c>
      <c r="D308" s="18" t="s">
        <v>149</v>
      </c>
      <c r="E308" s="18" t="s">
        <v>16</v>
      </c>
      <c r="F308" s="18" t="s">
        <v>17</v>
      </c>
      <c r="G308" s="18"/>
      <c r="H308" s="19" t="s">
        <v>1216</v>
      </c>
      <c r="I308" s="23" t="s">
        <v>1217</v>
      </c>
      <c r="J308" s="24">
        <v>46023</v>
      </c>
      <c r="K308" s="24">
        <v>46387</v>
      </c>
      <c r="L308" s="24" t="s">
        <v>1218</v>
      </c>
      <c r="M308" s="24" t="s">
        <v>1219</v>
      </c>
      <c r="N308" s="24">
        <v>46023</v>
      </c>
      <c r="O308" s="24" t="str">
        <f>VLOOKUP(D308,records!$A:$U,10,FALSE)</f>
        <v>0012p00004OLpf9AAD</v>
      </c>
      <c r="P308" s="24" t="str">
        <f>VLOOKUP(D308,records!$A:$V,20,FALSE)</f>
        <v>FR94821916400</v>
      </c>
      <c r="Q308" s="24" t="str">
        <f>VLOOKUP(D308,records!$A:$V,12,FALSE)</f>
        <v>82 191 640 000 020</v>
      </c>
      <c r="R308" s="24" t="s">
        <v>1220</v>
      </c>
      <c r="S308" s="24" t="str">
        <f>VLOOKUP(D308,records!$A:$U,19,FALSE)</f>
        <v>robyn.stormont@dupont.com</v>
      </c>
      <c r="T308" s="26" t="s">
        <v>1221</v>
      </c>
      <c r="U308" s="26" t="s">
        <v>1222</v>
      </c>
      <c r="V308" s="26" t="str">
        <f>VLOOKUP($D308,records!$A:$V,3,FALSE)</f>
        <v>DSP sas</v>
      </c>
      <c r="W308" s="26"/>
      <c r="X308" s="26" t="str">
        <f>VLOOKUP($D308,records!$A:$V,9,FALSE)</f>
        <v>Rue des Grands Navoirs</v>
      </c>
      <c r="Y308" s="26" t="str">
        <f>VLOOKUP($D308,records!$A:$V,4,FALSE)</f>
        <v>CHAUNY</v>
      </c>
      <c r="Z308" s="26" t="str">
        <f>VLOOKUP($D308,records!$A:$V,7,FALSE)</f>
        <v>2300</v>
      </c>
      <c r="AA308" s="26" t="s">
        <v>1223</v>
      </c>
      <c r="AB308" s="26">
        <f>VLOOKUP(O308,'records (2)'!$A:$Z,8,FALSE)</f>
        <v>30</v>
      </c>
      <c r="AC308" s="26" t="b">
        <v>0</v>
      </c>
      <c r="AD308" s="26"/>
      <c r="AE308" s="26"/>
      <c r="AF308" s="26" t="str">
        <f>VLOOKUP($D308,records!$A:$V,13,FALSE)</f>
        <v>DSP sas</v>
      </c>
      <c r="AG308" s="26" t="s">
        <v>1226</v>
      </c>
      <c r="AH308" s="26" t="str">
        <f>VLOOKUP($D308,records!$A:$V,19,FALSE)</f>
        <v>robyn.stormont@dupont.com</v>
      </c>
      <c r="AI308" s="26" t="str">
        <f>VLOOKUP($D308,records!$A:$V,14,FALSE)</f>
        <v>.</v>
      </c>
      <c r="AJ308" s="26" t="str">
        <f>VLOOKUP($O308,'records (2)'!$A:$Z,14,FALSE)</f>
        <v>003IV000010tQIRYA2</v>
      </c>
      <c r="AK308" s="26" t="str">
        <f>VLOOKUP($O308,'records (2)'!$A:$Z,15,FALSE)</f>
        <v>Cléa GANTOIS</v>
      </c>
      <c r="AL308" s="26" t="str">
        <f>VLOOKUP($O308,'records (2)'!$A:$Z,10,FALSE)</f>
        <v>003IV000010tQIRYA2</v>
      </c>
      <c r="AM308" s="26" t="str">
        <f>VLOOKUP($O308,'records (2)'!$A:$Z,11,FALSE)</f>
        <v>Cléa GANTOIS</v>
      </c>
      <c r="AN308" s="18">
        <v>1</v>
      </c>
      <c r="AO308" s="4">
        <v>1000</v>
      </c>
      <c r="AP308" s="4">
        <v>1000</v>
      </c>
      <c r="AQ308" s="20">
        <v>0</v>
      </c>
      <c r="AR308" s="6">
        <v>0</v>
      </c>
    </row>
    <row r="309" spans="1:44">
      <c r="A309" s="18" t="s">
        <v>896</v>
      </c>
      <c r="B309" s="18" t="s">
        <v>897</v>
      </c>
      <c r="C309" s="18" t="s">
        <v>897</v>
      </c>
      <c r="D309" s="18" t="s">
        <v>898</v>
      </c>
      <c r="E309" s="18" t="s">
        <v>52</v>
      </c>
      <c r="F309" s="18" t="s">
        <v>53</v>
      </c>
      <c r="G309" s="18"/>
      <c r="H309" s="19" t="s">
        <v>1216</v>
      </c>
      <c r="I309" s="23" t="s">
        <v>1217</v>
      </c>
      <c r="J309" s="24">
        <v>46023</v>
      </c>
      <c r="K309" s="24">
        <v>46387</v>
      </c>
      <c r="L309" s="24" t="s">
        <v>1218</v>
      </c>
      <c r="M309" s="24" t="s">
        <v>1219</v>
      </c>
      <c r="N309" s="24">
        <v>46023</v>
      </c>
      <c r="O309" s="24" t="str">
        <f>VLOOKUP(D309,records!$A:$U,10,FALSE)</f>
        <v>0012p00004Q8rm7AAB</v>
      </c>
      <c r="P309" s="24" t="str">
        <f>VLOOKUP(D309,records!$A:$V,20,FALSE)</f>
        <v>FR03306015306</v>
      </c>
      <c r="Q309" s="24" t="str">
        <f>VLOOKUP(D309,records!$A:$V,12,FALSE)</f>
        <v>30 601 530 600 013</v>
      </c>
      <c r="R309" s="24" t="s">
        <v>1224</v>
      </c>
      <c r="S309" s="24"/>
      <c r="T309" s="26" t="s">
        <v>1221</v>
      </c>
      <c r="U309" s="26" t="s">
        <v>1222</v>
      </c>
      <c r="V309" s="26" t="str">
        <f>VLOOKUP($D309,records!$A:$V,3,FALSE)</f>
        <v>SOCAMAINE sa</v>
      </c>
      <c r="W309" s="26"/>
      <c r="X309" s="26" t="str">
        <f>VLOOKUP($D309,records!$A:$V,9,FALSE)</f>
        <v>Route de Paris</v>
      </c>
      <c r="Y309" s="26" t="str">
        <f>VLOOKUP($D309,records!$A:$V,4,FALSE)</f>
        <v>CHAMPAGNE</v>
      </c>
      <c r="Z309" s="26" t="str">
        <f>VLOOKUP($D309,records!$A:$V,7,FALSE)</f>
        <v>72470</v>
      </c>
      <c r="AA309" s="26" t="s">
        <v>1223</v>
      </c>
      <c r="AB309" s="26">
        <f>VLOOKUP(O309,'records (2)'!$A:$Z,8,FALSE)</f>
        <v>30</v>
      </c>
      <c r="AC309" s="26" t="b">
        <v>0</v>
      </c>
      <c r="AD309" s="26"/>
      <c r="AE309" s="26"/>
      <c r="AF309" s="26" t="str">
        <f>VLOOKUP($D309,records!$A:$V,13,FALSE)</f>
        <v>SOCAMAINE sa</v>
      </c>
      <c r="AG309" s="26"/>
      <c r="AH309" s="26" t="str">
        <f>VLOOKUP($D309,records!$A:$V,19,FALSE)</f>
        <v>Route de Paris</v>
      </c>
      <c r="AI309" s="26" t="str">
        <f>VLOOKUP($D309,records!$A:$V,14,FALSE)</f>
        <v>CHAMPAGNE</v>
      </c>
      <c r="AJ309" s="26" t="str">
        <f>VLOOKUP($O309,'records (2)'!$A:$Z,14,FALSE)</f>
        <v>003IV000010t2k9YAA</v>
      </c>
      <c r="AK309" s="26" t="str">
        <f>VLOOKUP($O309,'records (2)'!$A:$Z,15,FALSE)</f>
        <v>Pauline HENNEQUIN</v>
      </c>
      <c r="AL309" s="26" t="str">
        <f>VLOOKUP($O309,'records (2)'!$A:$Z,10,FALSE)</f>
        <v>003IV000010t2kCYAQ</v>
      </c>
      <c r="AM309" s="26" t="str">
        <f>VLOOKUP($O309,'records (2)'!$A:$Z,11,FALSE)</f>
        <v>Romain LETESSIER</v>
      </c>
      <c r="AN309" s="18">
        <v>1</v>
      </c>
      <c r="AO309" s="4">
        <v>4000</v>
      </c>
      <c r="AP309" s="4">
        <v>4000</v>
      </c>
      <c r="AQ309" s="20">
        <v>0</v>
      </c>
      <c r="AR309" s="6">
        <v>0</v>
      </c>
    </row>
    <row r="310" spans="1:44">
      <c r="A310" s="18" t="s">
        <v>981</v>
      </c>
      <c r="B310" s="18" t="s">
        <v>982</v>
      </c>
      <c r="C310" s="18" t="s">
        <v>982</v>
      </c>
      <c r="D310" s="18" t="s">
        <v>983</v>
      </c>
      <c r="E310" s="18" t="s">
        <v>16</v>
      </c>
      <c r="F310" s="18" t="s">
        <v>17</v>
      </c>
      <c r="G310" s="18"/>
      <c r="H310" s="19" t="s">
        <v>1216</v>
      </c>
      <c r="I310" s="23" t="s">
        <v>1217</v>
      </c>
      <c r="J310" s="24">
        <v>46023</v>
      </c>
      <c r="K310" s="24">
        <v>46387</v>
      </c>
      <c r="L310" s="24" t="s">
        <v>1218</v>
      </c>
      <c r="M310" s="24" t="s">
        <v>1219</v>
      </c>
      <c r="N310" s="24">
        <v>46023</v>
      </c>
      <c r="O310" s="24" t="str">
        <f>VLOOKUP(D310,records!$A:$U,10,FALSE)</f>
        <v>0012p00004SMcS5AAL</v>
      </c>
      <c r="P310" s="24" t="str">
        <f>VLOOKUP(D310,records!$A:$V,20,FALSE)</f>
        <v>FR70820324622</v>
      </c>
      <c r="Q310" s="24" t="str">
        <f>VLOOKUP(D310,records!$A:$V,12,FALSE)</f>
        <v>82 032 462 200 027</v>
      </c>
      <c r="R310" s="24" t="s">
        <v>1220</v>
      </c>
      <c r="S310" s="24" t="str">
        <f>VLOOKUP(D310,records!$A:$U,19,FALSE)</f>
        <v>roxane.holat@cenexi.com</v>
      </c>
      <c r="T310" s="26" t="s">
        <v>1221</v>
      </c>
      <c r="U310" s="26" t="s">
        <v>1222</v>
      </c>
      <c r="V310" s="26" t="str">
        <f>VLOOKUP($D310,records!$A:$V,3,FALSE)</f>
        <v>CENEXI HSC sasu</v>
      </c>
      <c r="W310" s="26" t="str">
        <f>IFERROR(VLOOKUP($D310,records!$A:$V,6,FALSE),)</f>
        <v>Comptabilité fournisseurs</v>
      </c>
      <c r="X310" s="26" t="str">
        <f>VLOOKUP($D310,records!$A:$V,9,FALSE)</f>
        <v>2 rue Louis Pasteur</v>
      </c>
      <c r="Y310" s="26" t="str">
        <f>VLOOKUP($D310,records!$A:$V,4,FALSE)</f>
        <v>HEROUVILLE SAINT CLAIR</v>
      </c>
      <c r="Z310" s="26" t="str">
        <f>VLOOKUP($D310,records!$A:$V,7,FALSE)</f>
        <v>14200</v>
      </c>
      <c r="AA310" s="26" t="s">
        <v>1223</v>
      </c>
      <c r="AB310" s="26">
        <f>VLOOKUP(O310,'records (2)'!$A:$Z,8,FALSE)</f>
        <v>30</v>
      </c>
      <c r="AC310" s="26" t="b">
        <v>0</v>
      </c>
      <c r="AD310" s="26"/>
      <c r="AE310" s="26"/>
      <c r="AF310" s="26" t="str">
        <f>VLOOKUP($D310,records!$A:$V,13,FALSE)</f>
        <v>CENEXI HSC sasu</v>
      </c>
      <c r="AG310" s="26" t="s">
        <v>1226</v>
      </c>
      <c r="AH310" s="26" t="str">
        <f>VLOOKUP($D310,records!$A:$V,19,FALSE)</f>
        <v>roxane.holat@cenexi.com</v>
      </c>
      <c r="AI310" s="26" t="str">
        <f>VLOOKUP($D310,records!$A:$V,14,FALSE)</f>
        <v>.</v>
      </c>
      <c r="AJ310" s="26" t="str">
        <f>VLOOKUP($O310,'records (2)'!$A:$Z,14,FALSE)</f>
        <v>003IV000010tRTeYAM</v>
      </c>
      <c r="AK310" s="26" t="str">
        <f>VLOOKUP($O310,'records (2)'!$A:$Z,15,FALSE)</f>
        <v>Roxane HOLAT</v>
      </c>
      <c r="AL310" s="26" t="str">
        <f>VLOOKUP($O310,'records (2)'!$A:$Z,10,FALSE)</f>
        <v>003IV000010tIiDYAU</v>
      </c>
      <c r="AM310" s="26" t="str">
        <f>VLOOKUP($O310,'records (2)'!$A:$Z,11,FALSE)</f>
        <v>Nicolas HEUDIER</v>
      </c>
      <c r="AN310" s="18">
        <v>1</v>
      </c>
      <c r="AO310" s="4">
        <v>1000</v>
      </c>
      <c r="AP310" s="4">
        <v>1000</v>
      </c>
      <c r="AQ310" s="20">
        <v>0</v>
      </c>
      <c r="AR310" s="6">
        <v>0</v>
      </c>
    </row>
    <row r="311" spans="1:44">
      <c r="A311" s="18" t="s">
        <v>659</v>
      </c>
      <c r="B311" s="18" t="s">
        <v>660</v>
      </c>
      <c r="C311" s="18" t="s">
        <v>661</v>
      </c>
      <c r="D311" s="18" t="s">
        <v>662</v>
      </c>
      <c r="E311" s="18" t="s">
        <v>52</v>
      </c>
      <c r="F311" s="18" t="s">
        <v>53</v>
      </c>
      <c r="G311" s="18"/>
      <c r="H311" s="19" t="s">
        <v>1216</v>
      </c>
      <c r="I311" s="23" t="s">
        <v>1217</v>
      </c>
      <c r="J311" s="24">
        <v>46023</v>
      </c>
      <c r="K311" s="24">
        <v>46387</v>
      </c>
      <c r="L311" s="24" t="s">
        <v>1218</v>
      </c>
      <c r="M311" s="24" t="s">
        <v>1219</v>
      </c>
      <c r="N311" s="24">
        <v>46023</v>
      </c>
      <c r="O311" s="24" t="str">
        <f>VLOOKUP(D311,records!$A:$U,10,FALSE)</f>
        <v>001SZ000003IRCwYAO</v>
      </c>
      <c r="P311" s="24" t="str">
        <f>VLOOKUP(D311,records!$A:$V,20,FALSE)</f>
        <v>FR86808242663</v>
      </c>
      <c r="Q311" s="24" t="str">
        <f>VLOOKUP(D311,records!$A:$V,12,FALSE)</f>
        <v>80 824 266 300 017</v>
      </c>
      <c r="R311" s="24" t="s">
        <v>1220</v>
      </c>
      <c r="S311" s="24" t="str">
        <f>VLOOKUP(D311,records!$A:$U,19,FALSE)</f>
        <v>sabrina.vetel@eureden.com</v>
      </c>
      <c r="T311" s="26" t="s">
        <v>1221</v>
      </c>
      <c r="U311" s="26" t="s">
        <v>1222</v>
      </c>
      <c r="V311" s="26" t="str">
        <f>VLOOKUP($D311,records!$A:$V,3,FALSE)</f>
        <v>D'AUCY LOCMINE sasu</v>
      </c>
      <c r="W311" s="26"/>
      <c r="X311" s="26" t="str">
        <f>VLOOKUP($D311,records!$A:$V,9,FALSE)</f>
        <v>Le Belvaux</v>
      </c>
      <c r="Y311" s="26" t="str">
        <f>VLOOKUP($D311,records!$A:$V,4,FALSE)</f>
        <v>LOCMINE</v>
      </c>
      <c r="Z311" s="26" t="str">
        <f>VLOOKUP($D311,records!$A:$V,7,FALSE)</f>
        <v>56500</v>
      </c>
      <c r="AA311" s="26" t="s">
        <v>1223</v>
      </c>
      <c r="AB311" s="26">
        <f>VLOOKUP(O311,'records (2)'!$A:$Z,8,FALSE)</f>
        <v>30</v>
      </c>
      <c r="AC311" s="26" t="b">
        <v>0</v>
      </c>
      <c r="AD311" s="26"/>
      <c r="AE311" s="26"/>
      <c r="AF311" s="26" t="str">
        <f>VLOOKUP($D311,records!$A:$V,13,FALSE)</f>
        <v>D'AUCY LOCMINE sasu</v>
      </c>
      <c r="AG311" s="26" t="s">
        <v>1226</v>
      </c>
      <c r="AH311" s="26" t="str">
        <f>VLOOKUP($D311,records!$A:$V,19,FALSE)</f>
        <v>sabrina.vetel@eureden.com</v>
      </c>
      <c r="AI311" s="26" t="str">
        <f>VLOOKUP($D311,records!$A:$V,14,FALSE)</f>
        <v>.</v>
      </c>
      <c r="AJ311" s="26" t="str">
        <f>VLOOKUP($O311,'records (2)'!$A:$Z,14,FALSE)</f>
        <v>003IV000010tRTiYAM</v>
      </c>
      <c r="AK311" s="26" t="str">
        <f>VLOOKUP($O311,'records (2)'!$A:$Z,15,FALSE)</f>
        <v>Sabrina VETEL</v>
      </c>
      <c r="AL311" s="26" t="str">
        <f>VLOOKUP($O311,'records (2)'!$A:$Z,10,FALSE)</f>
        <v>003IV000010tRTiYAM</v>
      </c>
      <c r="AM311" s="26" t="str">
        <f>VLOOKUP($O311,'records (2)'!$A:$Z,11,FALSE)</f>
        <v>Sabrina VETEL</v>
      </c>
      <c r="AN311" s="18">
        <v>1</v>
      </c>
      <c r="AO311" s="4">
        <v>500</v>
      </c>
      <c r="AP311" s="4">
        <v>500</v>
      </c>
      <c r="AQ311" s="20"/>
      <c r="AR311" s="6"/>
    </row>
    <row r="312" spans="1:44">
      <c r="A312" s="18" t="s">
        <v>553</v>
      </c>
      <c r="B312" s="18" t="s">
        <v>554</v>
      </c>
      <c r="C312" s="18" t="s">
        <v>555</v>
      </c>
      <c r="D312" s="18" t="s">
        <v>556</v>
      </c>
      <c r="E312" s="18" t="s">
        <v>52</v>
      </c>
      <c r="F312" s="18" t="s">
        <v>53</v>
      </c>
      <c r="G312" s="18"/>
      <c r="H312" s="19" t="s">
        <v>1216</v>
      </c>
      <c r="I312" s="23" t="s">
        <v>1217</v>
      </c>
      <c r="J312" s="24">
        <v>46023</v>
      </c>
      <c r="K312" s="24">
        <v>46387</v>
      </c>
      <c r="L312" s="24" t="s">
        <v>1218</v>
      </c>
      <c r="M312" s="24" t="s">
        <v>1219</v>
      </c>
      <c r="N312" s="24">
        <v>46023</v>
      </c>
      <c r="O312" s="24" t="str">
        <f>VLOOKUP(D312,records!$A:$U,10,FALSE)</f>
        <v>001SZ000001dYcMYAU</v>
      </c>
      <c r="P312" s="24" t="str">
        <f>VLOOKUP(D312,records!$A:$V,20,FALSE)</f>
        <v>FR33527825152</v>
      </c>
      <c r="Q312" s="24" t="str">
        <f>VLOOKUP(D312,records!$A:$V,12,FALSE)</f>
        <v>52 782 515 200 038</v>
      </c>
      <c r="R312" s="24" t="s">
        <v>1220</v>
      </c>
      <c r="S312" s="24" t="str">
        <f>VLOOKUP(D312,records!$A:$U,19,FALSE)</f>
        <v>sandra.rodrigues@eoliance.com</v>
      </c>
      <c r="T312" s="26" t="s">
        <v>1221</v>
      </c>
      <c r="U312" s="26" t="s">
        <v>1222</v>
      </c>
      <c r="V312" s="26" t="str">
        <f>VLOOKUP($D312,records!$A:$V,3,FALSE)</f>
        <v>EOLIANCE sas</v>
      </c>
      <c r="W312" s="26" t="str">
        <f>IFERROR(VLOOKUP($D312,records!$A:$V,6,FALSE),)</f>
        <v>Comptabilité</v>
      </c>
      <c r="X312" s="26" t="str">
        <f>VLOOKUP($D312,records!$A:$V,9,FALSE)</f>
        <v>949 Avenue Saint-Just</v>
      </c>
      <c r="Y312" s="26" t="str">
        <f>VLOOKUP($D312,records!$A:$V,4,FALSE)</f>
        <v>VAUX LE PENIL</v>
      </c>
      <c r="Z312" s="26" t="str">
        <f>VLOOKUP($D312,records!$A:$V,7,FALSE)</f>
        <v>77000</v>
      </c>
      <c r="AA312" s="26" t="s">
        <v>1223</v>
      </c>
      <c r="AB312" s="26">
        <f>VLOOKUP(O312,'records (2)'!$A:$Z,8,FALSE)</f>
        <v>30</v>
      </c>
      <c r="AC312" s="26" t="b">
        <v>0</v>
      </c>
      <c r="AD312" s="26"/>
      <c r="AE312" s="26"/>
      <c r="AF312" s="26" t="str">
        <f>VLOOKUP($D312,records!$A:$V,13,FALSE)</f>
        <v>EOLIANCE sas</v>
      </c>
      <c r="AG312" s="26" t="s">
        <v>1226</v>
      </c>
      <c r="AH312" s="26" t="str">
        <f>VLOOKUP($D312,records!$A:$V,19,FALSE)</f>
        <v>sandra.rodrigues@eoliance.com</v>
      </c>
      <c r="AI312" s="26" t="str">
        <f>VLOOKUP($D312,records!$A:$V,14,FALSE)</f>
        <v>.</v>
      </c>
      <c r="AJ312" s="26" t="str">
        <f>VLOOKUP($O312,'records (2)'!$A:$Z,14,FALSE)</f>
        <v>003IV000010su8tYAA</v>
      </c>
      <c r="AK312" s="26" t="str">
        <f>VLOOKUP($O312,'records (2)'!$A:$Z,15,FALSE)</f>
        <v>Sandra RODRIGUES</v>
      </c>
      <c r="AL312" s="26" t="str">
        <f>VLOOKUP($O312,'records (2)'!$A:$Z,10,FALSE)</f>
        <v>003IV000010su8tYAA</v>
      </c>
      <c r="AM312" s="26" t="str">
        <f>VLOOKUP($O312,'records (2)'!$A:$Z,11,FALSE)</f>
        <v>Sandra RODRIGUES</v>
      </c>
      <c r="AN312" s="18">
        <v>1</v>
      </c>
      <c r="AO312" s="4">
        <v>3000</v>
      </c>
      <c r="AP312" s="4">
        <v>3000</v>
      </c>
      <c r="AQ312" s="20">
        <v>0</v>
      </c>
      <c r="AR312" s="6">
        <v>0</v>
      </c>
    </row>
    <row r="313" spans="1:44">
      <c r="A313" s="18" t="s">
        <v>85</v>
      </c>
      <c r="B313" s="18" t="s">
        <v>86</v>
      </c>
      <c r="C313" s="18" t="s">
        <v>87</v>
      </c>
      <c r="D313" s="18" t="s">
        <v>88</v>
      </c>
      <c r="E313" s="18" t="s">
        <v>16</v>
      </c>
      <c r="F313" s="18" t="s">
        <v>17</v>
      </c>
      <c r="G313" s="18"/>
      <c r="H313" s="19" t="s">
        <v>1216</v>
      </c>
      <c r="I313" s="23" t="s">
        <v>1217</v>
      </c>
      <c r="J313" s="24">
        <v>46023</v>
      </c>
      <c r="K313" s="24">
        <v>46387</v>
      </c>
      <c r="L313" s="24" t="s">
        <v>1218</v>
      </c>
      <c r="M313" s="24" t="s">
        <v>1219</v>
      </c>
      <c r="N313" s="24">
        <v>46023</v>
      </c>
      <c r="O313" s="24" t="str">
        <f>VLOOKUP(D313,records!$A:$U,10,FALSE)</f>
        <v>0012p00004UIpeCAAT</v>
      </c>
      <c r="P313" s="24" t="str">
        <f>VLOOKUP(D313,records!$A:$V,20,FALSE)</f>
        <v>FR08586050072</v>
      </c>
      <c r="Q313" s="24" t="str">
        <f>VLOOKUP(D313,records!$A:$V,12,FALSE)</f>
        <v>58 605 007 200 014</v>
      </c>
      <c r="R313" s="24" t="s">
        <v>1220</v>
      </c>
      <c r="S313" s="24" t="str">
        <f>VLOOKUP(D313,records!$A:$U,19,FALSE)</f>
        <v>scan.invoices@barbiergroup.com</v>
      </c>
      <c r="T313" s="26" t="s">
        <v>1221</v>
      </c>
      <c r="U313" s="26" t="s">
        <v>1222</v>
      </c>
      <c r="V313" s="26" t="str">
        <f>VLOOKUP($D313,records!$A:$V,3,FALSE)</f>
        <v>SOCIETE D'EXTRUSION DU POLYETHYLENE A. BARBIER ET CIE sas</v>
      </c>
      <c r="W313" s="26"/>
      <c r="X313" s="26" t="str">
        <f>VLOOKUP($D313,records!$A:$V,9,FALSE)</f>
        <v>La GUIDE</v>
      </c>
      <c r="Y313" s="26" t="str">
        <f>VLOOKUP($D313,records!$A:$V,4,FALSE)</f>
        <v>SAINTE SIGOLENE</v>
      </c>
      <c r="Z313" s="26" t="str">
        <f>VLOOKUP($D313,records!$A:$V,7,FALSE)</f>
        <v>43600</v>
      </c>
      <c r="AA313" s="26" t="s">
        <v>1223</v>
      </c>
      <c r="AB313" s="26">
        <f>VLOOKUP(O313,'records (2)'!$A:$Z,8,FALSE)</f>
        <v>30</v>
      </c>
      <c r="AC313" s="26" t="b">
        <v>0</v>
      </c>
      <c r="AD313" s="26"/>
      <c r="AE313" s="26"/>
      <c r="AF313" s="26" t="str">
        <f>VLOOKUP($D313,records!$A:$V,13,FALSE)</f>
        <v>SOCIETE D'EXTRUSION DU POLYETHYLENE A. BARBIER ET CIE sas</v>
      </c>
      <c r="AG313" s="26" t="s">
        <v>1226</v>
      </c>
      <c r="AH313" s="26" t="str">
        <f>VLOOKUP($D313,records!$A:$V,19,FALSE)</f>
        <v>scan.invoices@barbiergroup.com</v>
      </c>
      <c r="AI313" s="26" t="str">
        <f>VLOOKUP($D313,records!$A:$V,14,FALSE)</f>
        <v>.</v>
      </c>
      <c r="AJ313" s="26" t="str">
        <f>VLOOKUP($O313,'records (2)'!$A:$Z,14,FALSE)</f>
        <v>003IV000010tPaIYAU</v>
      </c>
      <c r="AK313" s="26" t="str">
        <f>VLOOKUP($O313,'records (2)'!$A:$Z,15,FALSE)</f>
        <v>Sophie GONTAUD</v>
      </c>
      <c r="AL313" s="26" t="str">
        <f>VLOOKUP($O313,'records (2)'!$A:$Z,10,FALSE)</f>
        <v>003IV000010tPaIYAU</v>
      </c>
      <c r="AM313" s="26" t="str">
        <f>VLOOKUP($O313,'records (2)'!$A:$Z,11,FALSE)</f>
        <v>Sophie GONTAUD</v>
      </c>
      <c r="AN313" s="18">
        <v>1</v>
      </c>
      <c r="AO313" s="4">
        <v>8000</v>
      </c>
      <c r="AP313" s="4">
        <v>8000</v>
      </c>
      <c r="AQ313" s="20">
        <v>0</v>
      </c>
      <c r="AR313" s="6">
        <v>0</v>
      </c>
    </row>
    <row r="314" spans="1:44">
      <c r="A314" s="18" t="s">
        <v>464</v>
      </c>
      <c r="B314" s="18" t="s">
        <v>465</v>
      </c>
      <c r="C314" s="18" t="s">
        <v>466</v>
      </c>
      <c r="D314" s="18" t="s">
        <v>467</v>
      </c>
      <c r="E314" s="18" t="s">
        <v>52</v>
      </c>
      <c r="F314" s="18" t="s">
        <v>53</v>
      </c>
      <c r="G314" s="18"/>
      <c r="H314" s="19" t="s">
        <v>1216</v>
      </c>
      <c r="I314" s="23" t="s">
        <v>1217</v>
      </c>
      <c r="J314" s="24">
        <v>46023</v>
      </c>
      <c r="K314" s="24">
        <v>46387</v>
      </c>
      <c r="L314" s="24" t="s">
        <v>1218</v>
      </c>
      <c r="M314" s="24" t="s">
        <v>1219</v>
      </c>
      <c r="N314" s="24">
        <v>46023</v>
      </c>
      <c r="O314" s="24" t="str">
        <f>VLOOKUP(D314,records!$A:$U,10,FALSE)</f>
        <v>0012p00004OLfDoAAL</v>
      </c>
      <c r="P314" s="24" t="str">
        <f>VLOOKUP(D314,records!$A:$V,20,FALSE)</f>
        <v>FR63775680499</v>
      </c>
      <c r="Q314" s="24" t="str">
        <f>VLOOKUP(D314,records!$A:$V,12,FALSE)</f>
        <v>77 568 049 900 149</v>
      </c>
      <c r="R314" s="24" t="s">
        <v>1220</v>
      </c>
      <c r="S314" s="24" t="str">
        <f>VLOOKUP(D314,records!$A:$U,19,FALSE)</f>
        <v>scomptabilite@baumer.com</v>
      </c>
      <c r="T314" s="26" t="s">
        <v>1221</v>
      </c>
      <c r="U314" s="26" t="s">
        <v>1222</v>
      </c>
      <c r="V314" s="26" t="str">
        <f>VLOOKUP($D314,records!$A:$V,3,FALSE)</f>
        <v>BAUMER BOURDON HAENNI SAS</v>
      </c>
      <c r="W314" s="26"/>
      <c r="X314" s="26" t="str">
        <f>VLOOKUP($D314,records!$A:$V,9,FALSE)</f>
        <v>125 Rue de la Marre</v>
      </c>
      <c r="Y314" s="26" t="str">
        <f>VLOOKUP($D314,records!$A:$V,4,FALSE)</f>
        <v>VENDOME</v>
      </c>
      <c r="Z314" s="26" t="str">
        <f>VLOOKUP($D314,records!$A:$V,7,FALSE)</f>
        <v>41100</v>
      </c>
      <c r="AA314" s="26" t="s">
        <v>1223</v>
      </c>
      <c r="AB314" s="26">
        <f>VLOOKUP(O314,'records (2)'!$A:$Z,8,FALSE)</f>
        <v>30</v>
      </c>
      <c r="AC314" s="26" t="b">
        <v>0</v>
      </c>
      <c r="AD314" s="26"/>
      <c r="AE314" s="26"/>
      <c r="AF314" s="26" t="str">
        <f>VLOOKUP($D314,records!$A:$V,13,FALSE)</f>
        <v>BAUMER BOURDON HAENNI SAS</v>
      </c>
      <c r="AG314" s="26" t="s">
        <v>1226</v>
      </c>
      <c r="AH314" s="26" t="str">
        <f>VLOOKUP($D314,records!$A:$V,19,FALSE)</f>
        <v>scomptabilite@baumer.com</v>
      </c>
      <c r="AI314" s="26" t="str">
        <f>VLOOKUP($D314,records!$A:$V,14,FALSE)</f>
        <v>.</v>
      </c>
      <c r="AJ314" s="26" t="str">
        <f>VLOOKUP($O314,'records (2)'!$A:$Z,14,FALSE)</f>
        <v>003IV000010su8EYAQ</v>
      </c>
      <c r="AK314" s="26" t="str">
        <f>VLOOKUP($O314,'records (2)'!$A:$Z,15,FALSE)</f>
        <v>Vivien DUBOIS - (scomptabilite)</v>
      </c>
      <c r="AL314" s="26" t="str">
        <f>VLOOKUP($O314,'records (2)'!$A:$Z,10,FALSE)</f>
        <v>003IV000010su8EYAQ</v>
      </c>
      <c r="AM314" s="26" t="str">
        <f>VLOOKUP($O314,'records (2)'!$A:$Z,11,FALSE)</f>
        <v>Vivien DUBOIS - (scomptabilite)</v>
      </c>
      <c r="AN314" s="18">
        <v>1</v>
      </c>
      <c r="AO314" s="4">
        <v>500</v>
      </c>
      <c r="AP314" s="4">
        <v>500</v>
      </c>
      <c r="AQ314" s="20">
        <v>0</v>
      </c>
      <c r="AR314" s="6">
        <v>0</v>
      </c>
    </row>
    <row r="315" spans="1:44">
      <c r="A315" s="18" t="s">
        <v>258</v>
      </c>
      <c r="B315" s="18" t="s">
        <v>259</v>
      </c>
      <c r="C315" s="18" t="s">
        <v>259</v>
      </c>
      <c r="D315" s="18" t="s">
        <v>260</v>
      </c>
      <c r="E315" s="18" t="s">
        <v>16</v>
      </c>
      <c r="F315" s="18" t="s">
        <v>17</v>
      </c>
      <c r="G315" s="18"/>
      <c r="H315" s="19" t="s">
        <v>1216</v>
      </c>
      <c r="I315" s="23" t="s">
        <v>1217</v>
      </c>
      <c r="J315" s="24">
        <v>46023</v>
      </c>
      <c r="K315" s="24">
        <v>46387</v>
      </c>
      <c r="L315" s="24" t="s">
        <v>1218</v>
      </c>
      <c r="M315" s="24" t="s">
        <v>1219</v>
      </c>
      <c r="N315" s="24">
        <v>46023</v>
      </c>
      <c r="O315" s="24" t="str">
        <f>VLOOKUP(D315,records!$A:$U,10,FALSE)</f>
        <v>0012p00004TyBmyAAF</v>
      </c>
      <c r="P315" s="24" t="str">
        <f>VLOOKUP(D315,records!$A:$V,20,FALSE)</f>
        <v>FR07411787567</v>
      </c>
      <c r="Q315" s="24" t="str">
        <f>VLOOKUP(D315,records!$A:$V,12,FALSE)</f>
        <v>41 178 756 701 442</v>
      </c>
      <c r="R315" s="24" t="s">
        <v>1220</v>
      </c>
      <c r="S315" s="24" t="str">
        <f>VLOOKUP(D315,records!$A:$U,19,FALSE)</f>
        <v>serv.fournisseurslhh@lhh.com</v>
      </c>
      <c r="T315" s="26" t="s">
        <v>1221</v>
      </c>
      <c r="U315" s="26" t="s">
        <v>1222</v>
      </c>
      <c r="V315" s="26" t="str">
        <f>VLOOKUP($D315,records!$A:$V,3,FALSE)</f>
        <v>LHH sasu</v>
      </c>
      <c r="W315" s="26" t="str">
        <f>IFERROR(VLOOKUP($D315,records!$A:$V,6,FALSE),)</f>
        <v>Comptabilité Fournisseurs</v>
      </c>
      <c r="X315" s="26" t="str">
        <f>VLOOKUP($D315,records!$A:$V,9,FALSE)</f>
        <v>Coeur Défense Tour A 110 
 Espl. du Général de Gaulle CS 70226</v>
      </c>
      <c r="Y315" s="26" t="str">
        <f>VLOOKUP($D315,records!$A:$V,4,FALSE)</f>
        <v>COURBEVOIE</v>
      </c>
      <c r="Z315" s="26" t="str">
        <f>VLOOKUP($D315,records!$A:$V,7,FALSE)</f>
        <v>92400</v>
      </c>
      <c r="AA315" s="26" t="s">
        <v>1223</v>
      </c>
      <c r="AB315" s="26">
        <f>VLOOKUP(O315,'records (2)'!$A:$Z,8,FALSE)</f>
        <v>30</v>
      </c>
      <c r="AC315" s="26" t="b">
        <v>0</v>
      </c>
      <c r="AD315" s="26"/>
      <c r="AE315" s="26"/>
      <c r="AF315" s="26" t="str">
        <f>VLOOKUP($D315,records!$A:$V,13,FALSE)</f>
        <v>LHH sasu</v>
      </c>
      <c r="AG315" s="26" t="s">
        <v>1226</v>
      </c>
      <c r="AH315" s="26" t="str">
        <f>VLOOKUP($D315,records!$A:$V,19,FALSE)</f>
        <v>serv.fournisseurslhh@lhh.com</v>
      </c>
      <c r="AI315" s="26" t="str">
        <f>VLOOKUP($D315,records!$A:$V,14,FALSE)</f>
        <v>.</v>
      </c>
      <c r="AJ315" s="26" t="str">
        <f>VLOOKUP($O315,'records (2)'!$A:$Z,14,FALSE)</f>
        <v>003IV000010tQIUYA2</v>
      </c>
      <c r="AK315" s="26" t="str">
        <f>VLOOKUP($O315,'records (2)'!$A:$Z,15,FALSE)</f>
        <v>David LAHAYE</v>
      </c>
      <c r="AL315" s="26" t="str">
        <f>VLOOKUP($O315,'records (2)'!$A:$Z,10,FALSE)</f>
        <v>003IV000010tQIUYA2</v>
      </c>
      <c r="AM315" s="26" t="str">
        <f>VLOOKUP($O315,'records (2)'!$A:$Z,11,FALSE)</f>
        <v>David LAHAYE</v>
      </c>
      <c r="AN315" s="18">
        <v>1</v>
      </c>
      <c r="AO315" s="4">
        <v>1000</v>
      </c>
      <c r="AP315" s="4">
        <v>1000</v>
      </c>
      <c r="AQ315" s="20">
        <v>0</v>
      </c>
      <c r="AR315" s="6">
        <v>0</v>
      </c>
    </row>
    <row r="316" spans="1:44">
      <c r="A316" s="18" t="s">
        <v>649</v>
      </c>
      <c r="B316" s="18" t="s">
        <v>650</v>
      </c>
      <c r="C316" s="18" t="s">
        <v>650</v>
      </c>
      <c r="D316" s="18" t="s">
        <v>651</v>
      </c>
      <c r="E316" s="18" t="s">
        <v>52</v>
      </c>
      <c r="F316" s="18" t="s">
        <v>53</v>
      </c>
      <c r="G316" s="18"/>
      <c r="H316" s="19" t="s">
        <v>1216</v>
      </c>
      <c r="I316" s="23" t="s">
        <v>1217</v>
      </c>
      <c r="J316" s="24">
        <v>46023</v>
      </c>
      <c r="K316" s="24">
        <v>46387</v>
      </c>
      <c r="L316" s="24" t="s">
        <v>1218</v>
      </c>
      <c r="M316" s="24" t="s">
        <v>1219</v>
      </c>
      <c r="N316" s="24">
        <v>46023</v>
      </c>
      <c r="O316" s="24" t="str">
        <f>VLOOKUP(D316,records!$A:$U,10,FALSE)</f>
        <v>0012p00004SwtTLAAZ</v>
      </c>
      <c r="P316" s="24" t="str">
        <f>VLOOKUP(D316,records!$A:$V,20,FALSE)</f>
        <v>FR43872500913</v>
      </c>
      <c r="Q316" s="24" t="str">
        <f>VLOOKUP(D316,records!$A:$V,12,FALSE)</f>
        <v>87 250 091 300 050</v>
      </c>
      <c r="R316" s="24" t="s">
        <v>1220</v>
      </c>
      <c r="S316" s="24" t="str">
        <f>VLOOKUP(D316,records!$A:$U,19,FALSE)</f>
        <v>service.comptabilite.moreac@greenyardfrozen.com</v>
      </c>
      <c r="T316" s="26" t="s">
        <v>1221</v>
      </c>
      <c r="U316" s="26" t="s">
        <v>1222</v>
      </c>
      <c r="V316" s="26" t="str">
        <f>VLOOKUP($D316,records!$A:$V,3,FALSE)</f>
        <v>GREENYARD FROZEN FRANCE SAS</v>
      </c>
      <c r="W316" s="26"/>
      <c r="X316" s="26" t="str">
        <f>VLOOKUP($D316,records!$A:$V,9,FALSE)</f>
        <v>Z.A. du Barderff</v>
      </c>
      <c r="Y316" s="26" t="str">
        <f>VLOOKUP($D316,records!$A:$V,4,FALSE)</f>
        <v>MOREAC</v>
      </c>
      <c r="Z316" s="26" t="str">
        <f>VLOOKUP($D316,records!$A:$V,7,FALSE)</f>
        <v>56500</v>
      </c>
      <c r="AA316" s="26" t="s">
        <v>1223</v>
      </c>
      <c r="AB316" s="26">
        <f>VLOOKUP(O316,'records (2)'!$A:$Z,8,FALSE)</f>
        <v>30</v>
      </c>
      <c r="AC316" s="26" t="b">
        <v>0</v>
      </c>
      <c r="AD316" s="26"/>
      <c r="AE316" s="26"/>
      <c r="AF316" s="26" t="str">
        <f>VLOOKUP($D316,records!$A:$V,13,FALSE)</f>
        <v>GREENYARD FROZEN FRANCE SAS</v>
      </c>
      <c r="AG316" s="26" t="s">
        <v>1226</v>
      </c>
      <c r="AH316" s="26" t="str">
        <f>VLOOKUP($D316,records!$A:$V,19,FALSE)</f>
        <v>service.comptabilite.moreac@greenyardfrozen.com</v>
      </c>
      <c r="AI316" s="26" t="str">
        <f>VLOOKUP($D316,records!$A:$V,14,FALSE)</f>
        <v>.</v>
      </c>
      <c r="AJ316" s="26" t="str">
        <f>VLOOKUP($O316,'records (2)'!$A:$Z,14,FALSE)</f>
        <v>003IV000010su8AYAQ</v>
      </c>
      <c r="AK316" s="26" t="str">
        <f>VLOOKUP($O316,'records (2)'!$A:$Z,15,FALSE)</f>
        <v>Colette GUILLERME</v>
      </c>
      <c r="AL316" s="26" t="str">
        <f>VLOOKUP($O316,'records (2)'!$A:$Z,10,FALSE)</f>
        <v>003IV000010su8AYAQ</v>
      </c>
      <c r="AM316" s="26" t="str">
        <f>VLOOKUP($O316,'records (2)'!$A:$Z,11,FALSE)</f>
        <v>Colette GUILLERME</v>
      </c>
      <c r="AN316" s="18">
        <v>1</v>
      </c>
      <c r="AO316" s="4">
        <v>2000</v>
      </c>
      <c r="AP316" s="4">
        <v>2000</v>
      </c>
      <c r="AQ316" s="20">
        <v>0</v>
      </c>
      <c r="AR316" s="6">
        <v>0</v>
      </c>
    </row>
    <row r="317" spans="1:44">
      <c r="A317" s="18" t="s">
        <v>484</v>
      </c>
      <c r="B317" s="18" t="s">
        <v>485</v>
      </c>
      <c r="C317" s="18" t="s">
        <v>486</v>
      </c>
      <c r="D317" s="18" t="s">
        <v>487</v>
      </c>
      <c r="E317" s="18" t="s">
        <v>52</v>
      </c>
      <c r="F317" s="18" t="s">
        <v>53</v>
      </c>
      <c r="G317" s="18"/>
      <c r="H317" s="19" t="s">
        <v>1216</v>
      </c>
      <c r="I317" s="23" t="s">
        <v>1217</v>
      </c>
      <c r="J317" s="24">
        <v>46023</v>
      </c>
      <c r="K317" s="24">
        <v>46387</v>
      </c>
      <c r="L317" s="24" t="s">
        <v>1218</v>
      </c>
      <c r="M317" s="24" t="s">
        <v>1219</v>
      </c>
      <c r="N317" s="24">
        <v>46023</v>
      </c>
      <c r="O317" s="24" t="str">
        <f>VLOOKUP(D317,records!$A:$U,10,FALSE)</f>
        <v>0012p00004MzqqZAAR</v>
      </c>
      <c r="P317" s="24" t="str">
        <f>VLOOKUP(D317,records!$A:$V,20,FALSE)</f>
        <v>FR94905420014</v>
      </c>
      <c r="Q317" s="24" t="str">
        <f>VLOOKUP(D317,records!$A:$V,12,FALSE)</f>
        <v>90 542 001 400 011</v>
      </c>
      <c r="R317" s="24" t="s">
        <v>1220</v>
      </c>
      <c r="S317" s="24" t="str">
        <f>VLOOKUP(D317,records!$A:$U,19,FALSE)</f>
        <v>service.comptabilite@camus.fr</v>
      </c>
      <c r="T317" s="26" t="s">
        <v>1221</v>
      </c>
      <c r="U317" s="26" t="s">
        <v>1222</v>
      </c>
      <c r="V317" s="26" t="str">
        <f>VLOOKUP($D317,records!$A:$V,3,FALSE)</f>
        <v>CAMUS LA GRANDE MARQUE sasu</v>
      </c>
      <c r="W317" s="26" t="str">
        <f>IFERROR(VLOOKUP($D317,records!$A:$V,6,FALSE),)</f>
        <v>Comptabilité</v>
      </c>
      <c r="X317" s="26" t="str">
        <f>VLOOKUP($D317,records!$A:$V,9,FALSE)</f>
        <v>29 rue Marguerite de Navarre</v>
      </c>
      <c r="Y317" s="26" t="str">
        <f>VLOOKUP($D317,records!$A:$V,4,FALSE)</f>
        <v>COGNAC</v>
      </c>
      <c r="Z317" s="26" t="str">
        <f>VLOOKUP($D317,records!$A:$V,7,FALSE)</f>
        <v>16100</v>
      </c>
      <c r="AA317" s="26" t="s">
        <v>1223</v>
      </c>
      <c r="AB317" s="26">
        <f>VLOOKUP(O317,'records (2)'!$A:$Z,8,FALSE)</f>
        <v>30</v>
      </c>
      <c r="AC317" s="26" t="b">
        <v>0</v>
      </c>
      <c r="AD317" s="26"/>
      <c r="AE317" s="26"/>
      <c r="AF317" s="26" t="str">
        <f>VLOOKUP($D317,records!$A:$V,13,FALSE)</f>
        <v>CAMUS LA GRANDE MARQUE sasu</v>
      </c>
      <c r="AG317" s="26" t="s">
        <v>1226</v>
      </c>
      <c r="AH317" s="26" t="str">
        <f>VLOOKUP($D317,records!$A:$V,19,FALSE)</f>
        <v>service.comptabilite@camus.fr</v>
      </c>
      <c r="AI317" s="26" t="s">
        <v>1233</v>
      </c>
      <c r="AJ317" s="26" t="str">
        <f>VLOOKUP($O317,'records (2)'!$A:$Z,14,FALSE)</f>
        <v>003IV000010t2G7YAI</v>
      </c>
      <c r="AK317" s="26" t="str">
        <f>VLOOKUP($O317,'records (2)'!$A:$Z,15,FALSE)</f>
        <v>Nadia BOUHOUDI</v>
      </c>
      <c r="AL317" s="26" t="str">
        <f>VLOOKUP($O317,'records (2)'!$A:$Z,10,FALSE)</f>
        <v>003IV000010rvH8YAI</v>
      </c>
      <c r="AM317" s="26" t="str">
        <f>VLOOKUP($O317,'records (2)'!$A:$Z,11,FALSE)</f>
        <v>Margot RAUD</v>
      </c>
      <c r="AN317" s="18">
        <v>1</v>
      </c>
      <c r="AO317" s="4">
        <v>500</v>
      </c>
      <c r="AP317" s="4">
        <v>500</v>
      </c>
      <c r="AQ317" s="20"/>
      <c r="AR317" s="6"/>
    </row>
    <row r="318" spans="1:44">
      <c r="A318" s="18" t="s">
        <v>381</v>
      </c>
      <c r="B318" s="18" t="s">
        <v>382</v>
      </c>
      <c r="C318" s="18" t="s">
        <v>382</v>
      </c>
      <c r="D318" s="18" t="s">
        <v>383</v>
      </c>
      <c r="E318" s="18" t="s">
        <v>16</v>
      </c>
      <c r="F318" s="18" t="s">
        <v>17</v>
      </c>
      <c r="G318" s="18"/>
      <c r="H318" s="19" t="s">
        <v>1216</v>
      </c>
      <c r="I318" s="23" t="s">
        <v>1217</v>
      </c>
      <c r="J318" s="24">
        <v>46023</v>
      </c>
      <c r="K318" s="24">
        <v>46387</v>
      </c>
      <c r="L318" s="24" t="s">
        <v>1218</v>
      </c>
      <c r="M318" s="24" t="s">
        <v>1219</v>
      </c>
      <c r="N318" s="24">
        <v>46023</v>
      </c>
      <c r="O318" s="24" t="str">
        <f>VLOOKUP(D318,records!$A:$U,10,FALSE)</f>
        <v>0012p00004NfuO3AAJ</v>
      </c>
      <c r="P318" s="24" t="str">
        <f>VLOOKUP(D318,records!$A:$V,20,FALSE)</f>
        <v>FR45317780062</v>
      </c>
      <c r="Q318" s="24" t="str">
        <f>VLOOKUP(D318,records!$A:$V,12,FALSE)</f>
        <v>31 778 006 200 335</v>
      </c>
      <c r="R318" s="24" t="s">
        <v>1220</v>
      </c>
      <c r="S318" s="24" t="str">
        <f>VLOOKUP(D318,records!$A:$U,19,FALSE)</f>
        <v>service_compta@stokomani.fr</v>
      </c>
      <c r="T318" s="26" t="s">
        <v>1221</v>
      </c>
      <c r="U318" s="26" t="s">
        <v>1222</v>
      </c>
      <c r="V318" s="26" t="str">
        <f>VLOOKUP($D318,records!$A:$V,3,FALSE)</f>
        <v>STOKOMANI sasu</v>
      </c>
      <c r="W318" s="26" t="str">
        <f>IFERROR(VLOOKUP($D318,records!$A:$V,6,FALSE),)</f>
        <v>Comptabilité</v>
      </c>
      <c r="X318" s="26" t="str">
        <f>VLOOKUP($D318,records!$A:$V,9,FALSE)</f>
        <v>3 avenue des Charmes</v>
      </c>
      <c r="Y318" s="26" t="str">
        <f>VLOOKUP($D318,records!$A:$V,4,FALSE)</f>
        <v>CREIL</v>
      </c>
      <c r="Z318" s="26" t="str">
        <f>VLOOKUP($D318,records!$A:$V,7,FALSE)</f>
        <v>60100</v>
      </c>
      <c r="AA318" s="26" t="s">
        <v>1223</v>
      </c>
      <c r="AB318" s="26">
        <f>VLOOKUP(O318,'records (2)'!$A:$Z,8,FALSE)</f>
        <v>30</v>
      </c>
      <c r="AC318" s="26" t="b">
        <v>0</v>
      </c>
      <c r="AD318" s="26"/>
      <c r="AE318" s="26"/>
      <c r="AF318" s="26" t="str">
        <f>VLOOKUP($D318,records!$A:$V,13,FALSE)</f>
        <v>STOKOMANI sasu</v>
      </c>
      <c r="AG318" s="26" t="s">
        <v>1226</v>
      </c>
      <c r="AH318" s="26" t="str">
        <f>VLOOKUP($D318,records!$A:$V,19,FALSE)</f>
        <v>service_compta@stokomani.fr</v>
      </c>
      <c r="AI318" s="26" t="s">
        <v>1233</v>
      </c>
      <c r="AJ318" s="26" t="str">
        <f>VLOOKUP($O318,'records (2)'!$A:$Z,14,FALSE)</f>
        <v>003IV000010t2G3YAI</v>
      </c>
      <c r="AK318" s="26" t="str">
        <f>VLOOKUP($O318,'records (2)'!$A:$Z,15,FALSE)</f>
        <v>Idalina MACHADO</v>
      </c>
      <c r="AL318" s="26" t="str">
        <f>VLOOKUP($O318,'records (2)'!$A:$Z,10,FALSE)</f>
        <v>003IV000010t2G3YAI</v>
      </c>
      <c r="AM318" s="26" t="str">
        <f>VLOOKUP($O318,'records (2)'!$A:$Z,11,FALSE)</f>
        <v>Idalina MACHADO</v>
      </c>
      <c r="AN318" s="18">
        <v>1</v>
      </c>
      <c r="AO318" s="4">
        <v>1000</v>
      </c>
      <c r="AP318" s="4">
        <v>1000</v>
      </c>
      <c r="AQ318" s="20">
        <v>0</v>
      </c>
      <c r="AR318" s="6">
        <v>0</v>
      </c>
    </row>
    <row r="319" spans="1:44">
      <c r="A319" s="18" t="s">
        <v>676</v>
      </c>
      <c r="B319" s="18" t="s">
        <v>677</v>
      </c>
      <c r="C319" s="18" t="s">
        <v>678</v>
      </c>
      <c r="D319" s="18" t="s">
        <v>679</v>
      </c>
      <c r="E319" s="18" t="s">
        <v>52</v>
      </c>
      <c r="F319" s="18" t="s">
        <v>53</v>
      </c>
      <c r="G319" s="18"/>
      <c r="H319" s="19" t="s">
        <v>1216</v>
      </c>
      <c r="I319" s="23" t="s">
        <v>1217</v>
      </c>
      <c r="J319" s="24">
        <v>46023</v>
      </c>
      <c r="K319" s="24">
        <v>46387</v>
      </c>
      <c r="L319" s="24" t="s">
        <v>1218</v>
      </c>
      <c r="M319" s="24" t="s">
        <v>1219</v>
      </c>
      <c r="N319" s="24">
        <v>46023</v>
      </c>
      <c r="O319" s="24" t="str">
        <f>VLOOKUP(D319,records!$A:$U,10,FALSE)</f>
        <v>0012p00004MVfCzAAL</v>
      </c>
      <c r="P319" s="24" t="str">
        <f>VLOOKUP(D319,records!$A:$V,20,FALSE)</f>
        <v>FR85301984563</v>
      </c>
      <c r="Q319" s="24" t="str">
        <f>VLOOKUP(D319,records!$A:$V,12,FALSE)</f>
        <v>30 198 456 300 223</v>
      </c>
      <c r="R319" s="24" t="s">
        <v>1220</v>
      </c>
      <c r="S319" s="24" t="str">
        <f>VLOOKUP(D319,records!$A:$U,19,FALSE)</f>
        <v>serviceachat-migennes@stradal.fr</v>
      </c>
      <c r="T319" s="26" t="s">
        <v>1221</v>
      </c>
      <c r="U319" s="26" t="s">
        <v>1222</v>
      </c>
      <c r="V319" s="26" t="str">
        <f>VLOOKUP($D319,records!$A:$V,3,FALSE)</f>
        <v>STRADAL sasu</v>
      </c>
      <c r="W319" s="26"/>
      <c r="X319" s="26" t="str">
        <f>VLOOKUP($D319,records!$A:$V,9,FALSE)</f>
        <v>51 rue Andre Maurois - 
 Parc d'activités de l'Armancon - BP 13</v>
      </c>
      <c r="Y319" s="26" t="str">
        <f>VLOOKUP($D319,records!$A:$V,4,FALSE)</f>
        <v>MIGENNES</v>
      </c>
      <c r="Z319" s="26" t="str">
        <f>VLOOKUP($D319,records!$A:$V,7,FALSE)</f>
        <v>89400</v>
      </c>
      <c r="AA319" s="26" t="s">
        <v>1223</v>
      </c>
      <c r="AB319" s="26">
        <f>VLOOKUP(O319,'records (2)'!$A:$Z,8,FALSE)</f>
        <v>30</v>
      </c>
      <c r="AC319" s="26" t="b">
        <v>0</v>
      </c>
      <c r="AD319" s="26"/>
      <c r="AE319" s="26"/>
      <c r="AF319" s="26" t="str">
        <f>VLOOKUP($D319,records!$A:$V,13,FALSE)</f>
        <v>STRADAL sasu</v>
      </c>
      <c r="AG319" s="26" t="s">
        <v>1226</v>
      </c>
      <c r="AH319" s="26" t="str">
        <f>VLOOKUP($D319,records!$A:$V,19,FALSE)</f>
        <v>serviceachat-migennes@stradal.fr</v>
      </c>
      <c r="AI319" s="26" t="str">
        <f>VLOOKUP($D319,records!$A:$V,14,FALSE)</f>
        <v>.</v>
      </c>
      <c r="AJ319" s="26" t="str">
        <f>VLOOKUP($O319,'records (2)'!$A:$Z,14,FALSE)</f>
        <v>003IV000010rvH2YAI</v>
      </c>
      <c r="AK319" s="26" t="str">
        <f>VLOOKUP($O319,'records (2)'!$A:$Z,15,FALSE)</f>
        <v>Laura MORISSON</v>
      </c>
      <c r="AL319" s="26" t="str">
        <f>VLOOKUP($O319,'records (2)'!$A:$Z,10,FALSE)</f>
        <v>003IV000010rvH2YAI</v>
      </c>
      <c r="AM319" s="26" t="str">
        <f>VLOOKUP($O319,'records (2)'!$A:$Z,11,FALSE)</f>
        <v>Laura MORISSON</v>
      </c>
      <c r="AN319" s="18">
        <v>1</v>
      </c>
      <c r="AO319" s="4">
        <v>500</v>
      </c>
      <c r="AP319" s="4">
        <v>500</v>
      </c>
      <c r="AQ319" s="20"/>
      <c r="AR319" s="6"/>
    </row>
    <row r="320" spans="1:44">
      <c r="A320" s="18" t="s">
        <v>1124</v>
      </c>
      <c r="B320" s="18" t="s">
        <v>1125</v>
      </c>
      <c r="C320" s="18" t="s">
        <v>1126</v>
      </c>
      <c r="D320" s="18" t="s">
        <v>1127</v>
      </c>
      <c r="E320" s="18" t="s">
        <v>16</v>
      </c>
      <c r="F320" s="18" t="s">
        <v>17</v>
      </c>
      <c r="G320" s="18"/>
      <c r="H320" s="19" t="s">
        <v>1216</v>
      </c>
      <c r="I320" s="23" t="s">
        <v>1217</v>
      </c>
      <c r="J320" s="24">
        <v>46023</v>
      </c>
      <c r="K320" s="24">
        <v>46387</v>
      </c>
      <c r="L320" s="24" t="s">
        <v>1218</v>
      </c>
      <c r="M320" s="24" t="s">
        <v>1219</v>
      </c>
      <c r="N320" s="24">
        <v>46023</v>
      </c>
      <c r="O320" s="24" t="str">
        <f>VLOOKUP(D320,records!$A:$U,10,FALSE)</f>
        <v>0012p00004NfH3eAAF</v>
      </c>
      <c r="P320" s="24" t="str">
        <f>VLOOKUP(D320,records!$A:$V,20,FALSE)</f>
        <v>FR59419760855</v>
      </c>
      <c r="Q320" s="24" t="str">
        <f>VLOOKUP(D320,records!$A:$V,12,FALSE)</f>
        <v>41 976 085 500 025</v>
      </c>
      <c r="R320" s="24" t="s">
        <v>1220</v>
      </c>
      <c r="S320" s="24" t="str">
        <f>VLOOKUP(D320,records!$A:$U,19,FALSE)</f>
        <v>service-achats.sps.fr@spsglobal.com</v>
      </c>
      <c r="T320" s="26" t="s">
        <v>1221</v>
      </c>
      <c r="U320" s="26" t="s">
        <v>1222</v>
      </c>
      <c r="V320" s="26" t="str">
        <f>VLOOKUP($D320,records!$A:$V,3,FALSE)</f>
        <v>SPS FRANCE &amp; BENELUX SAS</v>
      </c>
      <c r="W320" s="26"/>
      <c r="X320" s="26" t="str">
        <f>VLOOKUP($D320,records!$A:$V,9,FALSE)</f>
        <v>60-62 rue de Wattignies</v>
      </c>
      <c r="Y320" s="26" t="str">
        <f>VLOOKUP($D320,records!$A:$V,4,FALSE)</f>
        <v>PARIS</v>
      </c>
      <c r="Z320" s="26" t="str">
        <f>VLOOKUP($D320,records!$A:$V,7,FALSE)</f>
        <v>75012</v>
      </c>
      <c r="AA320" s="26" t="s">
        <v>1223</v>
      </c>
      <c r="AB320" s="26">
        <f>VLOOKUP(O320,'records (2)'!$A:$Z,8,FALSE)</f>
        <v>30</v>
      </c>
      <c r="AC320" s="26" t="b">
        <v>0</v>
      </c>
      <c r="AD320" s="26"/>
      <c r="AE320" s="26"/>
      <c r="AF320" s="26" t="str">
        <f>VLOOKUP($D320,records!$A:$V,13,FALSE)</f>
        <v>SPS FRANCE &amp; BENELUX SAS</v>
      </c>
      <c r="AG320" s="26" t="s">
        <v>1226</v>
      </c>
      <c r="AH320" s="26" t="str">
        <f>VLOOKUP($D320,records!$A:$V,19,FALSE)</f>
        <v>service-achats.sps.fr@spsglobal.com</v>
      </c>
      <c r="AI320" s="26" t="str">
        <f>VLOOKUP($D320,records!$A:$V,14,FALSE)</f>
        <v>.</v>
      </c>
      <c r="AJ320" s="26" t="str">
        <f>VLOOKUP($O320,'records (2)'!$A:$Z,14,FALSE)</f>
        <v>003IV000010rvHDYAY</v>
      </c>
      <c r="AK320" s="26" t="str">
        <f>VLOOKUP($O320,'records (2)'!$A:$Z,15,FALSE)</f>
        <v>Florence COUTURIER</v>
      </c>
      <c r="AL320" s="26" t="str">
        <f>VLOOKUP($O320,'records (2)'!$A:$Z,10,FALSE)</f>
        <v>003IV000010rvHDYAY</v>
      </c>
      <c r="AM320" s="26" t="str">
        <f>VLOOKUP($O320,'records (2)'!$A:$Z,11,FALSE)</f>
        <v>Florence COUTURIER</v>
      </c>
      <c r="AN320" s="18">
        <v>1</v>
      </c>
      <c r="AO320" s="4">
        <v>1000</v>
      </c>
      <c r="AP320" s="4">
        <v>1000</v>
      </c>
      <c r="AQ320" s="20"/>
      <c r="AR320" s="6"/>
    </row>
    <row r="321" spans="1:44">
      <c r="A321" s="18" t="s">
        <v>225</v>
      </c>
      <c r="B321" s="18" t="s">
        <v>226</v>
      </c>
      <c r="C321" s="18" t="s">
        <v>227</v>
      </c>
      <c r="D321" s="18" t="s">
        <v>228</v>
      </c>
      <c r="E321" s="18" t="s">
        <v>16</v>
      </c>
      <c r="F321" s="18" t="s">
        <v>17</v>
      </c>
      <c r="G321" s="18"/>
      <c r="H321" s="19" t="s">
        <v>1216</v>
      </c>
      <c r="I321" s="23" t="s">
        <v>1217</v>
      </c>
      <c r="J321" s="24">
        <v>46023</v>
      </c>
      <c r="K321" s="24">
        <v>46387</v>
      </c>
      <c r="L321" s="24" t="s">
        <v>1218</v>
      </c>
      <c r="M321" s="24" t="s">
        <v>1219</v>
      </c>
      <c r="N321" s="24">
        <v>46023</v>
      </c>
      <c r="O321" s="24" t="str">
        <f>VLOOKUP(D321,records!$A:$U,10,FALSE)</f>
        <v>0012p00004NhTIRAA3</v>
      </c>
      <c r="P321" s="24" t="str">
        <f>VLOOKUP(D321,records!$A:$V,20,FALSE)</f>
        <v>FR91450351788</v>
      </c>
      <c r="Q321" s="24" t="str">
        <f>VLOOKUP(D321,records!$A:$V,12,FALSE)</f>
        <v>45 035 178 800 010</v>
      </c>
      <c r="R321" s="24" t="s">
        <v>1220</v>
      </c>
      <c r="S321" s="24" t="str">
        <f>VLOOKUP(D321,records!$A:$U,19,FALSE)</f>
        <v>service-fournisseurs@crustac.fr</v>
      </c>
      <c r="T321" s="26" t="s">
        <v>1221</v>
      </c>
      <c r="U321" s="26" t="s">
        <v>1222</v>
      </c>
      <c r="V321" s="26" t="str">
        <f>VLOOKUP($D321,records!$A:$V,3,FALSE)</f>
        <v>CRUSTA C sas</v>
      </c>
      <c r="W321" s="26" t="str">
        <f>IFERROR(VLOOKUP($D321,records!$A:$V,6,FALSE),)</f>
        <v>Comptabilité Fournisseurs</v>
      </c>
      <c r="X321" s="26" t="str">
        <f>VLOOKUP($D321,records!$A:$V,9,FALSE)</f>
        <v>Route de Toulouse - Z.I. Buconis</v>
      </c>
      <c r="Y321" s="26" t="str">
        <f>VLOOKUP($D321,records!$A:$V,4,FALSE)</f>
        <v>L'ISLE JOURDAIN</v>
      </c>
      <c r="Z321" s="26" t="str">
        <f>VLOOKUP($D321,records!$A:$V,7,FALSE)</f>
        <v>32600</v>
      </c>
      <c r="AA321" s="26" t="s">
        <v>1223</v>
      </c>
      <c r="AB321" s="26">
        <f>VLOOKUP(O321,'records (2)'!$A:$Z,8,FALSE)</f>
        <v>30</v>
      </c>
      <c r="AC321" s="26" t="b">
        <v>0</v>
      </c>
      <c r="AD321" s="26"/>
      <c r="AE321" s="26"/>
      <c r="AF321" s="26" t="str">
        <f>VLOOKUP($D321,records!$A:$V,13,FALSE)</f>
        <v>CRUSTA C sas</v>
      </c>
      <c r="AG321" s="26" t="s">
        <v>1226</v>
      </c>
      <c r="AH321" s="26" t="str">
        <f>VLOOKUP($D321,records!$A:$V,19,FALSE)</f>
        <v>service-fournisseurs@crustac.fr</v>
      </c>
      <c r="AI321" s="26" t="str">
        <f>VLOOKUP($D321,records!$A:$V,14,FALSE)</f>
        <v>.</v>
      </c>
      <c r="AJ321" s="26" t="str">
        <f>VLOOKUP($O321,'records (2)'!$A:$Z,14,FALSE)</f>
        <v>003IV000010tRWAYA2</v>
      </c>
      <c r="AK321" s="26" t="str">
        <f>VLOOKUP($O321,'records (2)'!$A:$Z,15,FALSE)</f>
        <v>Marjorie LAGARRIGUE</v>
      </c>
      <c r="AL321" s="26" t="str">
        <f>VLOOKUP($O321,'records (2)'!$A:$Z,10,FALSE)</f>
        <v>003IV000010tRWAYA2</v>
      </c>
      <c r="AM321" s="26" t="str">
        <f>VLOOKUP($O321,'records (2)'!$A:$Z,11,FALSE)</f>
        <v>Marjorie LAGARRIGUE</v>
      </c>
      <c r="AN321" s="18">
        <v>1</v>
      </c>
      <c r="AO321" s="4">
        <v>6000</v>
      </c>
      <c r="AP321" s="4">
        <v>6000</v>
      </c>
      <c r="AQ321" s="20">
        <v>0</v>
      </c>
      <c r="AR321" s="6">
        <v>0</v>
      </c>
    </row>
    <row r="322" spans="1:44">
      <c r="A322" s="18" t="s">
        <v>229</v>
      </c>
      <c r="B322" s="18" t="s">
        <v>230</v>
      </c>
      <c r="C322" s="18" t="s">
        <v>231</v>
      </c>
      <c r="D322" s="18" t="s">
        <v>232</v>
      </c>
      <c r="E322" s="18" t="s">
        <v>16</v>
      </c>
      <c r="F322" s="18" t="s">
        <v>17</v>
      </c>
      <c r="G322" s="18"/>
      <c r="H322" s="19" t="s">
        <v>1216</v>
      </c>
      <c r="I322" s="23" t="s">
        <v>1217</v>
      </c>
      <c r="J322" s="24">
        <v>46023</v>
      </c>
      <c r="K322" s="24">
        <v>46387</v>
      </c>
      <c r="L322" s="24" t="s">
        <v>1218</v>
      </c>
      <c r="M322" s="24" t="s">
        <v>1219</v>
      </c>
      <c r="N322" s="24">
        <v>46023</v>
      </c>
      <c r="O322" s="24" t="str">
        <f>VLOOKUP(D322,records!$A:$U,10,FALSE)</f>
        <v>001SZ000004UIGaYAO</v>
      </c>
      <c r="P322" s="24" t="str">
        <f>VLOOKUP(D322,records!$A:$V,20,FALSE)</f>
        <v>FR46517720116</v>
      </c>
      <c r="Q322" s="24" t="str">
        <f>VLOOKUP(D322,records!$A:$V,12,FALSE)</f>
        <v>51 772 011 600 022</v>
      </c>
      <c r="R322" s="24" t="s">
        <v>1220</v>
      </c>
      <c r="S322" s="24" t="str">
        <f>VLOOKUP(D322,records!$A:$U,19,FALSE)</f>
        <v>smb_vzn_finance@jtekt.eu</v>
      </c>
      <c r="T322" s="26" t="s">
        <v>1221</v>
      </c>
      <c r="U322" s="26" t="s">
        <v>1222</v>
      </c>
      <c r="V322" s="26" t="str">
        <f>VLOOKUP($D322,records!$A:$V,3,FALSE)</f>
        <v>JTEKT BEARINGS FRANCE SAS</v>
      </c>
      <c r="W322" s="26"/>
      <c r="X322" s="26" t="str">
        <f>VLOOKUP($D322,records!$A:$V,9,FALSE)</f>
        <v>61 Route de Foecy</v>
      </c>
      <c r="Y322" s="26" t="str">
        <f>VLOOKUP($D322,records!$A:$V,4,FALSE)</f>
        <v>VIERZON CEDEX</v>
      </c>
      <c r="Z322" s="26" t="str">
        <f>VLOOKUP($D322,records!$A:$V,7,FALSE)</f>
        <v>18102</v>
      </c>
      <c r="AA322" s="26" t="s">
        <v>1223</v>
      </c>
      <c r="AB322" s="26">
        <f>VLOOKUP(O322,'records (2)'!$A:$Z,8,FALSE)</f>
        <v>30</v>
      </c>
      <c r="AC322" s="26" t="b">
        <v>0</v>
      </c>
      <c r="AD322" s="26"/>
      <c r="AE322" s="26"/>
      <c r="AF322" s="26" t="str">
        <f>VLOOKUP($D322,records!$A:$V,13,FALSE)</f>
        <v>JTEKT BEARINGS FRANCE SAS</v>
      </c>
      <c r="AG322" s="26" t="s">
        <v>1226</v>
      </c>
      <c r="AH322" s="26" t="str">
        <f>VLOOKUP($D322,records!$A:$V,19,FALSE)</f>
        <v>smb_vzn_finance@jtekt.eu</v>
      </c>
      <c r="AI322" s="26" t="str">
        <f>VLOOKUP($D322,records!$A:$V,14,FALSE)</f>
        <v>.</v>
      </c>
      <c r="AJ322" s="26" t="str">
        <f>VLOOKUP($O322,'records (2)'!$A:$Z,14,FALSE)</f>
        <v>003IV000010t6CGYAY</v>
      </c>
      <c r="AK322" s="26" t="str">
        <f>VLOOKUP($O322,'records (2)'!$A:$Z,15,FALSE)</f>
        <v>Isabelle OUZET</v>
      </c>
      <c r="AL322" s="26" t="str">
        <f>VLOOKUP($O322,'records (2)'!$A:$Z,10,FALSE)</f>
        <v>003IV000010t6CGYAY</v>
      </c>
      <c r="AM322" s="26" t="str">
        <f>VLOOKUP($O322,'records (2)'!$A:$Z,11,FALSE)</f>
        <v>Isabelle OUZET</v>
      </c>
      <c r="AN322" s="18">
        <v>1</v>
      </c>
      <c r="AO322" s="4">
        <v>1000</v>
      </c>
      <c r="AP322" s="4">
        <v>1000</v>
      </c>
      <c r="AQ322" s="20">
        <v>0</v>
      </c>
      <c r="AR322" s="6">
        <v>0</v>
      </c>
    </row>
    <row r="323" spans="1:44">
      <c r="A323" s="18" t="s">
        <v>302</v>
      </c>
      <c r="B323" s="18" t="s">
        <v>303</v>
      </c>
      <c r="C323" s="18" t="s">
        <v>304</v>
      </c>
      <c r="D323" s="18" t="s">
        <v>305</v>
      </c>
      <c r="E323" s="18" t="s">
        <v>16</v>
      </c>
      <c r="F323" s="18" t="s">
        <v>17</v>
      </c>
      <c r="G323" s="18"/>
      <c r="H323" s="19" t="s">
        <v>1216</v>
      </c>
      <c r="I323" s="23" t="s">
        <v>1217</v>
      </c>
      <c r="J323" s="24">
        <v>46023</v>
      </c>
      <c r="K323" s="24">
        <v>46387</v>
      </c>
      <c r="L323" s="24" t="s">
        <v>1218</v>
      </c>
      <c r="M323" s="24" t="s">
        <v>1219</v>
      </c>
      <c r="N323" s="24">
        <v>46023</v>
      </c>
      <c r="O323" s="24" t="str">
        <f>VLOOKUP(D323,records!$A:$U,10,FALSE)</f>
        <v>0012p00004MzraAAAR</v>
      </c>
      <c r="P323" s="24" t="str">
        <f>VLOOKUP(D323,records!$A:$V,20,FALSE)</f>
        <v>FR60320574734</v>
      </c>
      <c r="Q323" s="24" t="str">
        <f>VLOOKUP(D323,records!$A:$V,12,FALSE)</f>
        <v>32 057 473 400 036</v>
      </c>
      <c r="R323" s="24" t="s">
        <v>1220</v>
      </c>
      <c r="S323" s="24" t="str">
        <f>VLOOKUP(D323,records!$A:$U,19,FALSE)</f>
        <v>stephanie.regnier@nefab.com</v>
      </c>
      <c r="T323" s="26" t="s">
        <v>1221</v>
      </c>
      <c r="U323" s="26" t="s">
        <v>1222</v>
      </c>
      <c r="V323" s="26" t="str">
        <f>VLOOKUP($D323,records!$A:$V,3,FALSE)</f>
        <v>NEFAB sas</v>
      </c>
      <c r="W323" s="26"/>
      <c r="X323" s="26" t="str">
        <f>VLOOKUP($D323,records!$A:$V,9,FALSE)</f>
        <v>Route Nationale 20 Nord</v>
      </c>
      <c r="Y323" s="26" t="str">
        <f>VLOOKUP($D323,records!$A:$V,4,FALSE)</f>
        <v>SALBRIS</v>
      </c>
      <c r="Z323" s="26" t="str">
        <f>VLOOKUP($D323,records!$A:$V,7,FALSE)</f>
        <v>41300</v>
      </c>
      <c r="AA323" s="26" t="s">
        <v>1223</v>
      </c>
      <c r="AB323" s="26">
        <f>VLOOKUP(O323,'records (2)'!$A:$Z,8,FALSE)</f>
        <v>30</v>
      </c>
      <c r="AC323" s="26" t="b">
        <v>0</v>
      </c>
      <c r="AD323" s="26"/>
      <c r="AE323" s="26"/>
      <c r="AF323" s="26" t="str">
        <f>VLOOKUP($D323,records!$A:$V,13,FALSE)</f>
        <v>NEFAB sas</v>
      </c>
      <c r="AG323" s="26" t="s">
        <v>1226</v>
      </c>
      <c r="AH323" s="26" t="str">
        <f>VLOOKUP($D323,records!$A:$V,19,FALSE)</f>
        <v>stephanie.regnier@nefab.com</v>
      </c>
      <c r="AI323" s="26" t="str">
        <f>VLOOKUP($D323,records!$A:$V,14,FALSE)</f>
        <v>.</v>
      </c>
      <c r="AJ323" s="26" t="str">
        <f>VLOOKUP($O323,'records (2)'!$A:$Z,14,FALSE)</f>
        <v>003IV000010tRTWYA2</v>
      </c>
      <c r="AK323" s="26" t="str">
        <f>VLOOKUP($O323,'records (2)'!$A:$Z,15,FALSE)</f>
        <v>Stéphanie REGNIER</v>
      </c>
      <c r="AL323" s="26" t="str">
        <f>VLOOKUP($O323,'records (2)'!$A:$Z,10,FALSE)</f>
        <v>003IV000010tRTwYAM</v>
      </c>
      <c r="AM323" s="26" t="str">
        <f>VLOOKUP($O323,'records (2)'!$A:$Z,11,FALSE)</f>
        <v>Marie-Christine LARA</v>
      </c>
      <c r="AN323" s="18">
        <v>1</v>
      </c>
      <c r="AO323" s="4">
        <v>2000</v>
      </c>
      <c r="AP323" s="4">
        <v>2000</v>
      </c>
      <c r="AQ323" s="20">
        <v>0</v>
      </c>
      <c r="AR323" s="6">
        <v>0</v>
      </c>
    </row>
    <row r="324" spans="1:44">
      <c r="A324" s="18" t="s">
        <v>825</v>
      </c>
      <c r="B324" s="18" t="s">
        <v>826</v>
      </c>
      <c r="C324" s="18" t="s">
        <v>826</v>
      </c>
      <c r="D324" s="18" t="s">
        <v>827</v>
      </c>
      <c r="E324" s="18" t="s">
        <v>52</v>
      </c>
      <c r="F324" s="18" t="s">
        <v>53</v>
      </c>
      <c r="G324" s="18"/>
      <c r="H324" s="19" t="s">
        <v>1216</v>
      </c>
      <c r="I324" s="23" t="s">
        <v>1217</v>
      </c>
      <c r="J324" s="24">
        <v>46023</v>
      </c>
      <c r="K324" s="24">
        <v>46387</v>
      </c>
      <c r="L324" s="24" t="s">
        <v>1218</v>
      </c>
      <c r="M324" s="24" t="s">
        <v>1219</v>
      </c>
      <c r="N324" s="24">
        <v>46023</v>
      </c>
      <c r="O324" s="24" t="str">
        <f>VLOOKUP(D324,records!$A:$U,10,FALSE)</f>
        <v>001SZ000000ultuYAA</v>
      </c>
      <c r="P324" s="24" t="str">
        <f>VLOOKUP(D324,records!$A:$V,20,FALSE)</f>
        <v>FR54552124984</v>
      </c>
      <c r="Q324" s="24" t="str">
        <f>VLOOKUP(D324,records!$A:$V,12,FALSE)</f>
        <v>55 212 498 400 121</v>
      </c>
      <c r="R324" s="24" t="s">
        <v>1220</v>
      </c>
      <c r="S324" s="24" t="str">
        <f>VLOOKUP(D324,records!$A:$U,19,FALSE)</f>
        <v>supplier.accounting@radiall.com</v>
      </c>
      <c r="T324" s="26" t="s">
        <v>1221</v>
      </c>
      <c r="U324" s="26" t="s">
        <v>1222</v>
      </c>
      <c r="V324" s="26" t="str">
        <f>VLOOKUP($D324,records!$A:$V,3,FALSE)</f>
        <v>RADIALL sa</v>
      </c>
      <c r="W324" s="26"/>
      <c r="X324" s="26" t="str">
        <f>VLOOKUP($D324,records!$A:$V,9,FALSE)</f>
        <v>Rue Émile Romanet - ZI</v>
      </c>
      <c r="Y324" s="26" t="str">
        <f>VLOOKUP($D324,records!$A:$V,4,FALSE)</f>
        <v>VOREPPE</v>
      </c>
      <c r="Z324" s="26" t="str">
        <f>VLOOKUP($D324,records!$A:$V,7,FALSE)</f>
        <v>38340</v>
      </c>
      <c r="AA324" s="26" t="s">
        <v>1223</v>
      </c>
      <c r="AB324" s="26">
        <f>VLOOKUP(O324,'records (2)'!$A:$Z,8,FALSE)</f>
        <v>30</v>
      </c>
      <c r="AC324" s="26" t="b">
        <v>0</v>
      </c>
      <c r="AD324" s="26"/>
      <c r="AE324" s="26"/>
      <c r="AF324" s="26" t="str">
        <f>VLOOKUP($D324,records!$A:$V,13,FALSE)</f>
        <v>RADIALL sa</v>
      </c>
      <c r="AG324" s="26" t="s">
        <v>1226</v>
      </c>
      <c r="AH324" s="26" t="str">
        <f>VLOOKUP($D324,records!$A:$V,19,FALSE)</f>
        <v>supplier.accounting@radiall.com</v>
      </c>
      <c r="AI324" s="26" t="str">
        <f>VLOOKUP($D324,records!$A:$V,14,FALSE)</f>
        <v>.</v>
      </c>
      <c r="AJ324" s="26" t="str">
        <f>VLOOKUP($O324,'records (2)'!$A:$Z,14,FALSE)</f>
        <v>003IV000010tJXgYAM</v>
      </c>
      <c r="AK324" s="26" t="str">
        <f>VLOOKUP($O324,'records (2)'!$A:$Z,15,FALSE)</f>
        <v>Marilyne BERTHET PILON</v>
      </c>
      <c r="AL324" s="26" t="str">
        <f>VLOOKUP($O324,'records (2)'!$A:$Z,10,FALSE)</f>
        <v>003IV000010tJXgYAM</v>
      </c>
      <c r="AM324" s="26" t="str">
        <f>VLOOKUP($O324,'records (2)'!$A:$Z,11,FALSE)</f>
        <v>Marilyne BERTHET PILON</v>
      </c>
      <c r="AN324" s="18">
        <v>1</v>
      </c>
      <c r="AO324" s="4">
        <v>4500</v>
      </c>
      <c r="AP324" s="4">
        <v>4500</v>
      </c>
      <c r="AQ324" s="20">
        <v>0</v>
      </c>
      <c r="AR324" s="6">
        <v>0</v>
      </c>
    </row>
    <row r="325" spans="1:44">
      <c r="A325" s="18" t="s">
        <v>251</v>
      </c>
      <c r="B325" s="18" t="s">
        <v>252</v>
      </c>
      <c r="C325" s="18" t="s">
        <v>252</v>
      </c>
      <c r="D325" s="18" t="s">
        <v>253</v>
      </c>
      <c r="E325" s="18" t="s">
        <v>23</v>
      </c>
      <c r="F325" s="18" t="s">
        <v>24</v>
      </c>
      <c r="G325" s="18"/>
      <c r="H325" s="19" t="s">
        <v>1216</v>
      </c>
      <c r="I325" s="23" t="s">
        <v>1217</v>
      </c>
      <c r="J325" s="24">
        <v>46023</v>
      </c>
      <c r="K325" s="24">
        <v>46387</v>
      </c>
      <c r="L325" s="24" t="s">
        <v>1218</v>
      </c>
      <c r="M325" s="24" t="s">
        <v>1219</v>
      </c>
      <c r="N325" s="24">
        <v>46023</v>
      </c>
      <c r="O325" s="24" t="str">
        <f>VLOOKUP(D325,records!$A:$U,10,FALSE)</f>
        <v>0012p00004MVU2gAAH</v>
      </c>
      <c r="P325" s="24" t="str">
        <f>VLOOKUP(D325,records!$A:$V,20,FALSE)</f>
        <v>FR69493383244</v>
      </c>
      <c r="Q325" s="24" t="str">
        <f>VLOOKUP(D325,records!$A:$V,12,FALSE)</f>
        <v>49 338 324 400 065</v>
      </c>
      <c r="R325" s="24" t="s">
        <v>1220</v>
      </c>
      <c r="S325" s="24" t="str">
        <f>VLOOKUP(D325,records!$A:$U,19,FALSE)</f>
        <v>supplier.invoice@groupe-lemoine.com</v>
      </c>
      <c r="T325" s="26" t="s">
        <v>1221</v>
      </c>
      <c r="U325" s="26" t="s">
        <v>1222</v>
      </c>
      <c r="V325" s="26" t="str">
        <f>VLOOKUP($D325,records!$A:$V,3,FALSE)</f>
        <v>LEMOINE FRANCE sas</v>
      </c>
      <c r="W325" s="26"/>
      <c r="X325" s="26" t="str">
        <f>VLOOKUP($D325,records!$A:$V,9,FALSE)</f>
        <v>Ciriam Le Pont De Vère</v>
      </c>
      <c r="Y325" s="26" t="str">
        <f>VLOOKUP($D325,records!$A:$V,4,FALSE)</f>
        <v>CALIGNY</v>
      </c>
      <c r="Z325" s="26" t="str">
        <f>VLOOKUP($D325,records!$A:$V,7,FALSE)</f>
        <v>61100</v>
      </c>
      <c r="AA325" s="26" t="s">
        <v>1223</v>
      </c>
      <c r="AB325" s="26">
        <f>VLOOKUP(O325,'records (2)'!$A:$Z,8,FALSE)</f>
        <v>30</v>
      </c>
      <c r="AC325" s="26" t="b">
        <v>0</v>
      </c>
      <c r="AD325" s="26"/>
      <c r="AE325" s="26"/>
      <c r="AF325" s="26" t="str">
        <f>VLOOKUP($D325,records!$A:$V,13,FALSE)</f>
        <v>LEMOINE FRANCE sas</v>
      </c>
      <c r="AG325" s="26" t="s">
        <v>1226</v>
      </c>
      <c r="AH325" s="26" t="str">
        <f>VLOOKUP($D325,records!$A:$V,19,FALSE)</f>
        <v>supplier.invoice@groupe-lemoine.com</v>
      </c>
      <c r="AI325" s="26" t="str">
        <f>VLOOKUP($D325,records!$A:$V,14,FALSE)</f>
        <v>.</v>
      </c>
      <c r="AJ325" s="26" t="str">
        <f>VLOOKUP($O325,'records (2)'!$A:$Z,14,FALSE)</f>
        <v>003IV000010tRTrYAM</v>
      </c>
      <c r="AK325" s="26" t="str">
        <f>VLOOKUP($O325,'records (2)'!$A:$Z,15,FALSE)</f>
        <v>Nathalie LEBOSSE</v>
      </c>
      <c r="AL325" s="26" t="str">
        <f>VLOOKUP($O325,'records (2)'!$A:$Z,10,FALSE)</f>
        <v>003IV000010tRUJYA2</v>
      </c>
      <c r="AM325" s="26" t="str">
        <f>VLOOKUP($O325,'records (2)'!$A:$Z,11,FALSE)</f>
        <v>Isabelle LEGROS</v>
      </c>
      <c r="AN325" s="18">
        <v>1</v>
      </c>
      <c r="AO325" s="4">
        <v>2200</v>
      </c>
      <c r="AP325" s="4">
        <v>2200</v>
      </c>
      <c r="AQ325" s="20">
        <v>0</v>
      </c>
      <c r="AR325" s="6">
        <v>0</v>
      </c>
    </row>
    <row r="326" spans="1:44">
      <c r="A326" s="18" t="s">
        <v>966</v>
      </c>
      <c r="B326" s="18" t="s">
        <v>967</v>
      </c>
      <c r="C326" s="18" t="s">
        <v>968</v>
      </c>
      <c r="D326" s="18" t="s">
        <v>969</v>
      </c>
      <c r="E326" s="18" t="s">
        <v>52</v>
      </c>
      <c r="F326" s="18" t="s">
        <v>53</v>
      </c>
      <c r="G326" s="18"/>
      <c r="H326" s="19" t="s">
        <v>1216</v>
      </c>
      <c r="I326" s="23" t="s">
        <v>1217</v>
      </c>
      <c r="J326" s="24">
        <v>46023</v>
      </c>
      <c r="K326" s="24">
        <v>46387</v>
      </c>
      <c r="L326" s="24" t="s">
        <v>1218</v>
      </c>
      <c r="M326" s="24" t="s">
        <v>1219</v>
      </c>
      <c r="N326" s="24">
        <v>46023</v>
      </c>
      <c r="O326" s="24" t="str">
        <f>VLOOKUP(D326,records!$A:$U,10,FALSE)</f>
        <v>001SZ000002ACUzYAO</v>
      </c>
      <c r="P326" s="24" t="str">
        <f>VLOOKUP(D326,records!$A:$V,20,FALSE)</f>
        <v>FR86328358734</v>
      </c>
      <c r="Q326" s="24" t="str">
        <f>VLOOKUP(D326,records!$A:$V,12,FALSE)</f>
        <v>32 835 873 400 080</v>
      </c>
      <c r="R326" s="24" t="s">
        <v>1220</v>
      </c>
      <c r="S326" s="24" t="str">
        <f>VLOOKUP(D326,records!$A:$U,19,FALSE)</f>
        <v>suppliers.invoices@antolin.com</v>
      </c>
      <c r="T326" s="26" t="s">
        <v>1221</v>
      </c>
      <c r="U326" s="26" t="s">
        <v>1222</v>
      </c>
      <c r="V326" s="26" t="str">
        <f>VLOOKUP($D326,records!$A:$V,3,FALSE)</f>
        <v>GRUPO ANTOLIN BESANCON sasu</v>
      </c>
      <c r="W326" s="26"/>
      <c r="X326" s="26" t="str">
        <f>VLOOKUP($D326,records!$A:$V,9,FALSE)</f>
        <v>8 Rue Gérard Mantion</v>
      </c>
      <c r="Y326" s="26" t="str">
        <f>VLOOKUP($D326,records!$A:$V,4,FALSE)</f>
        <v>BESANCON</v>
      </c>
      <c r="Z326" s="26" t="str">
        <f>VLOOKUP($D326,records!$A:$V,7,FALSE)</f>
        <v>25000</v>
      </c>
      <c r="AA326" s="26" t="s">
        <v>1223</v>
      </c>
      <c r="AB326" s="26">
        <f>VLOOKUP(O326,'records (2)'!$A:$Z,8,FALSE)</f>
        <v>45</v>
      </c>
      <c r="AC326" s="26" t="b">
        <v>0</v>
      </c>
      <c r="AD326" s="26"/>
      <c r="AE326" s="26"/>
      <c r="AF326" s="26" t="str">
        <f>VLOOKUP($D326,records!$A:$V,13,FALSE)</f>
        <v>GRUPO ANTOLIN BESANCON sasu</v>
      </c>
      <c r="AG326" s="26" t="s">
        <v>1226</v>
      </c>
      <c r="AH326" s="26" t="str">
        <f>VLOOKUP($D326,records!$A:$V,19,FALSE)</f>
        <v>suppliers.invoices@antolin.com</v>
      </c>
      <c r="AI326" s="26" t="str">
        <f>VLOOKUP($D326,records!$A:$V,14,FALSE)</f>
        <v>.</v>
      </c>
      <c r="AJ326" s="26" t="str">
        <f>VLOOKUP($O326,'records (2)'!$A:$Z,14,FALSE)</f>
        <v>003IV000010su8ZYAQ</v>
      </c>
      <c r="AK326" s="26" t="str">
        <f>VLOOKUP($O326,'records (2)'!$A:$Z,15,FALSE)</f>
        <v>Service Comptabilité</v>
      </c>
      <c r="AL326" s="26" t="str">
        <f>VLOOKUP($O326,'records (2)'!$A:$Z,10,FALSE)</f>
        <v>003IV000010su8ZYAQ</v>
      </c>
      <c r="AM326" s="26" t="str">
        <f>VLOOKUP($O326,'records (2)'!$A:$Z,11,FALSE)</f>
        <v>Service Comptabilité</v>
      </c>
      <c r="AN326" s="18">
        <v>1</v>
      </c>
      <c r="AO326" s="4">
        <v>1500</v>
      </c>
      <c r="AP326" s="4">
        <v>1500</v>
      </c>
      <c r="AQ326" s="20">
        <v>0</v>
      </c>
      <c r="AR326" s="6">
        <v>0</v>
      </c>
    </row>
    <row r="327" spans="1:44">
      <c r="A327" s="18" t="s">
        <v>680</v>
      </c>
      <c r="B327" s="18" t="s">
        <v>681</v>
      </c>
      <c r="C327" s="18" t="s">
        <v>682</v>
      </c>
      <c r="D327" s="18" t="s">
        <v>683</v>
      </c>
      <c r="E327" s="18" t="s">
        <v>52</v>
      </c>
      <c r="F327" s="18" t="s">
        <v>53</v>
      </c>
      <c r="G327" s="18"/>
      <c r="H327" s="19" t="s">
        <v>1216</v>
      </c>
      <c r="I327" s="23" t="s">
        <v>1217</v>
      </c>
      <c r="J327" s="24">
        <v>46023</v>
      </c>
      <c r="K327" s="24">
        <v>46387</v>
      </c>
      <c r="L327" s="24" t="s">
        <v>1218</v>
      </c>
      <c r="M327" s="24" t="s">
        <v>1219</v>
      </c>
      <c r="N327" s="24">
        <v>46023</v>
      </c>
      <c r="O327" s="24" t="str">
        <f>VLOOKUP(D327,records!$A:$U,10,FALSE)</f>
        <v>001SZ000000pfqnYAA</v>
      </c>
      <c r="P327" s="24" t="str">
        <f>VLOOKUP(D327,records!$A:$V,20,FALSE)</f>
        <v>FR96424979144</v>
      </c>
      <c r="Q327" s="24" t="str">
        <f>VLOOKUP(D327,records!$A:$V,12,FALSE)</f>
        <v>42 497 914 400 013</v>
      </c>
      <c r="R327" s="24" t="s">
        <v>1220</v>
      </c>
      <c r="S327" s="24" t="str">
        <f>VLOOKUP(D327,records!$A:$U,19,FALSE)</f>
        <v>suppliers.invoices@grupoantolin.com</v>
      </c>
      <c r="T327" s="26" t="s">
        <v>1221</v>
      </c>
      <c r="U327" s="26" t="s">
        <v>1222</v>
      </c>
      <c r="V327" s="26" t="str">
        <f>VLOOKUP($D327,records!$A:$V,3,FALSE)</f>
        <v>GRUPO ANTOLIN VOSGES, SAS</v>
      </c>
      <c r="W327" s="26"/>
      <c r="X327" s="26" t="str">
        <f>VLOOKUP($D327,records!$A:$V,9,FALSE)</f>
        <v>30 Rue d'Alsace</v>
      </c>
      <c r="Y327" s="26" t="str">
        <f>VLOOKUP($D327,records!$A:$V,4,FALSE)</f>
        <v>RUPT-SUR-MOSELLE</v>
      </c>
      <c r="Z327" s="26" t="str">
        <f>VLOOKUP($D327,records!$A:$V,7,FALSE)</f>
        <v>88360</v>
      </c>
      <c r="AA327" s="26" t="s">
        <v>1223</v>
      </c>
      <c r="AB327" s="26">
        <f>VLOOKUP(O327,'records (2)'!$A:$Z,8,FALSE)</f>
        <v>30</v>
      </c>
      <c r="AC327" s="26" t="b">
        <v>0</v>
      </c>
      <c r="AD327" s="26"/>
      <c r="AE327" s="26"/>
      <c r="AF327" s="26" t="str">
        <f>VLOOKUP($D327,records!$A:$V,13,FALSE)</f>
        <v>GRUPO ANTOLIN VOSGES, SAS</v>
      </c>
      <c r="AG327" s="26" t="s">
        <v>1226</v>
      </c>
      <c r="AH327" s="26" t="str">
        <f>VLOOKUP($D327,records!$A:$V,19,FALSE)</f>
        <v>suppliers.invoices@grupoantolin.com</v>
      </c>
      <c r="AI327" s="26" t="str">
        <f>VLOOKUP($D327,records!$A:$V,14,FALSE)</f>
        <v>.</v>
      </c>
      <c r="AJ327" s="26" t="str">
        <f>VLOOKUP($O327,'records (2)'!$A:$Z,14,FALSE)</f>
        <v>003IV000010tTsgYAE</v>
      </c>
      <c r="AK327" s="26" t="str">
        <f>VLOOKUP($O327,'records (2)'!$A:$Z,15,FALSE)</f>
        <v>Delphine GEHIN</v>
      </c>
      <c r="AL327" s="26" t="str">
        <f>VLOOKUP($O327,'records (2)'!$A:$Z,10,FALSE)</f>
        <v>003IV000010tTsgYAE</v>
      </c>
      <c r="AM327" s="26" t="str">
        <f>VLOOKUP($O327,'records (2)'!$A:$Z,11,FALSE)</f>
        <v>Delphine GEHIN</v>
      </c>
      <c r="AN327" s="18">
        <v>1</v>
      </c>
      <c r="AO327" s="4">
        <v>500</v>
      </c>
      <c r="AP327" s="4">
        <v>500</v>
      </c>
      <c r="AQ327" s="20">
        <v>0</v>
      </c>
      <c r="AR327" s="6">
        <v>0</v>
      </c>
    </row>
    <row r="328" spans="1:44">
      <c r="A328" s="18" t="s">
        <v>384</v>
      </c>
      <c r="B328" s="18" t="s">
        <v>385</v>
      </c>
      <c r="C328" s="18" t="s">
        <v>385</v>
      </c>
      <c r="D328" s="18" t="s">
        <v>386</v>
      </c>
      <c r="E328" s="18" t="s">
        <v>23</v>
      </c>
      <c r="F328" s="18" t="s">
        <v>24</v>
      </c>
      <c r="G328" s="18"/>
      <c r="H328" s="19" t="s">
        <v>1216</v>
      </c>
      <c r="I328" s="23" t="s">
        <v>1217</v>
      </c>
      <c r="J328" s="24">
        <v>46023</v>
      </c>
      <c r="K328" s="24">
        <v>46387</v>
      </c>
      <c r="L328" s="24" t="s">
        <v>1218</v>
      </c>
      <c r="M328" s="24" t="s">
        <v>1219</v>
      </c>
      <c r="N328" s="24">
        <v>46023</v>
      </c>
      <c r="O328" s="24" t="str">
        <f>VLOOKUP(D328,records!$A:$U,10,FALSE)</f>
        <v>0012p00004UIjN0AAL</v>
      </c>
      <c r="P328" s="24" t="str">
        <f>VLOOKUP(D328,records!$A:$V,20,FALSE)</f>
        <v>FR47722721339</v>
      </c>
      <c r="Q328" s="24" t="str">
        <f>VLOOKUP(D328,records!$A:$V,12,FALSE)</f>
        <v>72 272 133 900 025</v>
      </c>
      <c r="R328" s="24" t="s">
        <v>1220</v>
      </c>
      <c r="S328" s="24" t="str">
        <f>VLOOKUP(D328,records!$A:$U,19,FALSE)</f>
        <v>suppliers@technoflex.net</v>
      </c>
      <c r="T328" s="26" t="s">
        <v>1221</v>
      </c>
      <c r="U328" s="26" t="s">
        <v>1222</v>
      </c>
      <c r="V328" s="26" t="str">
        <f>VLOOKUP($D328,records!$A:$V,3,FALSE)</f>
        <v>TECHNOFLEX sas</v>
      </c>
      <c r="W328" s="26"/>
      <c r="X328" s="26" t="str">
        <f>VLOOKUP($D328,records!$A:$V,9,FALSE)</f>
        <v>ZA de Bassilour</v>
      </c>
      <c r="Y328" s="26" t="str">
        <f>VLOOKUP($D328,records!$A:$V,4,FALSE)</f>
        <v>BIDART</v>
      </c>
      <c r="Z328" s="26" t="str">
        <f>VLOOKUP($D328,records!$A:$V,7,FALSE)</f>
        <v>64210</v>
      </c>
      <c r="AA328" s="26" t="s">
        <v>1223</v>
      </c>
      <c r="AB328" s="26">
        <f>VLOOKUP(O328,'records (2)'!$A:$Z,8,FALSE)</f>
        <v>30</v>
      </c>
      <c r="AC328" s="26" t="b">
        <v>0</v>
      </c>
      <c r="AD328" s="26"/>
      <c r="AE328" s="26"/>
      <c r="AF328" s="26" t="str">
        <f>VLOOKUP($D328,records!$A:$V,13,FALSE)</f>
        <v>TECHNOFLEX sas</v>
      </c>
      <c r="AG328" s="26" t="s">
        <v>1226</v>
      </c>
      <c r="AH328" s="26" t="str">
        <f>VLOOKUP($D328,records!$A:$V,19,FALSE)</f>
        <v>suppliers@technoflex.net</v>
      </c>
      <c r="AI328" s="26" t="str">
        <f>VLOOKUP($D328,records!$A:$V,14,FALSE)</f>
        <v>.</v>
      </c>
      <c r="AJ328" s="26" t="str">
        <f>VLOOKUP($O328,'records (2)'!$A:$Z,14,FALSE)</f>
        <v>003IV000010sxFuYAI</v>
      </c>
      <c r="AK328" s="26" t="str">
        <f>VLOOKUP($O328,'records (2)'!$A:$Z,15,FALSE)</f>
        <v>Benjamin HIALLE</v>
      </c>
      <c r="AL328" s="26" t="str">
        <f>VLOOKUP($O328,'records (2)'!$A:$Z,10,FALSE)</f>
        <v>003IV000010sxFuYAI</v>
      </c>
      <c r="AM328" s="26" t="str">
        <f>VLOOKUP($O328,'records (2)'!$A:$Z,11,FALSE)</f>
        <v>Benjamin HIALLE</v>
      </c>
      <c r="AN328" s="18">
        <v>1</v>
      </c>
      <c r="AO328" s="4">
        <v>1000</v>
      </c>
      <c r="AP328" s="4">
        <v>1000</v>
      </c>
      <c r="AQ328" s="20">
        <v>0</v>
      </c>
      <c r="AR328" s="6">
        <v>0</v>
      </c>
    </row>
    <row r="329" spans="1:44">
      <c r="A329" s="18" t="s">
        <v>913</v>
      </c>
      <c r="B329" s="18" t="s">
        <v>914</v>
      </c>
      <c r="C329" s="18" t="s">
        <v>915</v>
      </c>
      <c r="D329" s="18" t="s">
        <v>916</v>
      </c>
      <c r="E329" s="18" t="s">
        <v>52</v>
      </c>
      <c r="F329" s="18" t="s">
        <v>53</v>
      </c>
      <c r="G329" s="18"/>
      <c r="H329" s="19" t="s">
        <v>1216</v>
      </c>
      <c r="I329" s="23" t="s">
        <v>1217</v>
      </c>
      <c r="J329" s="24">
        <v>46023</v>
      </c>
      <c r="K329" s="24">
        <v>46387</v>
      </c>
      <c r="L329" s="24" t="s">
        <v>1218</v>
      </c>
      <c r="M329" s="24" t="s">
        <v>1219</v>
      </c>
      <c r="N329" s="24">
        <v>46023</v>
      </c>
      <c r="O329" s="24" t="str">
        <f>VLOOKUP(D329,records!$A:$U,10,FALSE)</f>
        <v>0012p00004RhCzzAAF</v>
      </c>
      <c r="P329" s="24" t="str">
        <f>VLOOKUP(D329,records!$A:$V,20,FALSE)</f>
        <v>FR11778304170</v>
      </c>
      <c r="Q329" s="24" t="str">
        <f>VLOOKUP(D329,records!$A:$V,12,FALSE)</f>
        <v>77 830 417 000 021</v>
      </c>
      <c r="R329" s="24" t="s">
        <v>1220</v>
      </c>
      <c r="S329" s="24" t="str">
        <f>VLOOKUP(D329,records!$A:$U,19,FALSE)</f>
        <v>suppliersaccounting@groupe-streit.com</v>
      </c>
      <c r="T329" s="26" t="s">
        <v>1221</v>
      </c>
      <c r="U329" s="26" t="s">
        <v>1222</v>
      </c>
      <c r="V329" s="26" t="str">
        <f>VLOOKUP($D329,records!$A:$V,3,FALSE)</f>
        <v>STREIT MECANIQUE sa</v>
      </c>
      <c r="W329" s="26"/>
      <c r="X329" s="26" t="str">
        <f>VLOOKUP($D329,records!$A:$V,9,FALSE)</f>
        <v>1486 Route de Soye</v>
      </c>
      <c r="Y329" s="26" t="str">
        <f>VLOOKUP($D329,records!$A:$V,4,FALSE)</f>
        <v>PAYS DE CLERVAL</v>
      </c>
      <c r="Z329" s="26" t="str">
        <f>VLOOKUP($D329,records!$A:$V,7,FALSE)</f>
        <v>25340</v>
      </c>
      <c r="AA329" s="26" t="s">
        <v>1223</v>
      </c>
      <c r="AB329" s="26">
        <f>VLOOKUP(O329,'records (2)'!$A:$Z,8,FALSE)</f>
        <v>30</v>
      </c>
      <c r="AC329" s="26" t="b">
        <v>0</v>
      </c>
      <c r="AD329" s="26"/>
      <c r="AE329" s="26"/>
      <c r="AF329" s="26" t="str">
        <f>VLOOKUP($D329,records!$A:$V,13,FALSE)</f>
        <v>STREIT MECANIQUE sa</v>
      </c>
      <c r="AG329" s="26" t="s">
        <v>1226</v>
      </c>
      <c r="AH329" s="26" t="str">
        <f>VLOOKUP($D329,records!$A:$V,19,FALSE)</f>
        <v>suppliersaccounting@groupe-streit.com</v>
      </c>
      <c r="AI329" s="26" t="str">
        <f>VLOOKUP($D329,records!$A:$V,14,FALSE)</f>
        <v>.</v>
      </c>
      <c r="AJ329" s="26" t="str">
        <f>VLOOKUP($O329,'records (2)'!$A:$Z,14,FALSE)</f>
        <v>003IV000010tPaUYAU</v>
      </c>
      <c r="AK329" s="26" t="str">
        <f>VLOOKUP($O329,'records (2)'!$A:$Z,15,FALSE)</f>
        <v>Vanessa SORDELET</v>
      </c>
      <c r="AL329" s="26" t="str">
        <f>VLOOKUP($O329,'records (2)'!$A:$Z,10,FALSE)</f>
        <v>003IV000010tPaUYAU</v>
      </c>
      <c r="AM329" s="26" t="str">
        <f>VLOOKUP($O329,'records (2)'!$A:$Z,11,FALSE)</f>
        <v>Vanessa SORDELET</v>
      </c>
      <c r="AN329" s="18">
        <v>1</v>
      </c>
      <c r="AO329" s="4">
        <v>500</v>
      </c>
      <c r="AP329" s="4">
        <v>500</v>
      </c>
      <c r="AQ329" s="20">
        <v>0</v>
      </c>
      <c r="AR329" s="6">
        <v>0</v>
      </c>
    </row>
    <row r="330" spans="1:44">
      <c r="A330" s="18" t="s">
        <v>1058</v>
      </c>
      <c r="B330" s="18" t="s">
        <v>1059</v>
      </c>
      <c r="C330" s="18" t="s">
        <v>1059</v>
      </c>
      <c r="D330" s="18" t="s">
        <v>1060</v>
      </c>
      <c r="E330" s="18" t="s">
        <v>52</v>
      </c>
      <c r="F330" s="18" t="s">
        <v>53</v>
      </c>
      <c r="G330" s="18"/>
      <c r="H330" s="19" t="s">
        <v>1216</v>
      </c>
      <c r="I330" s="23" t="s">
        <v>1217</v>
      </c>
      <c r="J330" s="24">
        <v>46023</v>
      </c>
      <c r="K330" s="24">
        <v>46387</v>
      </c>
      <c r="L330" s="24" t="s">
        <v>1218</v>
      </c>
      <c r="M330" s="24" t="s">
        <v>1219</v>
      </c>
      <c r="N330" s="24">
        <v>46023</v>
      </c>
      <c r="O330" s="24" t="str">
        <f>VLOOKUP(D330,records!$A:$U,10,FALSE)</f>
        <v>001SZ00000ITty7YAD</v>
      </c>
      <c r="P330" s="24" t="str">
        <f>VLOOKUP(D330,records!$A:$V,20,FALSE)</f>
        <v>FR32897080289</v>
      </c>
      <c r="Q330" s="24" t="str">
        <f>VLOOKUP(D330,records!$A:$V,12,FALSE)</f>
        <v>89 708 028 900 027</v>
      </c>
      <c r="R330" s="24" t="s">
        <v>1220</v>
      </c>
      <c r="S330" s="24" t="str">
        <f>VLOOKUP(D330,records!$A:$U,19,FALSE)</f>
        <v>suppliersinvoice@deltadore.com</v>
      </c>
      <c r="T330" s="26" t="s">
        <v>1221</v>
      </c>
      <c r="U330" s="26" t="s">
        <v>1222</v>
      </c>
      <c r="V330" s="26" t="str">
        <f>VLOOKUP($D330,records!$A:$V,3,FALSE)</f>
        <v>DELTA DORE sa</v>
      </c>
      <c r="W330" s="26" t="str">
        <f>IFERROR(VLOOKUP($D330,records!$A:$V,6,FALSE),)</f>
        <v>Comptabilité fournisseurs</v>
      </c>
      <c r="X330" s="26" t="str">
        <f>VLOOKUP($D330,records!$A:$V,9,FALSE)</f>
        <v>Le Vieux Chêne</v>
      </c>
      <c r="Y330" s="26" t="str">
        <f>VLOOKUP($D330,records!$A:$V,4,FALSE)</f>
        <v>BONNEMAIN</v>
      </c>
      <c r="Z330" s="26" t="str">
        <f>VLOOKUP($D330,records!$A:$V,7,FALSE)</f>
        <v>35270</v>
      </c>
      <c r="AA330" s="26" t="s">
        <v>1223</v>
      </c>
      <c r="AB330" s="26">
        <f>VLOOKUP(O330,'records (2)'!$A:$Z,8,FALSE)</f>
        <v>30</v>
      </c>
      <c r="AC330" s="26" t="b">
        <f>VLOOKUP(O330,'records (4)'!$A:$C,3,FALSE)</f>
        <v>1</v>
      </c>
      <c r="AD330" s="26" t="s">
        <v>1225</v>
      </c>
      <c r="AE330" s="24">
        <v>46023</v>
      </c>
      <c r="AF330" s="26" t="str">
        <f>VLOOKUP($D330,records!$A:$V,13,FALSE)</f>
        <v>DELTA DORE sa</v>
      </c>
      <c r="AG330" s="26" t="s">
        <v>1226</v>
      </c>
      <c r="AH330" s="26" t="str">
        <f>VLOOKUP($D330,records!$A:$V,19,FALSE)</f>
        <v>suppliersinvoice@deltadore.com</v>
      </c>
      <c r="AI330" s="26" t="str">
        <f>VLOOKUP($D330,records!$A:$V,14,FALSE)</f>
        <v>.</v>
      </c>
      <c r="AJ330" s="26" t="str">
        <f>VLOOKUP($O330,'records (2)'!$A:$Z,14,FALSE)</f>
        <v>003IV000010tJZqYAM</v>
      </c>
      <c r="AK330" s="26" t="str">
        <f>VLOOKUP($O330,'records (2)'!$A:$Z,15,FALSE)</f>
        <v>Chantal ADAM</v>
      </c>
      <c r="AL330" s="26" t="str">
        <f>VLOOKUP($O330,'records (2)'!$A:$Z,10,FALSE)</f>
        <v>003IV000010tJZqYAM</v>
      </c>
      <c r="AM330" s="26" t="str">
        <f>VLOOKUP($O330,'records (2)'!$A:$Z,11,FALSE)</f>
        <v>Chantal ADAM</v>
      </c>
      <c r="AN330" s="18">
        <v>1</v>
      </c>
      <c r="AO330" s="4">
        <v>500</v>
      </c>
      <c r="AP330" s="4">
        <v>500</v>
      </c>
      <c r="AQ330" s="20">
        <v>0</v>
      </c>
      <c r="AR330" s="6">
        <v>0</v>
      </c>
    </row>
    <row r="331" spans="1:44">
      <c r="A331" s="18" t="s">
        <v>37</v>
      </c>
      <c r="B331" s="18" t="s">
        <v>38</v>
      </c>
      <c r="C331" s="18" t="s">
        <v>39</v>
      </c>
      <c r="D331" s="18" t="s">
        <v>40</v>
      </c>
      <c r="E331" s="18" t="s">
        <v>23</v>
      </c>
      <c r="F331" s="18" t="s">
        <v>24</v>
      </c>
      <c r="G331" s="18"/>
      <c r="H331" s="19" t="s">
        <v>1216</v>
      </c>
      <c r="I331" s="23" t="s">
        <v>1217</v>
      </c>
      <c r="J331" s="24">
        <v>46023</v>
      </c>
      <c r="K331" s="24">
        <v>46387</v>
      </c>
      <c r="L331" s="24" t="s">
        <v>1218</v>
      </c>
      <c r="M331" s="24" t="s">
        <v>1219</v>
      </c>
      <c r="N331" s="24">
        <v>46023</v>
      </c>
      <c r="O331" s="24" t="str">
        <f>VLOOKUP(D331,records!$A:$U,10,FALSE)</f>
        <v>0012p00004RJ3pmAAD</v>
      </c>
      <c r="P331" s="24" t="str">
        <f>VLOOKUP(D331,records!$A:$V,20,FALSE)</f>
        <v>FR76475483319</v>
      </c>
      <c r="Q331" s="24" t="str">
        <f>VLOOKUP(D331,records!$A:$V,12,FALSE)</f>
        <v>47 548 331 903 685</v>
      </c>
      <c r="R331" s="24" t="s">
        <v>1220</v>
      </c>
      <c r="S331" s="24" t="str">
        <f>VLOOKUP(D331,records!$A:$U,19,FALSE)</f>
        <v>swaryn@graindemalice.com</v>
      </c>
      <c r="T331" s="26" t="s">
        <v>1221</v>
      </c>
      <c r="U331" s="26" t="s">
        <v>1222</v>
      </c>
      <c r="V331" s="26" t="str">
        <f>VLOOKUP($D331,records!$A:$V,3,FALSE)</f>
        <v>EPHIGEA sasu</v>
      </c>
      <c r="W331" s="26"/>
      <c r="X331" s="26" t="str">
        <f>VLOOKUP($D331,records!$A:$V,9,FALSE)</f>
        <v>1 rue de la Couture - Le Hub Bâtiment A - 
 Zone de la Pilaterie - CS 76015</v>
      </c>
      <c r="Y331" s="26" t="str">
        <f>VLOOKUP($D331,records!$A:$V,4,FALSE)</f>
        <v>MARCQ EN BAROEUL</v>
      </c>
      <c r="Z331" s="26" t="str">
        <f>VLOOKUP($D331,records!$A:$V,7,FALSE)</f>
        <v>59700</v>
      </c>
      <c r="AA331" s="26" t="s">
        <v>1223</v>
      </c>
      <c r="AB331" s="26">
        <f>VLOOKUP(O331,'records (2)'!$A:$Z,8,FALSE)</f>
        <v>30</v>
      </c>
      <c r="AC331" s="26" t="b">
        <v>0</v>
      </c>
      <c r="AD331" s="26"/>
      <c r="AE331" s="26"/>
      <c r="AF331" s="26" t="str">
        <f>VLOOKUP($D331,records!$A:$V,13,FALSE)</f>
        <v>EPHIGEA sasu</v>
      </c>
      <c r="AG331" s="26" t="s">
        <v>1226</v>
      </c>
      <c r="AH331" s="26" t="str">
        <f>VLOOKUP($D331,records!$A:$V,19,FALSE)</f>
        <v>swaryn@graindemalice.com</v>
      </c>
      <c r="AI331" s="26" t="str">
        <f>VLOOKUP($D331,records!$A:$V,14,FALSE)</f>
        <v>.</v>
      </c>
      <c r="AJ331" s="26" t="str">
        <f>VLOOKUP($O331,'records (2)'!$A:$Z,14,FALSE)</f>
        <v>003IV000010su99YAA</v>
      </c>
      <c r="AK331" s="26" t="str">
        <f>VLOOKUP($O331,'records (2)'!$A:$Z,15,FALSE)</f>
        <v>Jalila TRIKAS</v>
      </c>
      <c r="AL331" s="26" t="str">
        <f>VLOOKUP($O331,'records (2)'!$A:$Z,10,FALSE)</f>
        <v>003IV000010su9AYAQ</v>
      </c>
      <c r="AM331" s="26" t="str">
        <f>VLOOKUP($O331,'records (2)'!$A:$Z,11,FALSE)</f>
        <v>Stéphane WARYN</v>
      </c>
      <c r="AN331" s="18">
        <v>1</v>
      </c>
      <c r="AO331" s="4">
        <v>4200</v>
      </c>
      <c r="AP331" s="4">
        <v>4200</v>
      </c>
      <c r="AQ331" s="20">
        <v>0</v>
      </c>
      <c r="AR331" s="6">
        <v>0</v>
      </c>
    </row>
    <row r="332" spans="1:44">
      <c r="A332" s="18" t="s">
        <v>584</v>
      </c>
      <c r="B332" s="18" t="s">
        <v>585</v>
      </c>
      <c r="C332" s="18" t="s">
        <v>585</v>
      </c>
      <c r="D332" s="18" t="s">
        <v>586</v>
      </c>
      <c r="E332" s="18" t="s">
        <v>52</v>
      </c>
      <c r="F332" s="18" t="s">
        <v>53</v>
      </c>
      <c r="G332" s="18"/>
      <c r="H332" s="19" t="s">
        <v>1216</v>
      </c>
      <c r="I332" s="23" t="s">
        <v>1217</v>
      </c>
      <c r="J332" s="24">
        <v>46023</v>
      </c>
      <c r="K332" s="24">
        <v>46387</v>
      </c>
      <c r="L332" s="24" t="s">
        <v>1218</v>
      </c>
      <c r="M332" s="24" t="s">
        <v>1219</v>
      </c>
      <c r="N332" s="24">
        <v>46023</v>
      </c>
      <c r="O332" s="24" t="str">
        <f>VLOOKUP(D332,records!$A:$U,10,FALSE)</f>
        <v>0012p00004RKGI0AAP</v>
      </c>
      <c r="P332" s="24" t="str">
        <f>VLOOKUP(D332,records!$A:$V,20,FALSE)</f>
        <v>FR65017150038</v>
      </c>
      <c r="Q332" s="24" t="str">
        <f>VLOOKUP(D332,records!$A:$V,12,FALSE)</f>
        <v>1 715 003 800 010</v>
      </c>
      <c r="R332" s="24" t="s">
        <v>1220</v>
      </c>
      <c r="S332" s="24" t="str">
        <f>VLOOKUP(D332,records!$A:$U,19,FALSE)</f>
        <v>tboilleaut@moutarde.com</v>
      </c>
      <c r="T332" s="26" t="s">
        <v>1221</v>
      </c>
      <c r="U332" s="26" t="s">
        <v>1222</v>
      </c>
      <c r="V332" s="26" t="str">
        <f>VLOOKUP($D332,records!$A:$V,3,FALSE)</f>
        <v>EUROPEENNE DE CONDIMENTS sasu</v>
      </c>
      <c r="W332" s="26" t="str">
        <f>IFERROR(VLOOKUP($D332,records!$A:$V,6,FALSE),)</f>
        <v>Finance-comptablité</v>
      </c>
      <c r="X332" s="26" t="str">
        <f>VLOOKUP($D332,records!$A:$V,9,FALSE)</f>
        <v>7 rue Jean Moulin</v>
      </c>
      <c r="Y332" s="26" t="str">
        <f>VLOOKUP($D332,records!$A:$V,4,FALSE)</f>
        <v>COUCHEY</v>
      </c>
      <c r="Z332" s="26" t="str">
        <f>VLOOKUP($D332,records!$A:$V,7,FALSE)</f>
        <v>21160</v>
      </c>
      <c r="AA332" s="26" t="s">
        <v>1223</v>
      </c>
      <c r="AB332" s="26">
        <f>VLOOKUP(O332,'records (2)'!$A:$Z,8,FALSE)</f>
        <v>30</v>
      </c>
      <c r="AC332" s="26" t="b">
        <v>0</v>
      </c>
      <c r="AD332" s="26"/>
      <c r="AE332" s="26"/>
      <c r="AF332" s="26" t="str">
        <f>VLOOKUP($D332,records!$A:$V,13,FALSE)</f>
        <v>EUROPEENNE DE CONDIMENTS sasu</v>
      </c>
      <c r="AG332" s="26" t="s">
        <v>1226</v>
      </c>
      <c r="AH332" s="26" t="str">
        <f>VLOOKUP($D332,records!$A:$V,19,FALSE)</f>
        <v>tboilleaut@moutarde.com</v>
      </c>
      <c r="AI332" s="26" t="str">
        <f>VLOOKUP($D332,records!$A:$V,14,FALSE)</f>
        <v>.</v>
      </c>
      <c r="AJ332" s="26" t="str">
        <f>VLOOKUP($O332,'records (2)'!$A:$Z,14,FALSE)</f>
        <v>003IV000010tRWiYAM</v>
      </c>
      <c r="AK332" s="26" t="str">
        <f>VLOOKUP($O332,'records (2)'!$A:$Z,15,FALSE)</f>
        <v>Tiphaine BOILLEAUT</v>
      </c>
      <c r="AL332" s="26" t="str">
        <f>VLOOKUP($O332,'records (2)'!$A:$Z,10,FALSE)</f>
        <v>003IV000010tIdoYAE</v>
      </c>
      <c r="AM332" s="26" t="str">
        <f>VLOOKUP($O332,'records (2)'!$A:$Z,11,FALSE)</f>
        <v>Christelle PERNET</v>
      </c>
      <c r="AN332" s="18">
        <v>1</v>
      </c>
      <c r="AO332" s="4">
        <v>500</v>
      </c>
      <c r="AP332" s="4">
        <v>500</v>
      </c>
      <c r="AQ332" s="20">
        <v>0</v>
      </c>
      <c r="AR332" s="6">
        <v>0</v>
      </c>
    </row>
    <row r="333" spans="1:44">
      <c r="A333" s="18" t="s">
        <v>684</v>
      </c>
      <c r="B333" s="18" t="s">
        <v>685</v>
      </c>
      <c r="C333" s="18" t="s">
        <v>686</v>
      </c>
      <c r="D333" s="18" t="s">
        <v>687</v>
      </c>
      <c r="E333" s="18" t="s">
        <v>52</v>
      </c>
      <c r="F333" s="18" t="s">
        <v>53</v>
      </c>
      <c r="G333" s="18"/>
      <c r="H333" s="19" t="s">
        <v>1216</v>
      </c>
      <c r="I333" s="23" t="s">
        <v>1217</v>
      </c>
      <c r="J333" s="24">
        <v>46023</v>
      </c>
      <c r="K333" s="24">
        <v>46387</v>
      </c>
      <c r="L333" s="24" t="s">
        <v>1218</v>
      </c>
      <c r="M333" s="24" t="s">
        <v>1219</v>
      </c>
      <c r="N333" s="24">
        <v>46023</v>
      </c>
      <c r="O333" s="24" t="str">
        <f>VLOOKUP(D333,records!$A:$U,10,FALSE)</f>
        <v>001SZ000001wmwaYAA</v>
      </c>
      <c r="P333" s="24" t="str">
        <f>VLOOKUP(D333,records!$A:$V,20,FALSE)</f>
        <v>FR42815186846</v>
      </c>
      <c r="Q333" s="24" t="str">
        <f>VLOOKUP(D333,records!$A:$V,12,FALSE)</f>
        <v>81 518 684 600 011</v>
      </c>
      <c r="R333" s="24" t="s">
        <v>1220</v>
      </c>
      <c r="S333" s="24" t="str">
        <f>VLOOKUP(D333,records!$A:$U,19,FALSE)</f>
        <v>thierry.doyennel@hamelinbrands.com</v>
      </c>
      <c r="T333" s="26" t="s">
        <v>1221</v>
      </c>
      <c r="U333" s="26" t="s">
        <v>1222</v>
      </c>
      <c r="V333" s="26" t="str">
        <f>VLOOKUP($D333,records!$A:$V,3,FALSE)</f>
        <v>FINHAM sas</v>
      </c>
      <c r="W333" s="26"/>
      <c r="X333" s="26" t="str">
        <f>VLOOKUP($D333,records!$A:$V,9,FALSE)</f>
        <v>1 Rue du Campus</v>
      </c>
      <c r="Y333" s="26" t="str">
        <f>VLOOKUP($D333,records!$A:$V,4,FALSE)</f>
        <v>HEROUVILLE SAINT CLAIR</v>
      </c>
      <c r="Z333" s="26" t="str">
        <f>VLOOKUP($D333,records!$A:$V,7,FALSE)</f>
        <v>14200</v>
      </c>
      <c r="AA333" s="26" t="s">
        <v>1223</v>
      </c>
      <c r="AB333" s="26">
        <f>VLOOKUP(O333,'records (2)'!$A:$Z,8,FALSE)</f>
        <v>30</v>
      </c>
      <c r="AC333" s="26" t="b">
        <v>0</v>
      </c>
      <c r="AD333" s="26"/>
      <c r="AE333" s="26"/>
      <c r="AF333" s="26" t="str">
        <f>VLOOKUP($D333,records!$A:$V,13,FALSE)</f>
        <v>FINHAM sas</v>
      </c>
      <c r="AG333" s="26" t="s">
        <v>1226</v>
      </c>
      <c r="AH333" s="26" t="str">
        <f>VLOOKUP($D333,records!$A:$V,19,FALSE)</f>
        <v>thierry.doyennel@hamelinbrands.com</v>
      </c>
      <c r="AI333" s="26" t="str">
        <f>VLOOKUP($D333,records!$A:$V,14,FALSE)</f>
        <v>.</v>
      </c>
      <c r="AJ333" s="26" t="str">
        <f>VLOOKUP($O333,'records (2)'!$A:$Z,14,FALSE)</f>
        <v>003IV000010su88YAA</v>
      </c>
      <c r="AK333" s="26" t="str">
        <f>VLOOKUP($O333,'records (2)'!$A:$Z,15,FALSE)</f>
        <v>Thierry DOYENNEL</v>
      </c>
      <c r="AL333" s="26" t="str">
        <f>VLOOKUP($O333,'records (2)'!$A:$Z,10,FALSE)</f>
        <v>003IV000010su88YAA</v>
      </c>
      <c r="AM333" s="26" t="str">
        <f>VLOOKUP($O333,'records (2)'!$A:$Z,11,FALSE)</f>
        <v>Thierry DOYENNEL</v>
      </c>
      <c r="AN333" s="18">
        <v>1</v>
      </c>
      <c r="AO333" s="4">
        <v>1500</v>
      </c>
      <c r="AP333" s="4">
        <v>1500</v>
      </c>
      <c r="AQ333" s="20">
        <v>0</v>
      </c>
      <c r="AR333" s="6">
        <v>0</v>
      </c>
    </row>
    <row r="334" spans="1:44">
      <c r="A334" s="18" t="s">
        <v>505</v>
      </c>
      <c r="B334" s="18" t="s">
        <v>506</v>
      </c>
      <c r="C334" s="18" t="s">
        <v>506</v>
      </c>
      <c r="D334" s="18" t="s">
        <v>507</v>
      </c>
      <c r="E334" s="18" t="s">
        <v>52</v>
      </c>
      <c r="F334" s="18" t="s">
        <v>53</v>
      </c>
      <c r="G334" s="18"/>
      <c r="H334" s="19" t="s">
        <v>1216</v>
      </c>
      <c r="I334" s="23" t="s">
        <v>1217</v>
      </c>
      <c r="J334" s="24">
        <v>46023</v>
      </c>
      <c r="K334" s="24">
        <v>46387</v>
      </c>
      <c r="L334" s="24" t="s">
        <v>1218</v>
      </c>
      <c r="M334" s="24" t="s">
        <v>1219</v>
      </c>
      <c r="N334" s="24">
        <v>46023</v>
      </c>
      <c r="O334" s="24" t="str">
        <f>VLOOKUP(D334,records!$A:$U,10,FALSE)</f>
        <v>0012p00004NfVooAAF</v>
      </c>
      <c r="P334" s="24" t="str">
        <f>VLOOKUP(D334,records!$A:$V,20,FALSE)</f>
        <v>FR06420743221</v>
      </c>
      <c r="Q334" s="24" t="str">
        <f>VLOOKUP(D334,records!$A:$V,12,FALSE)</f>
        <v>420 743 221</v>
      </c>
      <c r="R334" s="24" t="s">
        <v>1220</v>
      </c>
      <c r="S334" s="24" t="str">
        <f>VLOOKUP(D334,records!$A:$U,19,FALSE)</f>
        <v>tiphaine.lepottier@lecta.com</v>
      </c>
      <c r="T334" s="26" t="s">
        <v>1221</v>
      </c>
      <c r="U334" s="26" t="s">
        <v>1222</v>
      </c>
      <c r="V334" s="26" t="str">
        <f>VLOOKUP($D334,records!$A:$V,3,FALSE)</f>
        <v>CONDAT sasu</v>
      </c>
      <c r="W334" s="26"/>
      <c r="X334" s="26" t="str">
        <f>VLOOKUP($D334,records!$A:$V,9,FALSE)</f>
        <v>23 Avenue Georges Haupinot</v>
      </c>
      <c r="Y334" s="26" t="str">
        <f>VLOOKUP($D334,records!$A:$V,4,FALSE)</f>
        <v>LE LARDIN ST LAZARE</v>
      </c>
      <c r="Z334" s="26" t="str">
        <f>VLOOKUP($D334,records!$A:$V,7,FALSE)</f>
        <v>24570</v>
      </c>
      <c r="AA334" s="26" t="s">
        <v>1223</v>
      </c>
      <c r="AB334" s="26">
        <f>VLOOKUP(O334,'records (2)'!$A:$Z,8,FALSE)</f>
        <v>30</v>
      </c>
      <c r="AC334" s="26" t="b">
        <v>0</v>
      </c>
      <c r="AD334" s="26"/>
      <c r="AE334" s="26"/>
      <c r="AF334" s="26" t="str">
        <f>VLOOKUP($D334,records!$A:$V,13,FALSE)</f>
        <v>CONDAT sasu</v>
      </c>
      <c r="AG334" s="26" t="s">
        <v>1226</v>
      </c>
      <c r="AH334" s="26" t="str">
        <f>VLOOKUP($D334,records!$A:$V,19,FALSE)</f>
        <v>tiphaine.lepottier@lecta.com</v>
      </c>
      <c r="AI334" s="26" t="s">
        <v>1233</v>
      </c>
      <c r="AJ334" s="26" t="str">
        <f>VLOOKUP($O334,'records (2)'!$A:$Z,14,FALSE)</f>
        <v>003IV000010sxGMYAY</v>
      </c>
      <c r="AK334" s="26" t="str">
        <f>VLOOKUP($O334,'records (2)'!$A:$Z,15,FALSE)</f>
        <v>Fabienne DUFOUR</v>
      </c>
      <c r="AL334" s="26" t="str">
        <f>VLOOKUP($O334,'records (2)'!$A:$Z,10,FALSE)</f>
        <v>003IV000010sxGMYAY</v>
      </c>
      <c r="AM334" s="26" t="str">
        <f>VLOOKUP($O334,'records (2)'!$A:$Z,11,FALSE)</f>
        <v>Fabienne DUFOUR</v>
      </c>
      <c r="AN334" s="18">
        <v>1</v>
      </c>
      <c r="AO334" s="4">
        <v>500</v>
      </c>
      <c r="AP334" s="4">
        <v>500</v>
      </c>
      <c r="AQ334" s="20">
        <v>0</v>
      </c>
      <c r="AR334" s="6">
        <v>0</v>
      </c>
    </row>
    <row r="335" spans="1:44">
      <c r="A335" s="18" t="s">
        <v>54</v>
      </c>
      <c r="B335" s="18" t="s">
        <v>55</v>
      </c>
      <c r="C335" s="18" t="s">
        <v>56</v>
      </c>
      <c r="D335" s="18" t="s">
        <v>57</v>
      </c>
      <c r="E335" s="18" t="s">
        <v>16</v>
      </c>
      <c r="F335" s="18" t="s">
        <v>17</v>
      </c>
      <c r="G335" s="18"/>
      <c r="H335" s="19" t="s">
        <v>1216</v>
      </c>
      <c r="I335" s="23" t="s">
        <v>1217</v>
      </c>
      <c r="J335" s="24">
        <v>46023</v>
      </c>
      <c r="K335" s="24">
        <v>46387</v>
      </c>
      <c r="L335" s="24" t="s">
        <v>1218</v>
      </c>
      <c r="M335" s="24" t="s">
        <v>1219</v>
      </c>
      <c r="N335" s="24">
        <v>46023</v>
      </c>
      <c r="O335" s="24" t="str">
        <f>VLOOKUP(D335,records!$A:$U,10,FALSE)</f>
        <v>0012p00004Qwrm7AAB</v>
      </c>
      <c r="P335" s="24" t="str">
        <f>VLOOKUP(D335,records!$A:$V,20,FALSE)</f>
        <v>FR24656850054</v>
      </c>
      <c r="Q335" s="24" t="str">
        <f>VLOOKUP(D335,records!$A:$V,12,FALSE)</f>
        <v>65 685 005 400 098</v>
      </c>
      <c r="R335" s="24" t="s">
        <v>1220</v>
      </c>
      <c r="S335" s="24" t="str">
        <f>VLOOKUP(D335,records!$A:$U,19,FALSE)</f>
        <v>valerie.chantelauze@gcpat.com</v>
      </c>
      <c r="T335" s="26" t="s">
        <v>1221</v>
      </c>
      <c r="U335" s="26" t="s">
        <v>1222</v>
      </c>
      <c r="V335" s="26" t="str">
        <f>VLOOKUP($D335,records!$A:$V,3,FALSE)</f>
        <v>GCP PRODUITS DE CONSTRUCTION SAS</v>
      </c>
      <c r="W335" s="26"/>
      <c r="X335" s="26" t="str">
        <f>VLOOKUP($D335,records!$A:$V,9,FALSE)</f>
        <v>ZA Les Foulletons</v>
      </c>
      <c r="Y335" s="26" t="str">
        <f>VLOOKUP($D335,records!$A:$V,4,FALSE)</f>
        <v>LARNAUD</v>
      </c>
      <c r="Z335" s="26" t="str">
        <f>VLOOKUP($D335,records!$A:$V,7,FALSE)</f>
        <v>39140</v>
      </c>
      <c r="AA335" s="26" t="s">
        <v>1223</v>
      </c>
      <c r="AB335" s="26">
        <f>VLOOKUP(O335,'records (2)'!$A:$Z,8,FALSE)</f>
        <v>30</v>
      </c>
      <c r="AC335" s="26" t="b">
        <v>0</v>
      </c>
      <c r="AD335" s="26"/>
      <c r="AE335" s="26"/>
      <c r="AF335" s="26" t="str">
        <f>VLOOKUP($D335,records!$A:$V,13,FALSE)</f>
        <v>GCP PRODUITS DE CONSTRUCTION SAS</v>
      </c>
      <c r="AG335" s="26" t="s">
        <v>1226</v>
      </c>
      <c r="AH335" s="26" t="str">
        <f>VLOOKUP($D335,records!$A:$V,19,FALSE)</f>
        <v>valerie.chantelauze@gcpat.com</v>
      </c>
      <c r="AI335" s="26" t="str">
        <f>VLOOKUP($D335,records!$A:$V,14,FALSE)</f>
        <v>.</v>
      </c>
      <c r="AJ335" s="26" t="str">
        <f>VLOOKUP($O335,'records (2)'!$A:$Z,14,FALSE)</f>
        <v>003IV000010sxGnYAI</v>
      </c>
      <c r="AK335" s="26" t="str">
        <f>VLOOKUP($O335,'records (2)'!$A:$Z,15,FALSE)</f>
        <v>Valérie CHANTELAUZE</v>
      </c>
      <c r="AL335" s="26" t="str">
        <f>VLOOKUP($O335,'records (2)'!$A:$Z,10,FALSE)</f>
        <v>003IV000010sxGnYAI</v>
      </c>
      <c r="AM335" s="26" t="str">
        <f>VLOOKUP($O335,'records (2)'!$A:$Z,11,FALSE)</f>
        <v>Valérie CHANTELAUZE</v>
      </c>
      <c r="AN335" s="18">
        <v>1</v>
      </c>
      <c r="AO335" s="4">
        <v>1000</v>
      </c>
      <c r="AP335" s="4">
        <v>1000</v>
      </c>
      <c r="AQ335" s="20">
        <v>0</v>
      </c>
      <c r="AR335" s="6">
        <v>0</v>
      </c>
    </row>
    <row r="336" spans="1:44">
      <c r="A336" s="18" t="s">
        <v>440</v>
      </c>
      <c r="B336" s="18" t="s">
        <v>441</v>
      </c>
      <c r="C336" s="18" t="s">
        <v>442</v>
      </c>
      <c r="D336" s="18" t="s">
        <v>443</v>
      </c>
      <c r="E336" s="18" t="s">
        <v>52</v>
      </c>
      <c r="F336" s="18" t="s">
        <v>53</v>
      </c>
      <c r="G336" s="18"/>
      <c r="H336" s="19" t="s">
        <v>1216</v>
      </c>
      <c r="I336" s="23" t="s">
        <v>1217</v>
      </c>
      <c r="J336" s="24">
        <v>46023</v>
      </c>
      <c r="K336" s="24">
        <v>46387</v>
      </c>
      <c r="L336" s="24" t="s">
        <v>1218</v>
      </c>
      <c r="M336" s="24" t="s">
        <v>1219</v>
      </c>
      <c r="N336" s="24">
        <v>46023</v>
      </c>
      <c r="O336" s="24" t="str">
        <f>VLOOKUP(D336,records!$A:$U,10,FALSE)</f>
        <v>001SZ000002LasDYAS</v>
      </c>
      <c r="P336" s="24" t="str">
        <f>VLOOKUP(D336,records!$A:$V,20,FALSE)</f>
        <v>FR07352948434</v>
      </c>
      <c r="Q336" s="24" t="str">
        <f>VLOOKUP(D336,records!$A:$V,12,FALSE)</f>
        <v>35 294 843 400 019</v>
      </c>
      <c r="R336" s="24" t="s">
        <v>1220</v>
      </c>
      <c r="S336" s="24" t="str">
        <f>VLOOKUP(D336,records!$A:$U,19,FALSE)</f>
        <v>vendor1007@araymond.com</v>
      </c>
      <c r="T336" s="26" t="s">
        <v>1221</v>
      </c>
      <c r="U336" s="26" t="s">
        <v>1222</v>
      </c>
      <c r="V336" s="26" t="str">
        <f>VLOOKUP($D336,records!$A:$V,3,FALSE)</f>
        <v>ARaymond France SAS</v>
      </c>
      <c r="W336" s="26"/>
      <c r="X336" s="26" t="str">
        <f>VLOOKUP($D336,records!$A:$V,9,FALSE)</f>
        <v>113 Cours Berriat - BP 157</v>
      </c>
      <c r="Y336" s="26" t="str">
        <f>VLOOKUP($D336,records!$A:$V,4,FALSE)</f>
        <v>GRENOBLE CEDEX 1</v>
      </c>
      <c r="Z336" s="26" t="str">
        <f>VLOOKUP($D336,records!$A:$V,7,FALSE)</f>
        <v>38019</v>
      </c>
      <c r="AA336" s="26" t="s">
        <v>1223</v>
      </c>
      <c r="AB336" s="26">
        <f>VLOOKUP(O336,'records (2)'!$A:$Z,8,FALSE)</f>
        <v>45</v>
      </c>
      <c r="AC336" s="26" t="b">
        <f>VLOOKUP(O336,'records (4)'!$A:$C,3,FALSE)</f>
        <v>1</v>
      </c>
      <c r="AD336" s="26" t="s">
        <v>1225</v>
      </c>
      <c r="AE336" s="24">
        <v>46023</v>
      </c>
      <c r="AF336" s="26" t="str">
        <f>VLOOKUP($D336,records!$A:$V,13,FALSE)</f>
        <v>ARaymond France SAS</v>
      </c>
      <c r="AG336" s="26" t="s">
        <v>1226</v>
      </c>
      <c r="AH336" s="26" t="str">
        <f>VLOOKUP($D336,records!$A:$V,19,FALSE)</f>
        <v>vendor1007@araymond.com</v>
      </c>
      <c r="AI336" s="26" t="str">
        <f>VLOOKUP($D336,records!$A:$V,14,FALSE)</f>
        <v>.</v>
      </c>
      <c r="AJ336" s="26" t="str">
        <f>VLOOKUP($O336,'records (2)'!$A:$Z,14,FALSE)</f>
        <v>003IV000010su8SYAQ</v>
      </c>
      <c r="AK336" s="26" t="str">
        <f>VLOOKUP($O336,'records (2)'!$A:$Z,15,FALSE)</f>
        <v>Ingrid BEAU</v>
      </c>
      <c r="AL336" s="26" t="str">
        <f>VLOOKUP($O336,'records (2)'!$A:$Z,10,FALSE)</f>
        <v>003IV000010su8SYAQ</v>
      </c>
      <c r="AM336" s="26" t="str">
        <f>VLOOKUP($O336,'records (2)'!$A:$Z,11,FALSE)</f>
        <v>Ingrid BEAU</v>
      </c>
      <c r="AN336" s="18">
        <v>1</v>
      </c>
      <c r="AO336" s="4">
        <v>3500</v>
      </c>
      <c r="AP336" s="4">
        <v>3500</v>
      </c>
      <c r="AQ336" s="20">
        <v>0</v>
      </c>
      <c r="AR336" s="6">
        <v>0</v>
      </c>
    </row>
    <row r="337" spans="1:44">
      <c r="A337" s="18" t="s">
        <v>1131</v>
      </c>
      <c r="B337" s="18" t="s">
        <v>1132</v>
      </c>
      <c r="C337" s="18" t="s">
        <v>1133</v>
      </c>
      <c r="D337" s="18" t="s">
        <v>1134</v>
      </c>
      <c r="E337" s="18" t="s">
        <v>52</v>
      </c>
      <c r="F337" s="18" t="s">
        <v>53</v>
      </c>
      <c r="G337" s="18"/>
      <c r="H337" s="19" t="s">
        <v>1216</v>
      </c>
      <c r="I337" s="23" t="s">
        <v>1217</v>
      </c>
      <c r="J337" s="24">
        <v>46023</v>
      </c>
      <c r="K337" s="24">
        <v>46387</v>
      </c>
      <c r="L337" s="24" t="s">
        <v>1218</v>
      </c>
      <c r="M337" s="24" t="s">
        <v>1219</v>
      </c>
      <c r="N337" s="24">
        <v>46023</v>
      </c>
      <c r="O337" s="24" t="str">
        <f>VLOOKUP(D337,records!$A:$U,10,FALSE)</f>
        <v>001SZ000002LbugYAC</v>
      </c>
      <c r="P337" s="24" t="str">
        <f>VLOOKUP(D337,records!$A:$V,20,FALSE)</f>
        <v>FR68824652341</v>
      </c>
      <c r="Q337" s="24" t="str">
        <f>VLOOKUP(D337,records!$A:$V,12,FALSE)</f>
        <v>82 465 234 100 028</v>
      </c>
      <c r="R337" s="24" t="s">
        <v>1220</v>
      </c>
      <c r="S337" s="24" t="str">
        <f>VLOOKUP(D337,records!$A:$U,19,FALSE)</f>
        <v>vendor1013@araymond.com</v>
      </c>
      <c r="T337" s="26" t="s">
        <v>1221</v>
      </c>
      <c r="U337" s="26" t="s">
        <v>1222</v>
      </c>
      <c r="V337" s="26" t="str">
        <f>VLOOKUP($D337,records!$A:$V,3,FALSE)</f>
        <v>ARAYMOND FLUID CONNECTION FRANCE sasu</v>
      </c>
      <c r="W337" s="26"/>
      <c r="X337" s="26" t="str">
        <f>VLOOKUP($D337,records!$A:$V,9,FALSE)</f>
        <v>123 Rue Hilaire de Chardonnet</v>
      </c>
      <c r="Y337" s="26" t="str">
        <f>VLOOKUP($D337,records!$A:$V,4,FALSE)</f>
        <v>GRENOBLE</v>
      </c>
      <c r="Z337" s="26" t="str">
        <f>VLOOKUP($D337,records!$A:$V,7,FALSE)</f>
        <v>38000</v>
      </c>
      <c r="AA337" s="26" t="s">
        <v>1223</v>
      </c>
      <c r="AB337" s="26">
        <f>VLOOKUP(O337,'records (2)'!$A:$Z,8,FALSE)</f>
        <v>30</v>
      </c>
      <c r="AC337" s="26" t="b">
        <v>0</v>
      </c>
      <c r="AD337" s="26"/>
      <c r="AE337" s="26"/>
      <c r="AF337" s="26" t="str">
        <f>VLOOKUP($D337,records!$A:$V,13,FALSE)</f>
        <v>ARAYMOND FLUID CONNECTION FRANCE sasu</v>
      </c>
      <c r="AG337" s="26" t="s">
        <v>1226</v>
      </c>
      <c r="AH337" s="26" t="str">
        <f>VLOOKUP($D337,records!$A:$V,19,FALSE)</f>
        <v>vendor1013@araymond.com</v>
      </c>
      <c r="AI337" s="26" t="str">
        <f>VLOOKUP($D337,records!$A:$V,14,FALSE)</f>
        <v>.</v>
      </c>
      <c r="AJ337" s="26" t="str">
        <f>VLOOKUP($O337,'records (2)'!$A:$Z,14,FALSE)</f>
        <v>003IV000010su8NYAQ</v>
      </c>
      <c r="AK337" s="26" t="str">
        <f>VLOOKUP($O337,'records (2)'!$A:$Z,15,FALSE)</f>
        <v>Maud CELERI</v>
      </c>
      <c r="AL337" s="26" t="str">
        <f>VLOOKUP($O337,'records (2)'!$A:$Z,10,FALSE)</f>
        <v>003IV000010su8NYAQ</v>
      </c>
      <c r="AM337" s="26" t="str">
        <f>VLOOKUP($O337,'records (2)'!$A:$Z,11,FALSE)</f>
        <v>Maud CELERI</v>
      </c>
      <c r="AN337" s="18">
        <v>1</v>
      </c>
      <c r="AO337" s="4">
        <v>1000</v>
      </c>
      <c r="AP337" s="4">
        <v>1000</v>
      </c>
      <c r="AQ337" s="20">
        <v>0</v>
      </c>
      <c r="AR337" s="6">
        <v>0</v>
      </c>
    </row>
    <row r="338" spans="1:44">
      <c r="A338" s="18" t="s">
        <v>1135</v>
      </c>
      <c r="B338" s="18" t="s">
        <v>1136</v>
      </c>
      <c r="C338" s="18" t="s">
        <v>1137</v>
      </c>
      <c r="D338" s="18" t="s">
        <v>1138</v>
      </c>
      <c r="E338" s="18" t="s">
        <v>52</v>
      </c>
      <c r="F338" s="18" t="s">
        <v>53</v>
      </c>
      <c r="G338" s="18"/>
      <c r="H338" s="19" t="s">
        <v>1216</v>
      </c>
      <c r="I338" s="23" t="s">
        <v>1217</v>
      </c>
      <c r="J338" s="24">
        <v>46023</v>
      </c>
      <c r="K338" s="24">
        <v>46387</v>
      </c>
      <c r="L338" s="24" t="s">
        <v>1218</v>
      </c>
      <c r="M338" s="24" t="s">
        <v>1219</v>
      </c>
      <c r="N338" s="24">
        <v>46023</v>
      </c>
      <c r="O338" s="24" t="str">
        <f>VLOOKUP(D338,records!$A:$U,10,FALSE)</f>
        <v>001SZ000002LdTRYA0</v>
      </c>
      <c r="P338" s="24" t="str">
        <f>VLOOKUP(D338,records!$A:$V,20,FALSE)</f>
        <v>FR20501397012</v>
      </c>
      <c r="Q338" s="24" t="str">
        <f>VLOOKUP(D338,records!$A:$V,12,FALSE)</f>
        <v>50 139 701 200 037</v>
      </c>
      <c r="R338" s="24" t="s">
        <v>1220</v>
      </c>
      <c r="S338" s="24" t="str">
        <f>VLOOKUP(D338,records!$A:$U,19,FALSE)</f>
        <v>vendor1036@araymond.com</v>
      </c>
      <c r="T338" s="26" t="s">
        <v>1221</v>
      </c>
      <c r="U338" s="26" t="s">
        <v>1222</v>
      </c>
      <c r="V338" s="26" t="str">
        <f>VLOOKUP($D338,records!$A:$V,3,FALSE)</f>
        <v>ARAYMONDLIFE sasu</v>
      </c>
      <c r="W338" s="26" t="str">
        <f>IFERROR(VLOOKUP($D338,records!$A:$V,6,FALSE),)</f>
        <v>Service Administratif et Financier</v>
      </c>
      <c r="X338" s="26" t="str">
        <f>VLOOKUP($D338,records!$A:$V,9,FALSE)</f>
        <v>1 Rue Louis Besançon</v>
      </c>
      <c r="Y338" s="26" t="str">
        <f>VLOOKUP($D338,records!$A:$V,4,FALSE)</f>
        <v>SAINT-EGREVE</v>
      </c>
      <c r="Z338" s="26" t="str">
        <f>VLOOKUP($D338,records!$A:$V,7,FALSE)</f>
        <v>38120</v>
      </c>
      <c r="AA338" s="26" t="s">
        <v>1223</v>
      </c>
      <c r="AB338" s="26">
        <f>VLOOKUP(O338,'records (2)'!$A:$Z,8,FALSE)</f>
        <v>30</v>
      </c>
      <c r="AC338" s="26" t="b">
        <f>VLOOKUP(O338,'records (4)'!$A:$C,3,FALSE)</f>
        <v>1</v>
      </c>
      <c r="AD338" s="26" t="s">
        <v>1225</v>
      </c>
      <c r="AE338" s="24">
        <v>46023</v>
      </c>
      <c r="AF338" s="26" t="str">
        <f>VLOOKUP($D338,records!$A:$V,13,FALSE)</f>
        <v>ARAYMONDLIFE sasu</v>
      </c>
      <c r="AG338" s="26" t="s">
        <v>1226</v>
      </c>
      <c r="AH338" s="26" t="str">
        <f>VLOOKUP($D338,records!$A:$V,19,FALSE)</f>
        <v>vendor1036@araymond.com</v>
      </c>
      <c r="AI338" s="26" t="str">
        <f>VLOOKUP($D338,records!$A:$V,14,FALSE)</f>
        <v>.</v>
      </c>
      <c r="AJ338" s="26" t="str">
        <f>VLOOKUP($O338,'records (2)'!$A:$Z,14,FALSE)</f>
        <v>003IV000010su8KYAQ</v>
      </c>
      <c r="AK338" s="26" t="str">
        <f>VLOOKUP($O338,'records (2)'!$A:$Z,15,FALSE)</f>
        <v>Cécile CHOUGOUL</v>
      </c>
      <c r="AL338" s="26" t="str">
        <f>VLOOKUP($O338,'records (2)'!$A:$Z,10,FALSE)</f>
        <v>003IV000010su8KYAQ</v>
      </c>
      <c r="AM338" s="26" t="str">
        <f>VLOOKUP($O338,'records (2)'!$A:$Z,11,FALSE)</f>
        <v>Cécile CHOUGOUL</v>
      </c>
      <c r="AN338" s="18">
        <v>1</v>
      </c>
      <c r="AO338" s="4">
        <v>500</v>
      </c>
      <c r="AP338" s="4">
        <v>500</v>
      </c>
      <c r="AQ338" s="20">
        <v>0</v>
      </c>
      <c r="AR338" s="6">
        <v>0</v>
      </c>
    </row>
    <row r="339" spans="1:44">
      <c r="A339" s="18" t="s">
        <v>1073</v>
      </c>
      <c r="B339" s="18" t="s">
        <v>1074</v>
      </c>
      <c r="C339" s="18" t="s">
        <v>1075</v>
      </c>
      <c r="D339" s="18" t="s">
        <v>1076</v>
      </c>
      <c r="E339" s="18" t="s">
        <v>52</v>
      </c>
      <c r="F339" s="18" t="s">
        <v>53</v>
      </c>
      <c r="G339" s="18"/>
      <c r="H339" s="19" t="s">
        <v>1216</v>
      </c>
      <c r="I339" s="23" t="s">
        <v>1217</v>
      </c>
      <c r="J339" s="24">
        <v>46023</v>
      </c>
      <c r="K339" s="24">
        <v>46387</v>
      </c>
      <c r="L339" s="24" t="s">
        <v>1218</v>
      </c>
      <c r="M339" s="24" t="s">
        <v>1219</v>
      </c>
      <c r="N339" s="24">
        <v>46023</v>
      </c>
      <c r="O339" s="24" t="str">
        <f>VLOOKUP(D339,records!$A:$U,10,FALSE)</f>
        <v>001SZ000006pfldYAA</v>
      </c>
      <c r="P339" s="24" t="str">
        <f>VLOOKUP(D339,records!$A:$V,20,FALSE)</f>
        <v>FR24384006029</v>
      </c>
      <c r="Q339" s="24" t="str">
        <f>VLOOKUP(D339,records!$A:$V,12,FALSE)</f>
        <v>38 400 602 904 193</v>
      </c>
      <c r="R339" s="24" t="s">
        <v>1220</v>
      </c>
      <c r="S339" s="24" t="str">
        <f>VLOOKUP(D339,records!$A:$U,19,FALSE)</f>
        <v>veronique.bochet@cera.caisse-epargne.fr</v>
      </c>
      <c r="T339" s="26" t="s">
        <v>1221</v>
      </c>
      <c r="U339" s="26" t="s">
        <v>1222</v>
      </c>
      <c r="V339" s="26" t="str">
        <f>VLOOKUP($D339,records!$A:$V,3,FALSE)</f>
        <v>CAISSE D'EPARGNE ET DE PREVOYANCE DE RHONE ALPES sa</v>
      </c>
      <c r="W339" s="26" t="str">
        <f>IFERROR(VLOOKUP($D339,records!$A:$V,6,FALSE),)</f>
        <v>DEPARTEMENT EMPLOI ET CARRIERES</v>
      </c>
      <c r="X339" s="26" t="str">
        <f>VLOOKUP($D339,records!$A:$V,9,FALSE)</f>
        <v>116 Cours Lafayette</v>
      </c>
      <c r="Y339" s="26" t="str">
        <f>VLOOKUP($D339,records!$A:$V,4,FALSE)</f>
        <v>LYON</v>
      </c>
      <c r="Z339" s="26" t="str">
        <f>VLOOKUP($D339,records!$A:$V,7,FALSE)</f>
        <v>69003</v>
      </c>
      <c r="AA339" s="26" t="s">
        <v>1223</v>
      </c>
      <c r="AB339" s="26">
        <f>VLOOKUP(O339,'records (2)'!$A:$Z,8,FALSE)</f>
        <v>30</v>
      </c>
      <c r="AC339" s="26" t="b">
        <f>VLOOKUP(O339,'records (4)'!$A:$C,3,FALSE)</f>
        <v>1</v>
      </c>
      <c r="AD339" s="26" t="s">
        <v>1225</v>
      </c>
      <c r="AE339" s="24">
        <v>46023</v>
      </c>
      <c r="AF339" s="26" t="str">
        <f>VLOOKUP($D339,records!$A:$V,13,FALSE)</f>
        <v>CAISSE D'EPARGNE ET DE PREVOYANCE DE RHONE ALPES sa</v>
      </c>
      <c r="AG339" s="26" t="s">
        <v>1226</v>
      </c>
      <c r="AH339" s="26" t="str">
        <f>VLOOKUP($D339,records!$A:$V,19,FALSE)</f>
        <v>veronique.bochet@cera.caisse-epargne.fr</v>
      </c>
      <c r="AI339" s="26" t="str">
        <f>VLOOKUP($D339,records!$A:$V,14,FALSE)</f>
        <v>.</v>
      </c>
      <c r="AJ339" s="26" t="str">
        <f>VLOOKUP($O339,'records (2)'!$A:$Z,14,FALSE)</f>
        <v>003IV000010su96YAA</v>
      </c>
      <c r="AK339" s="26" t="str">
        <f>VLOOKUP($O339,'records (2)'!$A:$Z,15,FALSE)</f>
        <v>Véronique BOCHET</v>
      </c>
      <c r="AL339" s="26" t="str">
        <f>VLOOKUP($O339,'records (2)'!$A:$Z,10,FALSE)</f>
        <v>003IV000010su97YAA</v>
      </c>
      <c r="AM339" s="26" t="str">
        <f>VLOOKUP($O339,'records (2)'!$A:$Z,11,FALSE)</f>
        <v>Service Recouvrement</v>
      </c>
      <c r="AN339" s="18">
        <v>1</v>
      </c>
      <c r="AO339" s="4">
        <v>1500</v>
      </c>
      <c r="AP339" s="4">
        <v>1500</v>
      </c>
      <c r="AQ339" s="20">
        <v>0</v>
      </c>
      <c r="AR339" s="6">
        <v>0</v>
      </c>
    </row>
    <row r="340" spans="1:44">
      <c r="A340" s="18" t="s">
        <v>261</v>
      </c>
      <c r="B340" s="18" t="s">
        <v>262</v>
      </c>
      <c r="C340" s="18" t="s">
        <v>263</v>
      </c>
      <c r="D340" s="18" t="s">
        <v>264</v>
      </c>
      <c r="E340" s="18" t="s">
        <v>16</v>
      </c>
      <c r="F340" s="18" t="s">
        <v>17</v>
      </c>
      <c r="G340" s="18"/>
      <c r="H340" s="19" t="s">
        <v>1216</v>
      </c>
      <c r="I340" s="23" t="s">
        <v>1217</v>
      </c>
      <c r="J340" s="24">
        <v>46023</v>
      </c>
      <c r="K340" s="24">
        <v>46387</v>
      </c>
      <c r="L340" s="24" t="s">
        <v>1218</v>
      </c>
      <c r="M340" s="24" t="s">
        <v>1219</v>
      </c>
      <c r="N340" s="24">
        <v>46023</v>
      </c>
      <c r="O340" s="24" t="str">
        <f>VLOOKUP(D340,records!$A:$U,10,FALSE)</f>
        <v>0012p00004N16IyAAJ</v>
      </c>
      <c r="P340" s="24" t="str">
        <f>VLOOKUP(D340,records!$A:$V,20,FALSE)</f>
        <v>FR09845420280</v>
      </c>
      <c r="Q340" s="24" t="str">
        <f>VLOOKUP(D340,records!$A:$V,12,FALSE)</f>
        <v>84 542 028 000 016</v>
      </c>
      <c r="R340" s="24" t="s">
        <v>1220</v>
      </c>
      <c r="S340" s="24" t="str">
        <f>VLOOKUP(D340,records!$A:$U,19,FALSE)</f>
        <v>veronique.gosse@lisi-group.com</v>
      </c>
      <c r="T340" s="26" t="s">
        <v>1221</v>
      </c>
      <c r="U340" s="26" t="s">
        <v>1222</v>
      </c>
      <c r="V340" s="26" t="str">
        <f>VLOOKUP($D340,records!$A:$V,3,FALSE)</f>
        <v>LISI AEROSPACE FORGED INTEGRATED SOLUTIONS sas</v>
      </c>
      <c r="W340" s="26" t="str">
        <f>IFERROR(VLOOKUP($D340,records!$A:$V,6,FALSE),)</f>
        <v>RH</v>
      </c>
      <c r="X340" s="26" t="str">
        <f>VLOOKUP($D340,records!$A:$V,9,FALSE)</f>
        <v>39 rue des Forges</v>
      </c>
      <c r="Y340" s="26" t="str">
        <f>VLOOKUP($D340,records!$A:$V,4,FALSE)</f>
        <v>BOLOGNE</v>
      </c>
      <c r="Z340" s="26" t="str">
        <f>VLOOKUP($D340,records!$A:$V,7,FALSE)</f>
        <v>52310</v>
      </c>
      <c r="AA340" s="26" t="s">
        <v>1223</v>
      </c>
      <c r="AB340" s="26">
        <f>VLOOKUP(O340,'records (2)'!$A:$Z,8,FALSE)</f>
        <v>30</v>
      </c>
      <c r="AC340" s="26" t="b">
        <v>0</v>
      </c>
      <c r="AD340" s="26"/>
      <c r="AE340" s="26"/>
      <c r="AF340" s="26" t="str">
        <f>VLOOKUP($D340,records!$A:$V,13,FALSE)</f>
        <v>LISI AEROSPACE FORGED INTEGRATED SOLUTIONS sas</v>
      </c>
      <c r="AG340" s="26" t="s">
        <v>1226</v>
      </c>
      <c r="AH340" s="26" t="str">
        <f>VLOOKUP($D340,records!$A:$V,19,FALSE)</f>
        <v>veronique.gosse@lisi-group.com</v>
      </c>
      <c r="AI340" s="26" t="str">
        <f>VLOOKUP($D340,records!$A:$V,14,FALSE)</f>
        <v>.</v>
      </c>
      <c r="AJ340" s="26" t="str">
        <f>VLOOKUP($O340,'records (2)'!$A:$Z,14,FALSE)</f>
        <v>003IV000010s6QdYAI</v>
      </c>
      <c r="AK340" s="26" t="str">
        <f>VLOOKUP($O340,'records (2)'!$A:$Z,15,FALSE)</f>
        <v>Véronique GOSSE</v>
      </c>
      <c r="AL340" s="26" t="str">
        <f>VLOOKUP($O340,'records (2)'!$A:$Z,10,FALSE)</f>
        <v>003IV000010s6QdYAI</v>
      </c>
      <c r="AM340" s="26" t="str">
        <f>VLOOKUP($O340,'records (2)'!$A:$Z,11,FALSE)</f>
        <v>Véronique GOSSE</v>
      </c>
      <c r="AN340" s="18">
        <v>1</v>
      </c>
      <c r="AO340" s="4">
        <v>6000</v>
      </c>
      <c r="AP340" s="4">
        <v>6000</v>
      </c>
      <c r="AQ340" s="20">
        <v>0</v>
      </c>
      <c r="AR340" s="6">
        <v>0</v>
      </c>
    </row>
    <row r="341" spans="1:44">
      <c r="A341" s="18" t="s">
        <v>70</v>
      </c>
      <c r="B341" s="18" t="s">
        <v>71</v>
      </c>
      <c r="C341" s="18" t="s">
        <v>72</v>
      </c>
      <c r="D341" s="18" t="s">
        <v>73</v>
      </c>
      <c r="E341" s="18" t="s">
        <v>16</v>
      </c>
      <c r="F341" s="18" t="s">
        <v>17</v>
      </c>
      <c r="G341" s="18"/>
      <c r="H341" s="19" t="s">
        <v>1216</v>
      </c>
      <c r="I341" s="23" t="s">
        <v>1217</v>
      </c>
      <c r="J341" s="24">
        <v>46023</v>
      </c>
      <c r="K341" s="24">
        <v>46387</v>
      </c>
      <c r="L341" s="24" t="s">
        <v>1218</v>
      </c>
      <c r="M341" s="24" t="s">
        <v>1219</v>
      </c>
      <c r="N341" s="24">
        <v>46023</v>
      </c>
      <c r="O341" s="24" t="str">
        <f>VLOOKUP(D341,records!$A:$U,10,FALSE)</f>
        <v>0012p00004RfoNdAAJ</v>
      </c>
      <c r="P341" s="24" t="str">
        <f>VLOOKUP(D341,records!$A:$V,20,FALSE)</f>
        <v>FR55679200287</v>
      </c>
      <c r="Q341" s="24" t="str">
        <f>VLOOKUP(D341,records!$A:$V,12,FALSE)</f>
        <v>67 920 028 700 010</v>
      </c>
      <c r="R341" s="24" t="s">
        <v>1220</v>
      </c>
      <c r="S341" s="24" t="str">
        <f>VLOOKUP(D341,records!$A:$U,19,FALSE)</f>
        <v>videocodeur-itesoft@savencia.com</v>
      </c>
      <c r="T341" s="26" t="s">
        <v>1221</v>
      </c>
      <c r="U341" s="26" t="s">
        <v>1222</v>
      </c>
      <c r="V341" s="26" t="str">
        <f>VLOOKUP($D341,records!$A:$V,3,FALSE)</f>
        <v>ARMOR PROTEINES sasu</v>
      </c>
      <c r="W341" s="26" t="str">
        <f>IFERROR(VLOOKUP($D341,records!$A:$V,6,FALSE),)</f>
        <v>AG0014AA</v>
      </c>
      <c r="X341" s="26" t="str">
        <f>VLOOKUP($D341,records!$A:$V,9,FALSE)</f>
        <v>19 bis rue de la Libération - TSA 40002</v>
      </c>
      <c r="Y341" s="26" t="str">
        <f>VLOOKUP($D341,records!$A:$V,4,FALSE)</f>
        <v>SAINT LO CEDEX 9</v>
      </c>
      <c r="Z341" s="26" t="str">
        <f>VLOOKUP($D341,records!$A:$V,7,FALSE)</f>
        <v>59951</v>
      </c>
      <c r="AA341" s="26" t="s">
        <v>1223</v>
      </c>
      <c r="AB341" s="26">
        <f>VLOOKUP(O341,'records (2)'!$A:$Z,8,FALSE)</f>
        <v>30</v>
      </c>
      <c r="AC341" s="26" t="b">
        <f>VLOOKUP(O341,'records (4)'!$A:$C,3,FALSE)</f>
        <v>1</v>
      </c>
      <c r="AD341" s="26" t="s">
        <v>1225</v>
      </c>
      <c r="AE341" s="24">
        <v>46023</v>
      </c>
      <c r="AF341" s="26" t="str">
        <f>VLOOKUP($D341,records!$A:$V,13,FALSE)</f>
        <v>ARMOR PROTEINES sasu</v>
      </c>
      <c r="AG341" s="26" t="s">
        <v>1226</v>
      </c>
      <c r="AH341" s="26" t="str">
        <f>VLOOKUP($D341,records!$A:$V,19,FALSE)</f>
        <v>videocodeur-itesoft@savencia.com</v>
      </c>
      <c r="AI341" s="26" t="str">
        <f>VLOOKUP($D341,records!$A:$V,14,FALSE)</f>
        <v>.</v>
      </c>
      <c r="AJ341" s="26" t="str">
        <f>VLOOKUP($O341,'records (2)'!$A:$Z,14,FALSE)</f>
        <v>003IV000010su8YYAQ</v>
      </c>
      <c r="AK341" s="26" t="str">
        <f>VLOOKUP($O341,'records (2)'!$A:$Z,15,FALSE)</f>
        <v>Leocadie LECOURTOIS</v>
      </c>
      <c r="AL341" s="26" t="str">
        <f>VLOOKUP($O341,'records (2)'!$A:$Z,10,FALSE)</f>
        <v>003IV000010su8YYAQ</v>
      </c>
      <c r="AM341" s="26" t="str">
        <f>VLOOKUP($O341,'records (2)'!$A:$Z,11,FALSE)</f>
        <v>Leocadie LECOURTOIS</v>
      </c>
      <c r="AN341" s="18">
        <v>1</v>
      </c>
      <c r="AO341" s="4">
        <v>3000</v>
      </c>
      <c r="AP341" s="4">
        <v>3000</v>
      </c>
      <c r="AQ341" s="20">
        <v>0</v>
      </c>
      <c r="AR341" s="6">
        <v>0</v>
      </c>
    </row>
    <row r="342" spans="1:44">
      <c r="A342" s="18" t="s">
        <v>942</v>
      </c>
      <c r="B342" s="18" t="s">
        <v>943</v>
      </c>
      <c r="C342" s="18" t="s">
        <v>943</v>
      </c>
      <c r="D342" s="18" t="s">
        <v>944</v>
      </c>
      <c r="E342" s="18" t="s">
        <v>52</v>
      </c>
      <c r="F342" s="18" t="s">
        <v>53</v>
      </c>
      <c r="G342" s="18"/>
      <c r="H342" s="19" t="s">
        <v>1216</v>
      </c>
      <c r="I342" s="23" t="s">
        <v>1217</v>
      </c>
      <c r="J342" s="24">
        <v>46023</v>
      </c>
      <c r="K342" s="24">
        <v>46387</v>
      </c>
      <c r="L342" s="24" t="s">
        <v>1218</v>
      </c>
      <c r="M342" s="24" t="s">
        <v>1219</v>
      </c>
      <c r="N342" s="24">
        <v>46023</v>
      </c>
      <c r="O342" s="24" t="str">
        <f>VLOOKUP(D342,records!$A:$U,10,FALSE)</f>
        <v>0012p00004Nh8UKAAZ</v>
      </c>
      <c r="P342" s="24" t="str">
        <f>VLOOKUP(D342,records!$A:$V,20,FALSE)</f>
        <v>FR32612041327</v>
      </c>
      <c r="Q342" s="24" t="str">
        <f>VLOOKUP(D342,records!$A:$V,12,FALSE)</f>
        <v>61 204 132 700 026</v>
      </c>
      <c r="R342" s="24" t="s">
        <v>1220</v>
      </c>
      <c r="S342" s="30" t="str">
        <f>VLOOKUP(D342,records!$A:$U,19,FALSE)</f>
        <v>vishaysa.ap@vishay.com</v>
      </c>
      <c r="T342" s="26" t="s">
        <v>1221</v>
      </c>
      <c r="U342" s="26" t="s">
        <v>1222</v>
      </c>
      <c r="V342" s="26" t="str">
        <f>VLOOKUP($D342,records!$A:$V,3,FALSE)</f>
        <v>VISHAY SA</v>
      </c>
      <c r="W342" s="26"/>
      <c r="X342" s="26" t="str">
        <f>VLOOKUP($D342,records!$A:$V,9,FALSE)</f>
        <v>199 Boulevard de la Madeleine</v>
      </c>
      <c r="Y342" s="26" t="str">
        <f>VLOOKUP($D342,records!$A:$V,4,FALSE)</f>
        <v>NICE</v>
      </c>
      <c r="Z342" s="26" t="str">
        <f>VLOOKUP($D342,records!$A:$V,7,FALSE)</f>
        <v>6000</v>
      </c>
      <c r="AA342" s="26" t="s">
        <v>1223</v>
      </c>
      <c r="AB342" s="26">
        <f>VLOOKUP(O342,'records (2)'!$A:$Z,8,FALSE)</f>
        <v>30</v>
      </c>
      <c r="AC342" s="26" t="b">
        <v>0</v>
      </c>
      <c r="AD342" s="26"/>
      <c r="AE342" s="26"/>
      <c r="AF342" s="26" t="str">
        <f>VLOOKUP($D342,records!$A:$V,13,FALSE)</f>
        <v>VISHAY SA</v>
      </c>
      <c r="AG342" s="26" t="s">
        <v>1226</v>
      </c>
      <c r="AH342" s="31" t="str">
        <f>VLOOKUP($D342,records!$A:$V,19,FALSE)</f>
        <v>vishaysa.ap@vishay.com</v>
      </c>
      <c r="AI342" s="26" t="str">
        <f>VLOOKUP($D342,records!$A:$V,14,FALSE)</f>
        <v>.</v>
      </c>
      <c r="AJ342" s="26" t="str">
        <f>VLOOKUP($O342,'records (2)'!$A:$Z,14,FALSE)</f>
        <v>003IV000010t2QQYAY</v>
      </c>
      <c r="AK342" s="26" t="str">
        <f>VLOOKUP($O342,'records (2)'!$A:$Z,15,FALSE)</f>
        <v>Nathalie SOJKA</v>
      </c>
      <c r="AL342" s="26" t="str">
        <f>VLOOKUP($O342,'records (2)'!$A:$Z,10,FALSE)</f>
        <v>003IV000010t2QQYAY</v>
      </c>
      <c r="AM342" s="26" t="str">
        <f>VLOOKUP($O342,'records (2)'!$A:$Z,11,FALSE)</f>
        <v>Nathalie SOJKA</v>
      </c>
      <c r="AN342" s="18">
        <v>1</v>
      </c>
      <c r="AO342" s="4">
        <v>500</v>
      </c>
      <c r="AP342" s="4">
        <v>500</v>
      </c>
      <c r="AQ342" s="20">
        <v>0</v>
      </c>
      <c r="AR342" s="6">
        <v>0</v>
      </c>
    </row>
    <row r="343" spans="1:44">
      <c r="A343" s="18" t="s">
        <v>158</v>
      </c>
      <c r="B343" s="18" t="s">
        <v>159</v>
      </c>
      <c r="C343" s="18" t="s">
        <v>159</v>
      </c>
      <c r="D343" s="18" t="s">
        <v>160</v>
      </c>
      <c r="E343" s="18" t="s">
        <v>16</v>
      </c>
      <c r="F343" s="18" t="s">
        <v>17</v>
      </c>
      <c r="G343" s="18"/>
      <c r="H343" s="19" t="s">
        <v>1216</v>
      </c>
      <c r="I343" s="23" t="s">
        <v>1217</v>
      </c>
      <c r="J343" s="24">
        <v>46023</v>
      </c>
      <c r="K343" s="24">
        <v>46387</v>
      </c>
      <c r="L343" s="24" t="s">
        <v>1218</v>
      </c>
      <c r="M343" s="24" t="s">
        <v>1219</v>
      </c>
      <c r="N343" s="24">
        <v>46023</v>
      </c>
      <c r="O343" s="24" t="str">
        <f>VLOOKUP(D343,records!$A:$U,10,FALSE)</f>
        <v>0012p00004NfW1fAAF</v>
      </c>
      <c r="P343" s="24" t="str">
        <f>VLOOKUP(D343,records!$A:$V,20,FALSE)</f>
        <v>FR34437968555</v>
      </c>
      <c r="Q343" s="24" t="str">
        <f>VLOOKUP(D343,records!$A:$V,12,FALSE)</f>
        <v>43 796 855 500 015</v>
      </c>
      <c r="R343" s="24" t="s">
        <v>1220</v>
      </c>
      <c r="S343" s="24" t="str">
        <f>VLOOKUP(D343,records!$A:$U,19,FALSE)</f>
        <v>xfuchs@charcupac.fr</v>
      </c>
      <c r="T343" s="26" t="s">
        <v>1221</v>
      </c>
      <c r="U343" s="26" t="s">
        <v>1222</v>
      </c>
      <c r="V343" s="26" t="str">
        <f>VLOOKUP($D343,records!$A:$V,3,FALSE)</f>
        <v>FINE LAME sa</v>
      </c>
      <c r="W343" s="26"/>
      <c r="X343" s="26" t="str">
        <f>VLOOKUP($D343,records!$A:$V,9,FALSE)</f>
        <v>ZI Chemin de Gayan</v>
      </c>
      <c r="Y343" s="26" t="str">
        <f>VLOOKUP($D343,records!$A:$V,4,FALSE)</f>
        <v>BORDERES SUR L'ECHEZ</v>
      </c>
      <c r="Z343" s="26" t="str">
        <f>VLOOKUP($D343,records!$A:$V,7,FALSE)</f>
        <v>65320</v>
      </c>
      <c r="AA343" s="26" t="s">
        <v>1223</v>
      </c>
      <c r="AB343" s="26">
        <f>VLOOKUP(O343,'records (2)'!$A:$Z,8,FALSE)</f>
        <v>30</v>
      </c>
      <c r="AC343" s="26" t="b">
        <v>0</v>
      </c>
      <c r="AD343" s="26"/>
      <c r="AE343" s="26"/>
      <c r="AF343" s="26" t="str">
        <f>VLOOKUP($D343,records!$A:$V,13,FALSE)</f>
        <v>FINE LAME sa</v>
      </c>
      <c r="AG343" s="26" t="s">
        <v>1226</v>
      </c>
      <c r="AH343" s="31" t="str">
        <f>VLOOKUP($D343,records!$A:$V,19,FALSE)</f>
        <v>xfuchs@charcupac.fr</v>
      </c>
      <c r="AI343" s="26" t="str">
        <f>VLOOKUP($D343,records!$A:$V,14,FALSE)</f>
        <v>.</v>
      </c>
      <c r="AJ343" s="26" t="str">
        <f>VLOOKUP($O343,'records (2)'!$A:$Z,14,FALSE)</f>
        <v>003IV000010t2Z3YAI</v>
      </c>
      <c r="AK343" s="26" t="str">
        <f>VLOOKUP($O343,'records (2)'!$A:$Z,15,FALSE)</f>
        <v>Xavier FUCHS</v>
      </c>
      <c r="AL343" s="26" t="str">
        <f>VLOOKUP($O343,'records (2)'!$A:$Z,10,FALSE)</f>
        <v>003IV000010t2Z3YAI</v>
      </c>
      <c r="AM343" s="26" t="str">
        <f>VLOOKUP($O343,'records (2)'!$A:$Z,11,FALSE)</f>
        <v>Xavier FUCHS</v>
      </c>
      <c r="AN343" s="18">
        <v>1</v>
      </c>
      <c r="AO343" s="4">
        <v>1000</v>
      </c>
      <c r="AP343" s="4">
        <v>1000</v>
      </c>
      <c r="AQ343" s="20">
        <v>0</v>
      </c>
      <c r="AR343" s="6">
        <v>0</v>
      </c>
    </row>
    <row r="344" spans="1:44">
      <c r="A344" s="18" t="s">
        <v>936</v>
      </c>
      <c r="B344" s="18" t="s">
        <v>937</v>
      </c>
      <c r="C344" s="18" t="s">
        <v>937</v>
      </c>
      <c r="D344" s="18" t="s">
        <v>938</v>
      </c>
      <c r="E344" s="18" t="s">
        <v>52</v>
      </c>
      <c r="F344" s="18" t="s">
        <v>53</v>
      </c>
      <c r="G344" s="18"/>
      <c r="H344" s="19" t="s">
        <v>1216</v>
      </c>
      <c r="I344" s="23" t="s">
        <v>1217</v>
      </c>
      <c r="J344" s="24">
        <v>46023</v>
      </c>
      <c r="K344" s="24">
        <v>46387</v>
      </c>
      <c r="L344" s="24" t="s">
        <v>1218</v>
      </c>
      <c r="M344" s="24" t="s">
        <v>1219</v>
      </c>
      <c r="N344" s="24">
        <v>46023</v>
      </c>
      <c r="O344" s="24" t="str">
        <f>VLOOKUP(D344,records!$A:$U,10,FALSE)</f>
        <v>0012p00004RInq7AAD</v>
      </c>
      <c r="P344" s="24" t="str">
        <f>VLOOKUP(D344,records!$A:$V,20,FALSE)</f>
        <v>FR27322847724</v>
      </c>
      <c r="Q344" s="24" t="str">
        <f>VLOOKUP(D344,records!$A:$V,12,FALSE)</f>
        <v>32 284 772 400 026</v>
      </c>
      <c r="R344" s="24" t="s">
        <v>1224</v>
      </c>
      <c r="S344" s="30"/>
      <c r="T344" s="26" t="s">
        <v>1221</v>
      </c>
      <c r="U344" s="26" t="s">
        <v>1222</v>
      </c>
      <c r="V344" s="26" t="str">
        <f>VLOOKUP($D344,records!$A:$V,3,FALSE)</f>
        <v>UCELIA sasu</v>
      </c>
      <c r="W344" s="26" t="str">
        <f>IFERROR(VLOOKUP($D344,records!$A:$V,6,FALSE),)</f>
        <v>Service Comptabilité</v>
      </c>
      <c r="X344" s="26" t="str">
        <f>VLOOKUP($D344,records!$A:$V,9,FALSE)</f>
        <v>ZI La Petite Borde</v>
      </c>
      <c r="Y344" s="26" t="str">
        <f>VLOOKUP($D344,records!$A:$V,4,FALSE)</f>
        <v>USSEL</v>
      </c>
      <c r="Z344" s="26" t="str">
        <f>VLOOKUP($D344,records!$A:$V,7,FALSE)</f>
        <v>19200</v>
      </c>
      <c r="AA344" s="26" t="s">
        <v>1223</v>
      </c>
      <c r="AB344" s="26">
        <f>VLOOKUP(O344,'records (2)'!$A:$Z,8,FALSE)</f>
        <v>30</v>
      </c>
      <c r="AC344" s="26" t="b">
        <v>0</v>
      </c>
      <c r="AD344" s="26"/>
      <c r="AE344" s="26"/>
      <c r="AF344" s="26" t="str">
        <f>VLOOKUP($D344,records!$A:$V,13,FALSE)</f>
        <v>UCELIA sasu</v>
      </c>
      <c r="AG344" s="26" t="str">
        <f>VLOOKUP($D344,records!$A:$V,16,FALSE)</f>
        <v>Service Comptabilité</v>
      </c>
      <c r="AH344" s="31" t="str">
        <f>VLOOKUP($D344,records!$A:$V,19,FALSE)</f>
        <v>ZI La Petite Borde</v>
      </c>
      <c r="AI344" s="26" t="str">
        <f>VLOOKUP($D344,records!$A:$V,14,FALSE)</f>
        <v>USSEL</v>
      </c>
      <c r="AJ344" s="26" t="str">
        <f>VLOOKUP($O344,'records (2)'!$A:$Z,14,FALSE)</f>
        <v>003IV000010su8sYAA</v>
      </c>
      <c r="AK344" s="26" t="str">
        <f>VLOOKUP($O344,'records (2)'!$A:$Z,15,FALSE)</f>
        <v>Marietha BRUN</v>
      </c>
      <c r="AL344" s="26" t="str">
        <f>VLOOKUP($O344,'records (2)'!$A:$Z,10,FALSE)</f>
        <v>003IV000010su8sYAA</v>
      </c>
      <c r="AM344" s="26" t="str">
        <f>VLOOKUP($O344,'records (2)'!$A:$Z,11,FALSE)</f>
        <v>Marietha BRUN</v>
      </c>
      <c r="AN344" s="18">
        <v>1</v>
      </c>
      <c r="AO344" s="4">
        <v>1000</v>
      </c>
      <c r="AP344" s="4">
        <v>1000</v>
      </c>
      <c r="AQ344" s="20">
        <v>0</v>
      </c>
      <c r="AR344" s="6">
        <v>0</v>
      </c>
    </row>
    <row r="345" spans="1:44">
      <c r="A345" s="18" t="s">
        <v>738</v>
      </c>
      <c r="B345" s="18" t="s">
        <v>739</v>
      </c>
      <c r="C345" s="18" t="s">
        <v>739</v>
      </c>
      <c r="D345" s="18" t="s">
        <v>740</v>
      </c>
      <c r="E345" s="18" t="s">
        <v>52</v>
      </c>
      <c r="F345" s="18" t="s">
        <v>53</v>
      </c>
      <c r="G345" s="18"/>
      <c r="H345" s="19" t="s">
        <v>1216</v>
      </c>
      <c r="I345" s="23" t="s">
        <v>1217</v>
      </c>
      <c r="J345" s="24">
        <v>46023</v>
      </c>
      <c r="K345" s="24">
        <v>46387</v>
      </c>
      <c r="L345" s="24" t="s">
        <v>1218</v>
      </c>
      <c r="M345" s="24" t="s">
        <v>1219</v>
      </c>
      <c r="N345" s="24">
        <v>46023</v>
      </c>
      <c r="O345" s="24" t="str">
        <f>VLOOKUP(D345,records!$A:$U,10,FALSE)</f>
        <v>0012p00004Si9DbAAJ</v>
      </c>
      <c r="P345" s="24" t="str">
        <f>VLOOKUP(D345,records!$A:$V,20,FALSE)</f>
        <v>FR10387524085</v>
      </c>
      <c r="Q345" s="24" t="str">
        <f>VLOOKUP(D345,records!$A:$V,12,FALSE)</f>
        <v>38 752 408 500 017</v>
      </c>
      <c r="R345" s="24" t="s">
        <v>1224</v>
      </c>
      <c r="S345" s="24"/>
      <c r="T345" s="26" t="s">
        <v>1221</v>
      </c>
      <c r="U345" s="26" t="s">
        <v>1222</v>
      </c>
      <c r="V345" s="26" t="str">
        <f>VLOOKUP($D345,records!$A:$V,3,FALSE)</f>
        <v>LES ZELLES sasu</v>
      </c>
      <c r="W345" s="26" t="str">
        <f>IFERROR(VLOOKUP($D345,records!$A:$V,6,FALSE),)</f>
        <v>Comptabilité Fournisseurs</v>
      </c>
      <c r="X345" s="26" t="str">
        <f>VLOOKUP($D345,records!$A:$V,9,FALSE)</f>
        <v>ZI Rue des Ecorces</v>
      </c>
      <c r="Y345" s="26" t="str">
        <f>VLOOKUP($D345,records!$A:$V,4,FALSE)</f>
        <v>LA BRESSE</v>
      </c>
      <c r="Z345" s="26" t="str">
        <f>VLOOKUP($D345,records!$A:$V,7,FALSE)</f>
        <v>88250</v>
      </c>
      <c r="AA345" s="26" t="s">
        <v>1223</v>
      </c>
      <c r="AB345" s="26">
        <f>VLOOKUP(O345,'records (2)'!$A:$Z,8,FALSE)</f>
        <v>45</v>
      </c>
      <c r="AC345" s="26" t="b">
        <v>0</v>
      </c>
      <c r="AD345" s="26"/>
      <c r="AE345" s="26"/>
      <c r="AF345" s="26" t="str">
        <f>VLOOKUP($D345,records!$A:$V,13,FALSE)</f>
        <v>LES ZELLES sasu</v>
      </c>
      <c r="AG345" s="26" t="str">
        <f>VLOOKUP($D345,records!$A:$V,16,FALSE)</f>
        <v>Comptabilité Fournisseurs</v>
      </c>
      <c r="AH345" s="26" t="str">
        <f>VLOOKUP($D345,records!$A:$V,19,FALSE)</f>
        <v>ZI Rue des Ecorces</v>
      </c>
      <c r="AI345" s="26" t="str">
        <f>VLOOKUP($D345,records!$A:$V,14,FALSE)</f>
        <v>LA BRESSE</v>
      </c>
      <c r="AJ345" s="26" t="str">
        <f>VLOOKUP($O345,'records (2)'!$A:$Z,14,FALSE)</f>
        <v>003IV000010tIeeYAE</v>
      </c>
      <c r="AK345" s="26" t="str">
        <f>VLOOKUP($O345,'records (2)'!$A:$Z,15,FALSE)</f>
        <v>Nicolas MICHEL</v>
      </c>
      <c r="AL345" s="26" t="str">
        <f>VLOOKUP($O345,'records (2)'!$A:$Z,10,FALSE)</f>
        <v>003IV000010tIeeYAE</v>
      </c>
      <c r="AM345" s="26" t="str">
        <f>VLOOKUP($O345,'records (2)'!$A:$Z,11,FALSE)</f>
        <v>Nicolas MICHEL</v>
      </c>
      <c r="AN345" s="18">
        <v>1</v>
      </c>
      <c r="AO345" s="4">
        <v>2000</v>
      </c>
      <c r="AP345" s="4">
        <v>2000</v>
      </c>
      <c r="AQ345" s="20">
        <v>0</v>
      </c>
      <c r="AR345" s="6">
        <v>0</v>
      </c>
    </row>
    <row r="346" spans="1:44">
      <c r="A346" s="18" t="s">
        <v>543</v>
      </c>
      <c r="B346" s="18" t="s">
        <v>544</v>
      </c>
      <c r="C346" s="18" t="s">
        <v>545</v>
      </c>
      <c r="D346" s="18" t="s">
        <v>546</v>
      </c>
      <c r="E346" s="18" t="s">
        <v>52</v>
      </c>
      <c r="F346" s="18" t="s">
        <v>53</v>
      </c>
      <c r="G346" s="18"/>
      <c r="H346" s="19" t="s">
        <v>1216</v>
      </c>
      <c r="I346" s="23" t="s">
        <v>1217</v>
      </c>
      <c r="J346" s="24">
        <v>46023</v>
      </c>
      <c r="K346" s="24">
        <v>46387</v>
      </c>
      <c r="L346" s="24" t="s">
        <v>1218</v>
      </c>
      <c r="M346" s="24" t="s">
        <v>1219</v>
      </c>
      <c r="N346" s="24">
        <v>46023</v>
      </c>
      <c r="O346" s="24" t="str">
        <f>VLOOKUP(D346,records!$A:$U,10,FALSE)</f>
        <v>0012p00004NgEJEAA3</v>
      </c>
      <c r="P346" s="24" t="str">
        <f>VLOOKUP(D346,records!$A:$V,20,FALSE)</f>
        <v>FR85533269908</v>
      </c>
      <c r="Q346" s="24" t="str">
        <f>VLOOKUP(D346,records!$A:$V,12,FALSE)</f>
        <v>53 326 990 800 018</v>
      </c>
      <c r="R346" s="24" t="s">
        <v>1224</v>
      </c>
      <c r="S346" s="30"/>
      <c r="T346" s="26" t="s">
        <v>1221</v>
      </c>
      <c r="U346" s="26" t="s">
        <v>1222</v>
      </c>
      <c r="V346" s="26" t="str">
        <f>VLOOKUP($D346,records!$A:$V,3,FALSE)</f>
        <v>GMR INVESTISSEMENTS sas</v>
      </c>
      <c r="W346" s="26"/>
      <c r="X346" s="26" t="str">
        <f>VLOOKUP($D346,records!$A:$V,9,FALSE)</f>
        <v>Zone Industrielle de Longchamp</v>
      </c>
      <c r="Y346" s="26" t="str">
        <f>VLOOKUP($D346,records!$A:$V,4,FALSE)</f>
        <v>CERIZAY</v>
      </c>
      <c r="Z346" s="26" t="str">
        <f>VLOOKUP($D346,records!$A:$V,7,FALSE)</f>
        <v>79143</v>
      </c>
      <c r="AA346" s="26" t="s">
        <v>1223</v>
      </c>
      <c r="AB346" s="26">
        <f>VLOOKUP(O346,'records (2)'!$A:$Z,8,FALSE)</f>
        <v>30</v>
      </c>
      <c r="AC346" s="26" t="b">
        <v>0</v>
      </c>
      <c r="AD346" s="26"/>
      <c r="AE346" s="26"/>
      <c r="AF346" s="26" t="str">
        <f>VLOOKUP($D346,records!$A:$V,13,FALSE)</f>
        <v>GMR INVESTISSEMENTS sas</v>
      </c>
      <c r="AG346" s="26"/>
      <c r="AH346" s="31" t="str">
        <f>VLOOKUP($D346,records!$A:$V,19,FALSE)</f>
        <v>Zone Industrielle de Longchamp</v>
      </c>
      <c r="AI346" s="26" t="str">
        <f>VLOOKUP($D346,records!$A:$V,14,FALSE)</f>
        <v>CERIZAY</v>
      </c>
      <c r="AJ346" s="26" t="str">
        <f>VLOOKUP($O346,'records (2)'!$A:$Z,14,FALSE)</f>
        <v>003IV000010sxGHYAY</v>
      </c>
      <c r="AK346" s="26" t="str">
        <f>VLOOKUP($O346,'records (2)'!$A:$Z,15,FALSE)</f>
        <v>Sébastien RAMPILLON</v>
      </c>
      <c r="AL346" s="26" t="str">
        <f>VLOOKUP($O346,'records (2)'!$A:$Z,10,FALSE)</f>
        <v>003IV000010sxFmYAI</v>
      </c>
      <c r="AM346" s="26" t="str">
        <f>VLOOKUP($O346,'records (2)'!$A:$Z,11,FALSE)</f>
        <v>Fabienne BENOIST</v>
      </c>
      <c r="AN346" s="18">
        <v>1</v>
      </c>
      <c r="AO346" s="4">
        <v>1000</v>
      </c>
      <c r="AP346" s="4">
        <v>1000</v>
      </c>
      <c r="AQ346" s="20">
        <v>0</v>
      </c>
      <c r="AR346" s="6">
        <v>0</v>
      </c>
    </row>
    <row r="347" spans="1:44">
      <c r="A347" s="18" t="s">
        <v>962</v>
      </c>
      <c r="B347" s="18" t="s">
        <v>963</v>
      </c>
      <c r="C347" s="18" t="s">
        <v>964</v>
      </c>
      <c r="D347" s="18" t="s">
        <v>965</v>
      </c>
      <c r="E347" s="18" t="s">
        <v>52</v>
      </c>
      <c r="F347" s="18" t="s">
        <v>53</v>
      </c>
      <c r="G347" s="18"/>
      <c r="H347" s="19" t="s">
        <v>1216</v>
      </c>
      <c r="I347" s="23" t="s">
        <v>1217</v>
      </c>
      <c r="J347" s="24">
        <v>46023</v>
      </c>
      <c r="K347" s="24">
        <v>46387</v>
      </c>
      <c r="L347" s="24" t="s">
        <v>1218</v>
      </c>
      <c r="M347" s="24" t="s">
        <v>1219</v>
      </c>
      <c r="N347" s="24">
        <v>46023</v>
      </c>
      <c r="O347" s="24" t="str">
        <f>VLOOKUP(D347,records!$A:$U,10,FALSE)</f>
        <v>0012p00004Nh7ToAAJ</v>
      </c>
      <c r="P347" s="24" t="str">
        <f>VLOOKUP(D347,records!$A:$V,20,FALSE)</f>
        <v>FR95821410610</v>
      </c>
      <c r="Q347" s="24" t="str">
        <f>VLOOKUP(D347,records!$A:$V,12,FALSE)</f>
        <v>82 141 061 000 025</v>
      </c>
      <c r="R347" s="24" t="s">
        <v>1224</v>
      </c>
      <c r="S347" s="30"/>
      <c r="T347" s="26" t="s">
        <v>1221</v>
      </c>
      <c r="U347" s="26" t="s">
        <v>1222</v>
      </c>
      <c r="V347" s="26" t="str">
        <f>VLOOKUP($D347,records!$A:$V,3,FALSE)</f>
        <v>SOCIETE NOUVELLE YABON VERNEUIL sas</v>
      </c>
      <c r="W347" s="26"/>
      <c r="X347" s="26" t="str">
        <f>VLOOKUP($D347,records!$A:$V,9,FALSE)</f>
        <v>Zone Industrielle du Petit Mesnil</v>
      </c>
      <c r="Y347" s="26" t="str">
        <f>VLOOKUP($D347,records!$A:$V,4,FALSE)</f>
        <v>VERNEUIL SUR AVRE</v>
      </c>
      <c r="Z347" s="26" t="str">
        <f>VLOOKUP($D347,records!$A:$V,7,FALSE)</f>
        <v>27130</v>
      </c>
      <c r="AA347" s="26" t="s">
        <v>1223</v>
      </c>
      <c r="AB347" s="26">
        <f>VLOOKUP(O347,'records (2)'!$A:$Z,8,FALSE)</f>
        <v>30</v>
      </c>
      <c r="AC347" s="26" t="b">
        <v>0</v>
      </c>
      <c r="AD347" s="26"/>
      <c r="AE347" s="26"/>
      <c r="AF347" s="26" t="str">
        <f>VLOOKUP($D347,records!$A:$V,13,FALSE)</f>
        <v>SOCIETE NOUVELLE YABON VERNEUIL sas</v>
      </c>
      <c r="AG347" s="26"/>
      <c r="AH347" s="31" t="str">
        <f>VLOOKUP($D347,records!$A:$V,19,FALSE)</f>
        <v>Zone Industrielle du Petit Mesnil</v>
      </c>
      <c r="AI347" s="26" t="str">
        <f>VLOOKUP($D347,records!$A:$V,14,FALSE)</f>
        <v>VERNEUIL SUR AVRE</v>
      </c>
      <c r="AJ347" s="26" t="str">
        <f>VLOOKUP($O347,'records (2)'!$A:$Z,14,FALSE)</f>
        <v>003IV000010sxGXYAY</v>
      </c>
      <c r="AK347" s="26" t="str">
        <f>VLOOKUP($O347,'records (2)'!$A:$Z,15,FALSE)</f>
        <v>Cynthia VERGER (Compta)</v>
      </c>
      <c r="AL347" s="26" t="str">
        <f>VLOOKUP($O347,'records (2)'!$A:$Z,10,FALSE)</f>
        <v>003IV000010sxGXYAY</v>
      </c>
      <c r="AM347" s="26" t="str">
        <f>VLOOKUP($O347,'records (2)'!$A:$Z,11,FALSE)</f>
        <v>Cynthia VERGER (Compta)</v>
      </c>
      <c r="AN347" s="18">
        <v>1</v>
      </c>
      <c r="AO347" s="4">
        <v>500</v>
      </c>
      <c r="AP347" s="4">
        <v>500</v>
      </c>
      <c r="AQ347" s="20">
        <v>0</v>
      </c>
      <c r="AR347" s="6">
        <v>0</v>
      </c>
    </row>
    <row r="348" spans="1:44">
      <c r="A348" s="18" t="s">
        <v>437</v>
      </c>
      <c r="B348" s="18" t="s">
        <v>438</v>
      </c>
      <c r="C348" s="18" t="s">
        <v>1256</v>
      </c>
      <c r="D348" s="18" t="s">
        <v>439</v>
      </c>
      <c r="E348" s="18" t="s">
        <v>52</v>
      </c>
      <c r="F348" s="18" t="s">
        <v>53</v>
      </c>
      <c r="G348" s="18"/>
      <c r="H348" s="19" t="s">
        <v>1216</v>
      </c>
      <c r="I348" s="23" t="s">
        <v>1217</v>
      </c>
      <c r="J348" s="24">
        <v>46023</v>
      </c>
      <c r="K348" s="24">
        <v>46387</v>
      </c>
      <c r="L348" s="24" t="s">
        <v>1218</v>
      </c>
      <c r="M348" s="24" t="s">
        <v>1219</v>
      </c>
      <c r="N348" s="24">
        <v>46023</v>
      </c>
      <c r="O348" s="24"/>
      <c r="P348" s="24" t="str">
        <f>VLOOKUP(D348,records!$A:$V,20,FALSE)</f>
        <v>FR 51612013268</v>
      </c>
      <c r="Q348" s="24" t="str">
        <f>VLOOKUP(D348,records!$A:$V,12,FALSE)</f>
        <v>612 013 268 00026</v>
      </c>
      <c r="R348" s="24"/>
      <c r="S348" s="26"/>
      <c r="T348" s="26"/>
      <c r="U348" s="26"/>
      <c r="V348" s="26"/>
      <c r="W348" s="26"/>
      <c r="X348" s="26"/>
      <c r="Y348" s="26"/>
      <c r="Z348" s="26"/>
      <c r="AA348" s="26" t="s">
        <v>1223</v>
      </c>
      <c r="AB348" s="26"/>
      <c r="AC348" s="26"/>
      <c r="AD348" s="26"/>
      <c r="AE348" s="26"/>
      <c r="AF348" s="26"/>
      <c r="AG348" s="26"/>
      <c r="AH348" s="29"/>
      <c r="AI348" s="26" t="s">
        <v>1233</v>
      </c>
      <c r="AJ348" s="26"/>
      <c r="AK348" s="29"/>
      <c r="AL348" s="29"/>
      <c r="AM348" s="29"/>
      <c r="AN348" s="18">
        <v>1</v>
      </c>
      <c r="AO348" s="4">
        <v>4000</v>
      </c>
      <c r="AP348" s="4">
        <v>4000</v>
      </c>
      <c r="AQ348" s="20">
        <v>0</v>
      </c>
      <c r="AR348" s="6" t="s">
        <v>1257</v>
      </c>
    </row>
    <row r="349" spans="1:44">
      <c r="A349" s="18" t="s">
        <v>736</v>
      </c>
      <c r="B349" s="7" t="s">
        <v>1162</v>
      </c>
      <c r="C349" s="7" t="s">
        <v>1162</v>
      </c>
      <c r="D349" s="22" t="s">
        <v>1258</v>
      </c>
      <c r="E349" s="7" t="s">
        <v>52</v>
      </c>
      <c r="F349" s="7" t="s">
        <v>53</v>
      </c>
      <c r="G349" s="7"/>
      <c r="H349" s="19" t="s">
        <v>1216</v>
      </c>
      <c r="I349" s="23" t="s">
        <v>1217</v>
      </c>
      <c r="J349" s="24">
        <v>46023</v>
      </c>
      <c r="K349" s="24">
        <v>46387</v>
      </c>
      <c r="L349" s="24" t="s">
        <v>1218</v>
      </c>
      <c r="M349" s="24" t="s">
        <v>1219</v>
      </c>
      <c r="N349" s="24">
        <v>46023</v>
      </c>
      <c r="O349" s="24" t="str">
        <f>VLOOKUP(D349,records!$A:$U,10,FALSE)</f>
        <v>001SZ00000HOn97YAD</v>
      </c>
      <c r="P349" s="24"/>
      <c r="Q349" s="24"/>
      <c r="R349" s="24"/>
      <c r="S349" s="26"/>
      <c r="T349" s="26"/>
      <c r="U349" s="26"/>
      <c r="V349" s="26"/>
      <c r="W349" s="26"/>
      <c r="X349" s="26"/>
      <c r="Y349" s="26"/>
      <c r="Z349" s="26"/>
      <c r="AA349" s="26" t="s">
        <v>1223</v>
      </c>
      <c r="AB349" s="26"/>
      <c r="AC349" s="26"/>
      <c r="AD349" s="26"/>
      <c r="AE349" s="26"/>
      <c r="AF349" s="26"/>
      <c r="AG349" s="26"/>
      <c r="AH349" s="26"/>
      <c r="AI349" s="26" t="s">
        <v>1233</v>
      </c>
      <c r="AJ349" s="26"/>
      <c r="AK349" s="26"/>
      <c r="AL349" s="26"/>
      <c r="AM349" s="26"/>
      <c r="AN349" s="18">
        <v>1</v>
      </c>
      <c r="AO349" s="8">
        <v>7000</v>
      </c>
      <c r="AP349" s="8">
        <v>7000</v>
      </c>
      <c r="AQ349" s="20">
        <v>0</v>
      </c>
      <c r="AR349" s="6" t="s">
        <v>1158</v>
      </c>
    </row>
    <row r="350" spans="1:44">
      <c r="A350" s="18" t="s">
        <v>736</v>
      </c>
      <c r="B350" s="18" t="s">
        <v>1159</v>
      </c>
      <c r="C350" s="18" t="s">
        <v>1159</v>
      </c>
      <c r="D350" s="22" t="s">
        <v>1259</v>
      </c>
      <c r="E350" s="18" t="s">
        <v>16</v>
      </c>
      <c r="F350" s="18" t="s">
        <v>17</v>
      </c>
      <c r="G350" s="18"/>
      <c r="H350" s="19" t="s">
        <v>1216</v>
      </c>
      <c r="I350" s="23" t="s">
        <v>1217</v>
      </c>
      <c r="J350" s="24">
        <v>46023</v>
      </c>
      <c r="K350" s="24">
        <v>46387</v>
      </c>
      <c r="L350" s="24" t="s">
        <v>1218</v>
      </c>
      <c r="M350" s="24" t="s">
        <v>1219</v>
      </c>
      <c r="N350" s="24">
        <v>46023</v>
      </c>
      <c r="O350" s="24" t="str">
        <f>VLOOKUP(D350,records!$A:$U,10,FALSE)</f>
        <v>001SZ00000DUQDjYAP</v>
      </c>
      <c r="P350" s="24"/>
      <c r="Q350" s="24"/>
      <c r="R350" s="24"/>
      <c r="S350" s="26"/>
      <c r="T350" s="26"/>
      <c r="U350" s="26"/>
      <c r="V350" s="26"/>
      <c r="W350" s="26"/>
      <c r="X350" s="26"/>
      <c r="Y350" s="26"/>
      <c r="Z350" s="26"/>
      <c r="AA350" s="26" t="s">
        <v>1223</v>
      </c>
      <c r="AB350" s="26"/>
      <c r="AC350" s="26"/>
      <c r="AD350" s="26"/>
      <c r="AE350" s="26"/>
      <c r="AF350" s="26"/>
      <c r="AG350" s="26"/>
      <c r="AH350" s="26"/>
      <c r="AI350" s="26" t="s">
        <v>1233</v>
      </c>
      <c r="AJ350" s="26"/>
      <c r="AK350" s="26"/>
      <c r="AL350" s="26"/>
      <c r="AM350" s="26"/>
      <c r="AN350" s="18">
        <v>1</v>
      </c>
      <c r="AO350" s="4">
        <v>3000</v>
      </c>
      <c r="AP350" s="4">
        <v>3000</v>
      </c>
      <c r="AQ350" s="20">
        <v>0</v>
      </c>
      <c r="AR350" s="6" t="s">
        <v>1158</v>
      </c>
    </row>
  </sheetData>
  <autoFilter ref="A7:AR350" xr:uid="{582DCE21-EA48-477D-A160-E9FBC5C6031B}">
    <sortState xmlns:xlrd2="http://schemas.microsoft.com/office/spreadsheetml/2017/richdata2" ref="A8:AR350">
      <sortCondition ref="S7:S350"/>
    </sortState>
  </autoFilter>
  <mergeCells count="1">
    <mergeCell ref="D3:AN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4E45-2988-4201-ACBA-F84E16096ABC}">
  <dimension ref="A1:C51"/>
  <sheetViews>
    <sheetView workbookViewId="0">
      <selection activeCell="A2" sqref="A2"/>
    </sheetView>
  </sheetViews>
  <sheetFormatPr defaultColWidth="11.5703125" defaultRowHeight="15.6"/>
  <cols>
    <col min="1" max="1" width="11.5703125" style="25"/>
    <col min="2" max="2" width="43.28515625" style="25" bestFit="1" customWidth="1"/>
    <col min="3" max="16384" width="11.5703125" style="25"/>
  </cols>
  <sheetData>
    <row r="1" spans="1:3">
      <c r="A1" s="25" t="s">
        <v>1260</v>
      </c>
      <c r="B1" s="25" t="s">
        <v>1261</v>
      </c>
      <c r="C1" s="25" t="s">
        <v>1262</v>
      </c>
    </row>
    <row r="2" spans="1:3">
      <c r="A2" s="25" t="s">
        <v>1263</v>
      </c>
      <c r="B2" s="25" t="s">
        <v>1148</v>
      </c>
      <c r="C2" s="25" t="b">
        <v>1</v>
      </c>
    </row>
    <row r="3" spans="1:3">
      <c r="A3" s="25" t="s">
        <v>1264</v>
      </c>
      <c r="B3" s="25" t="s">
        <v>91</v>
      </c>
      <c r="C3" s="25" t="b">
        <v>1</v>
      </c>
    </row>
    <row r="4" spans="1:3">
      <c r="A4" s="25" t="s">
        <v>1265</v>
      </c>
      <c r="B4" s="25" t="s">
        <v>43</v>
      </c>
      <c r="C4" s="25" t="b">
        <v>1</v>
      </c>
    </row>
    <row r="5" spans="1:3">
      <c r="A5" s="25" t="s">
        <v>1266</v>
      </c>
      <c r="B5" s="25" t="s">
        <v>111</v>
      </c>
      <c r="C5" s="25" t="b">
        <v>1</v>
      </c>
    </row>
    <row r="6" spans="1:3">
      <c r="A6" s="25" t="s">
        <v>1267</v>
      </c>
      <c r="B6" s="25" t="s">
        <v>72</v>
      </c>
      <c r="C6" s="25" t="b">
        <v>1</v>
      </c>
    </row>
    <row r="7" spans="1:3">
      <c r="A7" s="25" t="s">
        <v>1268</v>
      </c>
      <c r="B7" s="25" t="s">
        <v>940</v>
      </c>
      <c r="C7" s="25" t="b">
        <v>1</v>
      </c>
    </row>
    <row r="8" spans="1:3">
      <c r="A8" s="25" t="s">
        <v>1269</v>
      </c>
      <c r="B8" s="25" t="s">
        <v>1270</v>
      </c>
      <c r="C8" s="25" t="b">
        <v>1</v>
      </c>
    </row>
    <row r="9" spans="1:3">
      <c r="A9" s="25" t="s">
        <v>1271</v>
      </c>
      <c r="B9" s="25" t="s">
        <v>530</v>
      </c>
      <c r="C9" s="25" t="b">
        <v>1</v>
      </c>
    </row>
    <row r="10" spans="1:3">
      <c r="A10" s="25" t="s">
        <v>1272</v>
      </c>
      <c r="B10" s="25" t="s">
        <v>976</v>
      </c>
      <c r="C10" s="25" t="b">
        <v>1</v>
      </c>
    </row>
    <row r="11" spans="1:3">
      <c r="A11" s="25" t="s">
        <v>1273</v>
      </c>
      <c r="B11" s="25" t="s">
        <v>289</v>
      </c>
      <c r="C11" s="25" t="b">
        <v>1</v>
      </c>
    </row>
    <row r="12" spans="1:3">
      <c r="A12" s="25" t="s">
        <v>1274</v>
      </c>
      <c r="B12" s="25" t="s">
        <v>397</v>
      </c>
      <c r="C12" s="25" t="b">
        <v>1</v>
      </c>
    </row>
    <row r="13" spans="1:3">
      <c r="A13" s="25" t="s">
        <v>1275</v>
      </c>
      <c r="B13" s="25" t="s">
        <v>235</v>
      </c>
      <c r="C13" s="25" t="b">
        <v>1</v>
      </c>
    </row>
    <row r="14" spans="1:3">
      <c r="A14" s="25" t="s">
        <v>1276</v>
      </c>
      <c r="B14" s="25" t="s">
        <v>888</v>
      </c>
      <c r="C14" s="25" t="b">
        <v>1</v>
      </c>
    </row>
    <row r="15" spans="1:3">
      <c r="A15" s="25" t="s">
        <v>1277</v>
      </c>
      <c r="B15" s="25" t="s">
        <v>427</v>
      </c>
      <c r="C15" s="25" t="b">
        <v>1</v>
      </c>
    </row>
    <row r="16" spans="1:3">
      <c r="A16" s="25" t="s">
        <v>1278</v>
      </c>
      <c r="B16" s="25" t="s">
        <v>435</v>
      </c>
      <c r="C16" s="25" t="b">
        <v>1</v>
      </c>
    </row>
    <row r="17" spans="1:3">
      <c r="A17" s="25" t="s">
        <v>1279</v>
      </c>
      <c r="B17" s="25" t="s">
        <v>1280</v>
      </c>
      <c r="C17" s="25" t="b">
        <v>1</v>
      </c>
    </row>
    <row r="18" spans="1:3">
      <c r="A18" s="25" t="s">
        <v>1281</v>
      </c>
      <c r="B18" s="25" t="s">
        <v>442</v>
      </c>
      <c r="C18" s="25" t="b">
        <v>1</v>
      </c>
    </row>
    <row r="19" spans="1:3">
      <c r="A19" s="25" t="s">
        <v>1282</v>
      </c>
      <c r="B19" s="25" t="s">
        <v>1137</v>
      </c>
      <c r="C19" s="25" t="b">
        <v>1</v>
      </c>
    </row>
    <row r="20" spans="1:3">
      <c r="A20" s="25" t="s">
        <v>1283</v>
      </c>
      <c r="B20" s="25" t="s">
        <v>1151</v>
      </c>
      <c r="C20" s="25" t="b">
        <v>1</v>
      </c>
    </row>
    <row r="21" spans="1:3">
      <c r="A21" s="25" t="s">
        <v>1284</v>
      </c>
      <c r="B21" s="25" t="s">
        <v>197</v>
      </c>
      <c r="C21" s="25" t="b">
        <v>1</v>
      </c>
    </row>
    <row r="22" spans="1:3">
      <c r="A22" s="25" t="s">
        <v>1285</v>
      </c>
      <c r="B22" s="25" t="s">
        <v>130</v>
      </c>
      <c r="C22" s="25" t="b">
        <v>1</v>
      </c>
    </row>
    <row r="23" spans="1:3">
      <c r="A23" s="25" t="s">
        <v>1286</v>
      </c>
      <c r="B23" s="25" t="s">
        <v>462</v>
      </c>
      <c r="C23" s="25" t="b">
        <v>1</v>
      </c>
    </row>
    <row r="24" spans="1:3">
      <c r="A24" s="25" t="s">
        <v>1287</v>
      </c>
      <c r="B24" s="25" t="s">
        <v>205</v>
      </c>
      <c r="C24" s="25" t="b">
        <v>1</v>
      </c>
    </row>
    <row r="25" spans="1:3">
      <c r="A25" s="25" t="s">
        <v>1288</v>
      </c>
      <c r="B25" s="25" t="s">
        <v>256</v>
      </c>
      <c r="C25" s="25" t="b">
        <v>1</v>
      </c>
    </row>
    <row r="26" spans="1:3">
      <c r="A26" s="25" t="s">
        <v>1289</v>
      </c>
      <c r="B26" s="25" t="s">
        <v>470</v>
      </c>
      <c r="C26" s="25" t="b">
        <v>1</v>
      </c>
    </row>
    <row r="27" spans="1:3">
      <c r="A27" s="25" t="s">
        <v>1290</v>
      </c>
      <c r="B27" s="25" t="s">
        <v>953</v>
      </c>
      <c r="C27" s="25" t="b">
        <v>1</v>
      </c>
    </row>
    <row r="28" spans="1:3">
      <c r="A28" s="25" t="s">
        <v>1291</v>
      </c>
      <c r="B28" s="25" t="s">
        <v>419</v>
      </c>
      <c r="C28" s="25" t="b">
        <v>1</v>
      </c>
    </row>
    <row r="29" spans="1:3">
      <c r="A29" s="25" t="s">
        <v>1292</v>
      </c>
      <c r="B29" s="25" t="s">
        <v>795</v>
      </c>
      <c r="C29" s="25" t="b">
        <v>1</v>
      </c>
    </row>
    <row r="30" spans="1:3">
      <c r="A30" s="25" t="s">
        <v>1293</v>
      </c>
      <c r="B30" s="25" t="s">
        <v>1182</v>
      </c>
      <c r="C30" s="25" t="b">
        <v>1</v>
      </c>
    </row>
    <row r="31" spans="1:3">
      <c r="A31" s="25" t="s">
        <v>1294</v>
      </c>
      <c r="B31" s="25" t="s">
        <v>1179</v>
      </c>
      <c r="C31" s="25" t="b">
        <v>1</v>
      </c>
    </row>
    <row r="32" spans="1:3">
      <c r="A32" s="25" t="s">
        <v>1295</v>
      </c>
      <c r="B32" s="25" t="s">
        <v>635</v>
      </c>
      <c r="C32" s="25" t="b">
        <v>1</v>
      </c>
    </row>
    <row r="33" spans="1:3">
      <c r="A33" s="25" t="s">
        <v>1296</v>
      </c>
      <c r="B33" s="25" t="s">
        <v>574</v>
      </c>
      <c r="C33" s="25" t="b">
        <v>1</v>
      </c>
    </row>
    <row r="34" spans="1:3">
      <c r="A34" s="25" t="s">
        <v>1297</v>
      </c>
      <c r="B34" s="25" t="s">
        <v>327</v>
      </c>
      <c r="C34" s="25" t="b">
        <v>1</v>
      </c>
    </row>
    <row r="35" spans="1:3">
      <c r="A35" s="25" t="s">
        <v>1298</v>
      </c>
      <c r="B35" s="25" t="s">
        <v>934</v>
      </c>
      <c r="C35" s="25" t="b">
        <v>1</v>
      </c>
    </row>
    <row r="36" spans="1:3">
      <c r="A36" s="25" t="s">
        <v>1299</v>
      </c>
      <c r="B36" s="25" t="s">
        <v>1075</v>
      </c>
      <c r="C36" s="25" t="b">
        <v>1</v>
      </c>
    </row>
    <row r="37" spans="1:3">
      <c r="A37" s="25" t="s">
        <v>1300</v>
      </c>
      <c r="B37" s="25" t="s">
        <v>275</v>
      </c>
      <c r="C37" s="25" t="b">
        <v>1</v>
      </c>
    </row>
    <row r="38" spans="1:3">
      <c r="A38" s="25" t="s">
        <v>1301</v>
      </c>
      <c r="B38" s="25" t="s">
        <v>654</v>
      </c>
      <c r="C38" s="25" t="b">
        <v>1</v>
      </c>
    </row>
    <row r="39" spans="1:3">
      <c r="A39" s="25" t="s">
        <v>1302</v>
      </c>
      <c r="B39" s="25" t="s">
        <v>1303</v>
      </c>
      <c r="C39" s="25" t="b">
        <v>1</v>
      </c>
    </row>
    <row r="40" spans="1:3">
      <c r="A40" s="25" t="s">
        <v>1304</v>
      </c>
      <c r="B40" s="25" t="s">
        <v>788</v>
      </c>
      <c r="C40" s="25" t="b">
        <v>1</v>
      </c>
    </row>
    <row r="41" spans="1:3">
      <c r="A41" s="25" t="s">
        <v>1305</v>
      </c>
      <c r="B41" s="25" t="s">
        <v>911</v>
      </c>
      <c r="C41" s="25" t="b">
        <v>1</v>
      </c>
    </row>
    <row r="42" spans="1:3">
      <c r="A42" s="25" t="s">
        <v>1244</v>
      </c>
      <c r="B42" s="25" t="s">
        <v>1306</v>
      </c>
      <c r="C42" s="25" t="b">
        <v>1</v>
      </c>
    </row>
    <row r="43" spans="1:3">
      <c r="A43" s="25" t="s">
        <v>1307</v>
      </c>
      <c r="B43" s="25" t="s">
        <v>1122</v>
      </c>
      <c r="C43" s="25" t="b">
        <v>1</v>
      </c>
    </row>
    <row r="44" spans="1:3">
      <c r="A44" s="25" t="s">
        <v>1308</v>
      </c>
      <c r="B44" s="25" t="s">
        <v>1035</v>
      </c>
      <c r="C44" s="25" t="b">
        <v>1</v>
      </c>
    </row>
    <row r="45" spans="1:3">
      <c r="A45" s="25" t="s">
        <v>1309</v>
      </c>
      <c r="B45" s="25" t="s">
        <v>423</v>
      </c>
      <c r="C45" s="25" t="b">
        <v>1</v>
      </c>
    </row>
    <row r="46" spans="1:3">
      <c r="A46" s="25" t="s">
        <v>1310</v>
      </c>
      <c r="B46" s="25" t="s">
        <v>1059</v>
      </c>
      <c r="C46" s="25" t="b">
        <v>1</v>
      </c>
    </row>
    <row r="47" spans="1:3">
      <c r="A47" s="25" t="s">
        <v>1311</v>
      </c>
      <c r="B47" s="25" t="s">
        <v>1084</v>
      </c>
      <c r="C47" s="25" t="b">
        <v>1</v>
      </c>
    </row>
    <row r="48" spans="1:3">
      <c r="A48" s="25" t="s">
        <v>1312</v>
      </c>
      <c r="B48" s="25" t="s">
        <v>1038</v>
      </c>
      <c r="C48" s="25" t="b">
        <v>1</v>
      </c>
    </row>
    <row r="49" spans="1:3">
      <c r="A49" s="25" t="s">
        <v>1313</v>
      </c>
      <c r="B49" s="25" t="s">
        <v>1065</v>
      </c>
      <c r="C49" s="25" t="b">
        <v>1</v>
      </c>
    </row>
    <row r="50" spans="1:3">
      <c r="A50" s="25" t="s">
        <v>1314</v>
      </c>
      <c r="B50" s="25" t="s">
        <v>1099</v>
      </c>
      <c r="C50" s="25" t="b">
        <v>1</v>
      </c>
    </row>
    <row r="51" spans="1:3">
      <c r="A51" s="25" t="s">
        <v>1315</v>
      </c>
      <c r="B51" s="25" t="s">
        <v>1155</v>
      </c>
      <c r="C51" s="2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4BE0-BE6A-438D-B479-996FAFEF0709}">
  <sheetPr filterMode="1"/>
  <dimension ref="A1:V317"/>
  <sheetViews>
    <sheetView topLeftCell="K1" workbookViewId="0"/>
  </sheetViews>
  <sheetFormatPr defaultColWidth="11.5703125" defaultRowHeight="15.6"/>
  <cols>
    <col min="1" max="1" width="22.28515625" style="25" bestFit="1" customWidth="1"/>
    <col min="2" max="9" width="11.5703125" style="25"/>
    <col min="10" max="10" width="23.28515625" style="25" bestFit="1" customWidth="1"/>
    <col min="11" max="11" width="16.42578125" style="25" bestFit="1" customWidth="1"/>
    <col min="12" max="12" width="21.85546875" style="25" bestFit="1" customWidth="1"/>
    <col min="13" max="13" width="81.28515625" style="25" bestFit="1" customWidth="1"/>
    <col min="14" max="14" width="27.140625" style="25" bestFit="1" customWidth="1"/>
    <col min="15" max="18" width="11.5703125" style="25"/>
    <col min="19" max="19" width="48" style="25" bestFit="1" customWidth="1"/>
    <col min="20" max="16384" width="11.5703125" style="25"/>
  </cols>
  <sheetData>
    <row r="1" spans="1:22">
      <c r="A1" s="25" t="s">
        <v>1260</v>
      </c>
      <c r="B1" s="25" t="s">
        <v>1261</v>
      </c>
      <c r="C1" s="25" t="s">
        <v>1316</v>
      </c>
      <c r="D1" s="25" t="s">
        <v>1317</v>
      </c>
      <c r="E1" s="25" t="s">
        <v>1318</v>
      </c>
      <c r="F1" s="25" t="s">
        <v>1319</v>
      </c>
      <c r="G1" s="25" t="s">
        <v>1320</v>
      </c>
      <c r="H1" s="25" t="s">
        <v>1321</v>
      </c>
      <c r="I1" s="25" t="s">
        <v>1322</v>
      </c>
      <c r="J1" s="25" t="s">
        <v>1323</v>
      </c>
      <c r="K1" s="25" t="s">
        <v>1324</v>
      </c>
      <c r="L1" s="25" t="s">
        <v>1325</v>
      </c>
      <c r="M1" s="25" t="s">
        <v>1326</v>
      </c>
      <c r="N1" s="25" t="s">
        <v>1327</v>
      </c>
      <c r="O1" s="25" t="s">
        <v>1328</v>
      </c>
      <c r="P1" s="25" t="s">
        <v>1329</v>
      </c>
      <c r="Q1" s="25" t="s">
        <v>1330</v>
      </c>
      <c r="R1" s="25" t="s">
        <v>1331</v>
      </c>
      <c r="S1" s="25" t="s">
        <v>1332</v>
      </c>
      <c r="T1" s="25" t="s">
        <v>1333</v>
      </c>
      <c r="U1" s="25" t="s">
        <v>1334</v>
      </c>
      <c r="V1" s="25" t="s">
        <v>1195</v>
      </c>
    </row>
    <row r="2" spans="1:22" hidden="1">
      <c r="A2" s="25" t="s">
        <v>926</v>
      </c>
      <c r="B2" s="25" t="s">
        <v>925</v>
      </c>
      <c r="C2" s="25" t="s">
        <v>1335</v>
      </c>
      <c r="D2" s="25" t="s">
        <v>1336</v>
      </c>
      <c r="E2" s="25" t="s">
        <v>1337</v>
      </c>
      <c r="G2" s="25" t="s">
        <v>1338</v>
      </c>
      <c r="I2" s="25" t="s">
        <v>1339</v>
      </c>
      <c r="J2" s="25" t="s">
        <v>1340</v>
      </c>
      <c r="K2" s="25" t="s">
        <v>924</v>
      </c>
      <c r="L2" s="25" t="s">
        <v>1341</v>
      </c>
      <c r="M2" s="25" t="s">
        <v>1335</v>
      </c>
      <c r="N2" s="25" t="s">
        <v>1233</v>
      </c>
      <c r="P2" s="25" t="s">
        <v>1226</v>
      </c>
      <c r="Q2" s="25" t="s">
        <v>1233</v>
      </c>
      <c r="S2" s="25" t="s">
        <v>1342</v>
      </c>
      <c r="T2" s="25" t="s">
        <v>1343</v>
      </c>
      <c r="V2" s="25" t="str">
        <f>VLOOKUP(J2,'records (2)'!$A:$Z,16,FALSE)</f>
        <v>accountinghub.budaors@tetrapak.com</v>
      </c>
    </row>
    <row r="3" spans="1:22" hidden="1">
      <c r="A3" s="25" t="s">
        <v>355</v>
      </c>
      <c r="B3" s="25" t="s">
        <v>354</v>
      </c>
      <c r="C3" s="25" t="s">
        <v>1344</v>
      </c>
      <c r="D3" s="25" t="s">
        <v>1345</v>
      </c>
      <c r="E3" s="25" t="s">
        <v>1337</v>
      </c>
      <c r="G3" s="25" t="s">
        <v>1346</v>
      </c>
      <c r="I3" s="25" t="s">
        <v>1347</v>
      </c>
      <c r="J3" s="25" t="s">
        <v>1348</v>
      </c>
      <c r="K3" s="25" t="s">
        <v>353</v>
      </c>
      <c r="L3" s="25" t="s">
        <v>1349</v>
      </c>
      <c r="M3" s="25" t="s">
        <v>1344</v>
      </c>
      <c r="N3" s="25" t="s">
        <v>1233</v>
      </c>
      <c r="P3" s="25" t="s">
        <v>1226</v>
      </c>
      <c r="Q3" s="25" t="s">
        <v>1233</v>
      </c>
      <c r="S3" s="25" t="s">
        <v>1350</v>
      </c>
      <c r="T3" s="25" t="s">
        <v>1351</v>
      </c>
      <c r="V3" s="25" t="str">
        <f>VLOOKUP(J3,'records (2)'!$A:$Z,16,FALSE)</f>
        <v>account.payable@revima.fr</v>
      </c>
    </row>
    <row r="4" spans="1:22" hidden="1">
      <c r="A4" s="25" t="s">
        <v>774</v>
      </c>
      <c r="B4" s="25" t="s">
        <v>773</v>
      </c>
      <c r="C4" s="25" t="s">
        <v>773</v>
      </c>
      <c r="D4" s="25" t="s">
        <v>1352</v>
      </c>
      <c r="E4" s="25" t="s">
        <v>1337</v>
      </c>
      <c r="G4" s="25" t="s">
        <v>1353</v>
      </c>
      <c r="I4" s="25" t="s">
        <v>1354</v>
      </c>
      <c r="J4" s="25" t="s">
        <v>1355</v>
      </c>
      <c r="K4" s="25" t="s">
        <v>771</v>
      </c>
      <c r="L4" s="25" t="s">
        <v>1356</v>
      </c>
      <c r="M4" s="25" t="s">
        <v>773</v>
      </c>
      <c r="N4" s="25" t="s">
        <v>1233</v>
      </c>
      <c r="P4" s="25" t="s">
        <v>1357</v>
      </c>
      <c r="Q4" s="25" t="s">
        <v>1233</v>
      </c>
      <c r="S4" s="25" t="s">
        <v>1358</v>
      </c>
      <c r="T4" s="25" t="s">
        <v>1359</v>
      </c>
      <c r="V4" s="25" t="str">
        <f>VLOOKUP(J4,'records (2)'!$A:$Z,16,FALSE)</f>
        <v>accounting.millet@milletmoutaingroup.com</v>
      </c>
    </row>
    <row r="5" spans="1:22" hidden="1">
      <c r="A5" s="25" t="s">
        <v>432</v>
      </c>
      <c r="B5" s="25" t="s">
        <v>431</v>
      </c>
      <c r="C5" s="25" t="s">
        <v>1360</v>
      </c>
      <c r="D5" s="25" t="s">
        <v>1361</v>
      </c>
      <c r="E5" s="25" t="s">
        <v>1337</v>
      </c>
      <c r="G5" s="25" t="s">
        <v>1362</v>
      </c>
      <c r="I5" s="25" t="s">
        <v>1363</v>
      </c>
      <c r="J5" s="25" t="s">
        <v>1364</v>
      </c>
      <c r="K5" s="25" t="s">
        <v>429</v>
      </c>
      <c r="L5" s="25" t="s">
        <v>1365</v>
      </c>
      <c r="M5" s="25" t="s">
        <v>1360</v>
      </c>
      <c r="N5" s="25" t="s">
        <v>1233</v>
      </c>
      <c r="P5" s="25" t="s">
        <v>1226</v>
      </c>
      <c r="Q5" s="25" t="s">
        <v>1233</v>
      </c>
      <c r="S5" s="25" t="s">
        <v>1366</v>
      </c>
      <c r="T5" s="25" t="s">
        <v>1367</v>
      </c>
      <c r="V5" s="25" t="str">
        <f>VLOOKUP(J5,'records (2)'!$A:$Z,16,FALSE)</f>
        <v>jemil.ishak-boushaki@fci.com</v>
      </c>
    </row>
    <row r="6" spans="1:22" hidden="1">
      <c r="A6" s="25" t="s">
        <v>923</v>
      </c>
      <c r="B6" s="25" t="s">
        <v>922</v>
      </c>
      <c r="C6" s="25" t="s">
        <v>922</v>
      </c>
      <c r="D6" s="25" t="s">
        <v>1368</v>
      </c>
      <c r="E6" s="25" t="s">
        <v>1337</v>
      </c>
      <c r="G6" s="25" t="s">
        <v>1369</v>
      </c>
      <c r="I6" s="25" t="s">
        <v>1370</v>
      </c>
      <c r="J6" s="25" t="s">
        <v>1371</v>
      </c>
      <c r="K6" s="25" t="s">
        <v>920</v>
      </c>
      <c r="L6" s="25" t="s">
        <v>1372</v>
      </c>
      <c r="M6" s="25" t="s">
        <v>922</v>
      </c>
      <c r="N6" s="25" t="s">
        <v>1233</v>
      </c>
      <c r="P6" s="25" t="s">
        <v>1226</v>
      </c>
      <c r="Q6" s="25" t="s">
        <v>1233</v>
      </c>
      <c r="S6" s="25" t="s">
        <v>1373</v>
      </c>
      <c r="T6" s="25" t="s">
        <v>1374</v>
      </c>
      <c r="V6" s="25" t="str">
        <f>VLOOKUP(J6,'records (2)'!$A:$Z,16,FALSE)</f>
        <v>sleveque@tenneco.com</v>
      </c>
    </row>
    <row r="7" spans="1:22" hidden="1">
      <c r="A7" s="25" t="s">
        <v>589</v>
      </c>
      <c r="B7" s="25" t="s">
        <v>588</v>
      </c>
      <c r="C7" s="25" t="s">
        <v>1375</v>
      </c>
      <c r="D7" s="25" t="s">
        <v>1376</v>
      </c>
      <c r="E7" s="25" t="s">
        <v>1337</v>
      </c>
      <c r="G7" s="25" t="s">
        <v>1377</v>
      </c>
      <c r="I7" s="25" t="s">
        <v>1378</v>
      </c>
      <c r="J7" s="25" t="s">
        <v>1379</v>
      </c>
      <c r="K7" s="25" t="s">
        <v>587</v>
      </c>
      <c r="L7" s="25" t="s">
        <v>1380</v>
      </c>
      <c r="M7" s="25" t="s">
        <v>1375</v>
      </c>
      <c r="N7" s="25" t="s">
        <v>1233</v>
      </c>
      <c r="P7" s="25" t="s">
        <v>1226</v>
      </c>
      <c r="Q7" s="25" t="s">
        <v>1233</v>
      </c>
      <c r="S7" s="25" t="s">
        <v>1381</v>
      </c>
      <c r="T7" s="25" t="s">
        <v>1382</v>
      </c>
      <c r="V7" s="25" t="str">
        <f>VLOOKUP(J7,'records (2)'!$A:$Z,16,FALSE)</f>
        <v>accueilfactures.excelvision@fareva.com</v>
      </c>
    </row>
    <row r="8" spans="1:22" hidden="1">
      <c r="A8" s="25" t="s">
        <v>1008</v>
      </c>
      <c r="B8" s="25" t="s">
        <v>1007</v>
      </c>
      <c r="C8" s="25" t="s">
        <v>1383</v>
      </c>
      <c r="D8" s="25" t="s">
        <v>1384</v>
      </c>
      <c r="E8" s="25" t="s">
        <v>1337</v>
      </c>
      <c r="G8" s="25" t="s">
        <v>1385</v>
      </c>
      <c r="I8" s="25" t="s">
        <v>1386</v>
      </c>
      <c r="J8" s="25" t="s">
        <v>1387</v>
      </c>
      <c r="K8" s="25" t="s">
        <v>1005</v>
      </c>
      <c r="L8" s="25" t="s">
        <v>1388</v>
      </c>
      <c r="M8" s="25" t="s">
        <v>1383</v>
      </c>
      <c r="N8" s="25" t="s">
        <v>1233</v>
      </c>
      <c r="P8" s="25" t="s">
        <v>1226</v>
      </c>
      <c r="Q8" s="25" t="s">
        <v>1233</v>
      </c>
      <c r="S8" s="25" t="s">
        <v>1389</v>
      </c>
      <c r="T8" s="25" t="s">
        <v>1390</v>
      </c>
      <c r="V8" s="25" t="str">
        <f>VLOOKUP(J8,'records (2)'!$A:$Z,16,FALSE)</f>
        <v>fcormoreche@lafuma-mobilier.fr</v>
      </c>
    </row>
    <row r="9" spans="1:22" hidden="1">
      <c r="A9" s="25" t="s">
        <v>724</v>
      </c>
      <c r="B9" s="25" t="s">
        <v>723</v>
      </c>
      <c r="C9" s="25" t="s">
        <v>1391</v>
      </c>
      <c r="D9" s="25" t="s">
        <v>1392</v>
      </c>
      <c r="E9" s="25" t="s">
        <v>1337</v>
      </c>
      <c r="G9" s="25" t="s">
        <v>1393</v>
      </c>
      <c r="I9" s="25" t="s">
        <v>1394</v>
      </c>
      <c r="J9" s="25" t="s">
        <v>1395</v>
      </c>
      <c r="K9" s="25" t="s">
        <v>721</v>
      </c>
      <c r="L9" s="25" t="s">
        <v>1396</v>
      </c>
      <c r="M9" s="25" t="s">
        <v>1391</v>
      </c>
      <c r="N9" s="25" t="s">
        <v>1233</v>
      </c>
      <c r="P9" s="25" t="s">
        <v>1226</v>
      </c>
      <c r="Q9" s="25" t="s">
        <v>1233</v>
      </c>
      <c r="S9" s="25" t="s">
        <v>1397</v>
      </c>
      <c r="T9" s="25" t="s">
        <v>1398</v>
      </c>
      <c r="V9" s="25" t="str">
        <f>VLOOKUP(J9,'records (2)'!$A:$Z,16,FALSE)</f>
        <v>thomas.bruneau@ksb.com</v>
      </c>
    </row>
    <row r="10" spans="1:22" hidden="1">
      <c r="A10" s="25" t="s">
        <v>531</v>
      </c>
      <c r="B10" s="25" t="s">
        <v>530</v>
      </c>
      <c r="C10" s="25" t="s">
        <v>1399</v>
      </c>
      <c r="D10" s="25" t="s">
        <v>1400</v>
      </c>
      <c r="E10" s="25" t="s">
        <v>1337</v>
      </c>
      <c r="F10" s="25" t="s">
        <v>1401</v>
      </c>
      <c r="G10" s="25" t="s">
        <v>1402</v>
      </c>
      <c r="I10" s="25" t="s">
        <v>1403</v>
      </c>
      <c r="J10" s="25" t="s">
        <v>1271</v>
      </c>
      <c r="K10" s="25" t="s">
        <v>529</v>
      </c>
      <c r="L10" s="25" t="s">
        <v>1404</v>
      </c>
      <c r="M10" s="25" t="s">
        <v>1399</v>
      </c>
      <c r="N10" s="25" t="s">
        <v>1233</v>
      </c>
      <c r="P10" s="25" t="s">
        <v>1226</v>
      </c>
      <c r="Q10" s="25" t="s">
        <v>1233</v>
      </c>
      <c r="S10" s="25" t="s">
        <v>1405</v>
      </c>
      <c r="T10" s="25" t="s">
        <v>1406</v>
      </c>
      <c r="V10" s="25" t="str">
        <f>VLOOKUP(J10,'records (2)'!$A:$Z,16,FALSE)</f>
        <v>recrutementdpsii@danfoss.com</v>
      </c>
    </row>
    <row r="11" spans="1:22" hidden="1">
      <c r="A11" s="25" t="s">
        <v>172</v>
      </c>
      <c r="B11" s="25" t="s">
        <v>171</v>
      </c>
      <c r="C11" s="25" t="s">
        <v>1407</v>
      </c>
      <c r="D11" s="25" t="s">
        <v>1408</v>
      </c>
      <c r="E11" s="25" t="s">
        <v>1337</v>
      </c>
      <c r="G11" s="25" t="s">
        <v>1409</v>
      </c>
      <c r="I11" s="25" t="s">
        <v>1410</v>
      </c>
      <c r="J11" s="25" t="s">
        <v>1411</v>
      </c>
      <c r="K11" s="25" t="s">
        <v>169</v>
      </c>
      <c r="L11" s="25" t="s">
        <v>1412</v>
      </c>
      <c r="M11" s="25" t="s">
        <v>1407</v>
      </c>
      <c r="N11" s="25" t="s">
        <v>1233</v>
      </c>
      <c r="P11" s="25" t="s">
        <v>1226</v>
      </c>
      <c r="Q11" s="25" t="s">
        <v>1233</v>
      </c>
      <c r="S11" s="25" t="s">
        <v>1413</v>
      </c>
      <c r="T11" s="25" t="s">
        <v>1414</v>
      </c>
      <c r="V11" s="25" t="str">
        <f>VLOOKUP(J11,'records (2)'!$A:$Z,16,FALSE)</f>
        <v>amelie.rousselot@sisley.fr</v>
      </c>
    </row>
    <row r="12" spans="1:22" hidden="1">
      <c r="A12" s="25" t="s">
        <v>951</v>
      </c>
      <c r="B12" s="25" t="s">
        <v>950</v>
      </c>
      <c r="C12" s="25" t="s">
        <v>1415</v>
      </c>
      <c r="D12" s="25" t="s">
        <v>1416</v>
      </c>
      <c r="E12" s="25" t="s">
        <v>1337</v>
      </c>
      <c r="G12" s="25" t="s">
        <v>1417</v>
      </c>
      <c r="I12" s="25" t="s">
        <v>1418</v>
      </c>
      <c r="J12" s="25" t="s">
        <v>1419</v>
      </c>
      <c r="K12" s="25" t="s">
        <v>949</v>
      </c>
      <c r="L12" s="25" t="s">
        <v>1420</v>
      </c>
      <c r="M12" s="25" t="s">
        <v>1415</v>
      </c>
      <c r="N12" s="25" t="s">
        <v>1233</v>
      </c>
      <c r="P12" s="25" t="s">
        <v>1226</v>
      </c>
      <c r="Q12" s="25" t="s">
        <v>1233</v>
      </c>
      <c r="S12" s="25" t="s">
        <v>1421</v>
      </c>
      <c r="T12" s="25" t="s">
        <v>1422</v>
      </c>
      <c r="V12" s="25" t="str">
        <f>VLOOKUP(J12,'records (2)'!$A:$Z,16,FALSE)</f>
        <v>christine.bontemps@voestalpine.com</v>
      </c>
    </row>
    <row r="13" spans="1:22" hidden="1">
      <c r="A13" s="25" t="s">
        <v>257</v>
      </c>
      <c r="B13" s="25" t="s">
        <v>256</v>
      </c>
      <c r="C13" s="25" t="s">
        <v>1423</v>
      </c>
      <c r="D13" s="25" t="s">
        <v>1424</v>
      </c>
      <c r="E13" s="25" t="s">
        <v>1337</v>
      </c>
      <c r="F13" s="25" t="s">
        <v>1425</v>
      </c>
      <c r="G13" s="25" t="s">
        <v>1426</v>
      </c>
      <c r="I13" s="25" t="s">
        <v>1427</v>
      </c>
      <c r="J13" s="25" t="s">
        <v>1288</v>
      </c>
      <c r="K13" s="25" t="s">
        <v>254</v>
      </c>
      <c r="L13" s="25" t="s">
        <v>1428</v>
      </c>
      <c r="M13" s="25" t="s">
        <v>1423</v>
      </c>
      <c r="N13" s="25" t="s">
        <v>1233</v>
      </c>
      <c r="P13" s="25" t="s">
        <v>1226</v>
      </c>
      <c r="Q13" s="25" t="s">
        <v>1233</v>
      </c>
      <c r="S13" s="25" t="s">
        <v>1429</v>
      </c>
      <c r="T13" s="25" t="s">
        <v>1430</v>
      </c>
      <c r="V13" s="25" t="str">
        <f>VLOOKUP(J13,'records (2)'!$A:$Z,16,FALSE)</f>
        <v>m.perez@lesaffre.com</v>
      </c>
    </row>
    <row r="14" spans="1:22" hidden="1">
      <c r="A14" s="25" t="s">
        <v>789</v>
      </c>
      <c r="B14" s="25" t="s">
        <v>788</v>
      </c>
      <c r="C14" s="25" t="s">
        <v>1431</v>
      </c>
      <c r="D14" s="25" t="s">
        <v>1432</v>
      </c>
      <c r="E14" s="25" t="s">
        <v>1337</v>
      </c>
      <c r="G14" s="25" t="s">
        <v>1433</v>
      </c>
      <c r="I14" s="25" t="s">
        <v>1434</v>
      </c>
      <c r="J14" s="25" t="s">
        <v>1304</v>
      </c>
      <c r="K14" s="25" t="s">
        <v>786</v>
      </c>
      <c r="L14" s="25" t="s">
        <v>1435</v>
      </c>
      <c r="M14" s="25" t="s">
        <v>1431</v>
      </c>
      <c r="N14" s="25" t="s">
        <v>1233</v>
      </c>
      <c r="P14" s="25" t="s">
        <v>1226</v>
      </c>
      <c r="Q14" s="25" t="s">
        <v>1233</v>
      </c>
      <c r="S14" s="25" t="s">
        <v>1436</v>
      </c>
      <c r="T14" s="25" t="s">
        <v>1437</v>
      </c>
      <c r="V14" s="25" t="str">
        <f>VLOOKUP(J14,'records (2)'!$A:$Z,16,FALSE)</f>
        <v>frver.comptafournisseurs@nemera.net</v>
      </c>
    </row>
    <row r="15" spans="1:22" hidden="1">
      <c r="A15" s="25" t="s">
        <v>727</v>
      </c>
      <c r="B15" s="25" t="s">
        <v>726</v>
      </c>
      <c r="C15" s="25" t="s">
        <v>1391</v>
      </c>
      <c r="D15" s="25" t="s">
        <v>1438</v>
      </c>
      <c r="E15" s="25" t="s">
        <v>1337</v>
      </c>
      <c r="F15" s="25" t="s">
        <v>1439</v>
      </c>
      <c r="G15" s="25" t="s">
        <v>1440</v>
      </c>
      <c r="I15" s="25" t="s">
        <v>1441</v>
      </c>
      <c r="J15" s="25" t="s">
        <v>1442</v>
      </c>
      <c r="K15" s="25" t="s">
        <v>725</v>
      </c>
      <c r="L15" s="25" t="s">
        <v>1443</v>
      </c>
      <c r="M15" s="25" t="s">
        <v>1391</v>
      </c>
      <c r="N15" s="25" t="s">
        <v>1233</v>
      </c>
      <c r="P15" s="25" t="s">
        <v>1226</v>
      </c>
      <c r="Q15" s="25" t="s">
        <v>1233</v>
      </c>
      <c r="S15" s="25" t="s">
        <v>1444</v>
      </c>
      <c r="T15" s="25" t="s">
        <v>1398</v>
      </c>
      <c r="V15" s="25" t="str">
        <f>VLOOKUP(J15,'records (2)'!$A:$Z,16,FALSE)</f>
        <v>herve.decroos@ksb.com</v>
      </c>
    </row>
    <row r="16" spans="1:22" hidden="1">
      <c r="A16" s="25" t="s">
        <v>221</v>
      </c>
      <c r="B16" s="25" t="s">
        <v>220</v>
      </c>
      <c r="C16" s="25" t="s">
        <v>1445</v>
      </c>
      <c r="D16" s="25" t="s">
        <v>1446</v>
      </c>
      <c r="E16" s="25" t="s">
        <v>1337</v>
      </c>
      <c r="G16" s="25" t="s">
        <v>1447</v>
      </c>
      <c r="I16" s="25" t="s">
        <v>1448</v>
      </c>
      <c r="J16" s="25" t="s">
        <v>1449</v>
      </c>
      <c r="K16" s="25" t="s">
        <v>218</v>
      </c>
      <c r="L16" s="25" t="s">
        <v>1450</v>
      </c>
      <c r="M16" s="25" t="s">
        <v>1445</v>
      </c>
      <c r="N16" s="25" t="s">
        <v>1233</v>
      </c>
      <c r="P16" s="25" t="s">
        <v>1226</v>
      </c>
      <c r="Q16" s="25" t="s">
        <v>1233</v>
      </c>
      <c r="S16" s="25" t="s">
        <v>1451</v>
      </c>
      <c r="T16" s="25" t="s">
        <v>1452</v>
      </c>
      <c r="V16" s="25" t="str">
        <f>VLOOKUP(J16,'records (2)'!$A:$Z,16,FALSE)</f>
        <v>ap3110ivcfranceoperations@invacare.com</v>
      </c>
    </row>
    <row r="17" spans="1:22" hidden="1">
      <c r="A17" s="25" t="s">
        <v>1156</v>
      </c>
      <c r="B17" s="25" t="s">
        <v>1155</v>
      </c>
      <c r="C17" s="25" t="s">
        <v>1453</v>
      </c>
      <c r="D17" s="25" t="s">
        <v>1454</v>
      </c>
      <c r="E17" s="25" t="s">
        <v>1337</v>
      </c>
      <c r="G17" s="25" t="s">
        <v>1455</v>
      </c>
      <c r="I17" s="25" t="s">
        <v>1456</v>
      </c>
      <c r="J17" s="25" t="s">
        <v>1315</v>
      </c>
      <c r="K17" s="25" t="s">
        <v>1153</v>
      </c>
      <c r="L17" s="25" t="s">
        <v>1457</v>
      </c>
      <c r="M17" s="25" t="s">
        <v>1453</v>
      </c>
      <c r="N17" s="25" t="s">
        <v>1233</v>
      </c>
      <c r="P17" s="25" t="s">
        <v>1226</v>
      </c>
      <c r="Q17" s="25" t="s">
        <v>1233</v>
      </c>
      <c r="S17" s="25" t="s">
        <v>1458</v>
      </c>
      <c r="T17" s="25" t="s">
        <v>1459</v>
      </c>
      <c r="V17" s="25" t="str">
        <f>VLOOKUP(J17,'records (2)'!$A:$Z,16,FALSE)</f>
        <v>catherine.bogemans@kuraray.com</v>
      </c>
    </row>
    <row r="18" spans="1:22" hidden="1">
      <c r="A18" s="25" t="s">
        <v>1039</v>
      </c>
      <c r="B18" s="25" t="s">
        <v>1038</v>
      </c>
      <c r="C18" s="25" t="s">
        <v>1460</v>
      </c>
      <c r="D18" s="25" t="s">
        <v>1461</v>
      </c>
      <c r="E18" s="25" t="s">
        <v>1337</v>
      </c>
      <c r="G18" s="25" t="s">
        <v>1462</v>
      </c>
      <c r="I18" s="25" t="s">
        <v>1463</v>
      </c>
      <c r="J18" s="25" t="s">
        <v>1312</v>
      </c>
      <c r="K18" s="25" t="s">
        <v>1037</v>
      </c>
      <c r="L18" s="25" t="s">
        <v>1464</v>
      </c>
      <c r="M18" s="25" t="s">
        <v>1460</v>
      </c>
      <c r="N18" s="25" t="s">
        <v>1233</v>
      </c>
      <c r="P18" s="25" t="s">
        <v>1465</v>
      </c>
      <c r="Q18" s="25" t="s">
        <v>1233</v>
      </c>
      <c r="S18" s="25" t="s">
        <v>1466</v>
      </c>
      <c r="T18" s="25" t="s">
        <v>1467</v>
      </c>
      <c r="V18" s="25" t="str">
        <f>VLOOKUP(J18,'records (2)'!$A:$Z,16,FALSE)</f>
        <v>apinvoicesdunkerque@astrazeneca.com</v>
      </c>
    </row>
    <row r="19" spans="1:22" hidden="1">
      <c r="A19" s="25" t="s">
        <v>84</v>
      </c>
      <c r="B19" s="25" t="s">
        <v>83</v>
      </c>
      <c r="C19" s="25" t="s">
        <v>1468</v>
      </c>
      <c r="D19" s="25" t="s">
        <v>1469</v>
      </c>
      <c r="E19" s="25" t="s">
        <v>1337</v>
      </c>
      <c r="G19" s="25" t="s">
        <v>1470</v>
      </c>
      <c r="I19" s="25" t="s">
        <v>1471</v>
      </c>
      <c r="J19" s="25" t="s">
        <v>1472</v>
      </c>
      <c r="K19" s="25" t="s">
        <v>81</v>
      </c>
      <c r="L19" s="25" t="s">
        <v>1473</v>
      </c>
      <c r="M19" s="25" t="s">
        <v>1468</v>
      </c>
      <c r="N19" s="25" t="s">
        <v>1233</v>
      </c>
      <c r="P19" s="25" t="s">
        <v>1226</v>
      </c>
      <c r="Q19" s="25" t="s">
        <v>1233</v>
      </c>
      <c r="S19" s="25" t="s">
        <v>1474</v>
      </c>
      <c r="T19" s="25" t="s">
        <v>1475</v>
      </c>
      <c r="V19" s="25" t="str">
        <f>VLOOKUP(J19,'records (2)'!$A:$Z,16,FALSE)</f>
        <v>erwan.morvan@ball.com</v>
      </c>
    </row>
    <row r="20" spans="1:22" hidden="1">
      <c r="A20" s="25" t="s">
        <v>807</v>
      </c>
      <c r="B20" s="25" t="s">
        <v>806</v>
      </c>
      <c r="C20" s="25" t="s">
        <v>1476</v>
      </c>
      <c r="D20" s="25" t="s">
        <v>1477</v>
      </c>
      <c r="E20" s="25" t="s">
        <v>1337</v>
      </c>
      <c r="F20" s="25" t="s">
        <v>1478</v>
      </c>
      <c r="G20" s="25" t="s">
        <v>1479</v>
      </c>
      <c r="I20" s="25" t="s">
        <v>1480</v>
      </c>
      <c r="J20" s="25" t="s">
        <v>1481</v>
      </c>
      <c r="K20" s="25" t="s">
        <v>805</v>
      </c>
      <c r="L20" s="25" t="s">
        <v>1482</v>
      </c>
      <c r="M20" s="25" t="s">
        <v>1476</v>
      </c>
      <c r="N20" s="25" t="s">
        <v>1233</v>
      </c>
      <c r="P20" s="25" t="s">
        <v>1226</v>
      </c>
      <c r="Q20" s="25" t="s">
        <v>1233</v>
      </c>
      <c r="S20" s="25" t="s">
        <v>1483</v>
      </c>
      <c r="T20" s="25" t="s">
        <v>1484</v>
      </c>
      <c r="V20" s="25" t="str">
        <f>VLOOKUP(J20,'records (2)'!$A:$Z,16,FALSE)</f>
        <v>aurelie.boissonneau@plastivaloire.com</v>
      </c>
    </row>
    <row r="21" spans="1:22" hidden="1">
      <c r="A21" s="25" t="s">
        <v>123</v>
      </c>
      <c r="B21" s="25" t="s">
        <v>122</v>
      </c>
      <c r="C21" s="25" t="s">
        <v>1485</v>
      </c>
      <c r="D21" s="25" t="s">
        <v>1486</v>
      </c>
      <c r="E21" s="25" t="s">
        <v>1337</v>
      </c>
      <c r="F21" s="25" t="s">
        <v>1487</v>
      </c>
      <c r="G21" s="25" t="s">
        <v>1488</v>
      </c>
      <c r="I21" s="25" t="s">
        <v>1489</v>
      </c>
      <c r="J21" s="25" t="s">
        <v>1490</v>
      </c>
      <c r="K21" s="25" t="s">
        <v>120</v>
      </c>
      <c r="L21" s="25" t="s">
        <v>1491</v>
      </c>
      <c r="M21" s="25" t="s">
        <v>1485</v>
      </c>
      <c r="N21" s="25" t="s">
        <v>1233</v>
      </c>
      <c r="P21" s="25" t="s">
        <v>1226</v>
      </c>
      <c r="Q21" s="25" t="s">
        <v>1233</v>
      </c>
      <c r="S21" s="25" t="s">
        <v>1492</v>
      </c>
      <c r="T21" s="25" t="s">
        <v>1493</v>
      </c>
      <c r="V21" s="25" t="str">
        <f>VLOOKUP(J21,'records (2)'!$A:$Z,16,FALSE)</f>
        <v>arbcomptacrf@crl.com</v>
      </c>
    </row>
    <row r="22" spans="1:22" hidden="1">
      <c r="A22" s="25" t="s">
        <v>1004</v>
      </c>
      <c r="B22" s="25" t="s">
        <v>1003</v>
      </c>
      <c r="C22" s="25" t="s">
        <v>1494</v>
      </c>
      <c r="D22" s="25" t="s">
        <v>1495</v>
      </c>
      <c r="E22" s="25" t="s">
        <v>1337</v>
      </c>
      <c r="G22" s="25" t="s">
        <v>1496</v>
      </c>
      <c r="I22" s="25" t="s">
        <v>1497</v>
      </c>
      <c r="J22" s="25" t="s">
        <v>1498</v>
      </c>
      <c r="K22" s="25" t="s">
        <v>1002</v>
      </c>
      <c r="L22" s="25" t="s">
        <v>1499</v>
      </c>
      <c r="M22" s="25" t="s">
        <v>1494</v>
      </c>
      <c r="N22" s="25" t="s">
        <v>1233</v>
      </c>
      <c r="P22" s="25" t="s">
        <v>1226</v>
      </c>
      <c r="Q22" s="25" t="s">
        <v>1233</v>
      </c>
      <c r="S22" s="25" t="s">
        <v>1500</v>
      </c>
      <c r="T22" s="25" t="s">
        <v>1501</v>
      </c>
      <c r="V22" s="25" t="str">
        <f>VLOOKUP(J22,'records (2)'!$A:$Z,16,FALSE)</f>
        <v>jennifer.chippaux@restonis.fr</v>
      </c>
    </row>
    <row r="23" spans="1:22" hidden="1">
      <c r="A23" s="25" t="s">
        <v>313</v>
      </c>
      <c r="B23" s="25" t="s">
        <v>312</v>
      </c>
      <c r="C23" s="25" t="s">
        <v>1502</v>
      </c>
      <c r="D23" s="25" t="s">
        <v>1503</v>
      </c>
      <c r="E23" s="25" t="s">
        <v>1337</v>
      </c>
      <c r="G23" s="25" t="s">
        <v>1504</v>
      </c>
      <c r="I23" s="25" t="s">
        <v>1505</v>
      </c>
      <c r="J23" s="25" t="s">
        <v>1506</v>
      </c>
      <c r="K23" s="25" t="s">
        <v>310</v>
      </c>
      <c r="L23" s="25" t="s">
        <v>1507</v>
      </c>
      <c r="M23" s="25" t="s">
        <v>1502</v>
      </c>
      <c r="N23" s="25" t="s">
        <v>1233</v>
      </c>
      <c r="P23" s="25" t="s">
        <v>1226</v>
      </c>
      <c r="Q23" s="25" t="s">
        <v>1233</v>
      </c>
      <c r="S23" s="25" t="s">
        <v>1508</v>
      </c>
      <c r="T23" s="25" t="s">
        <v>1509</v>
      </c>
      <c r="V23" s="25" t="str">
        <f>VLOOKUP(J23,'records (2)'!$A:$Z,16,FALSE)</f>
        <v>alexis.dohein@nyrstar.com</v>
      </c>
    </row>
    <row r="24" spans="1:22" hidden="1">
      <c r="A24" s="25" t="s">
        <v>1100</v>
      </c>
      <c r="B24" s="25" t="s">
        <v>1099</v>
      </c>
      <c r="C24" s="25" t="s">
        <v>1510</v>
      </c>
      <c r="D24" s="25" t="s">
        <v>1511</v>
      </c>
      <c r="E24" s="25" t="s">
        <v>1337</v>
      </c>
      <c r="F24" s="25" t="s">
        <v>1512</v>
      </c>
      <c r="G24" s="25" t="s">
        <v>1513</v>
      </c>
      <c r="I24" s="25" t="s">
        <v>1514</v>
      </c>
      <c r="J24" s="25" t="s">
        <v>1314</v>
      </c>
      <c r="K24" s="25" t="s">
        <v>1097</v>
      </c>
      <c r="L24" s="25" t="s">
        <v>1515</v>
      </c>
      <c r="M24" s="25" t="s">
        <v>1510</v>
      </c>
      <c r="N24" s="25" t="s">
        <v>1233</v>
      </c>
      <c r="P24" s="25" t="s">
        <v>1226</v>
      </c>
      <c r="Q24" s="25" t="s">
        <v>1233</v>
      </c>
      <c r="T24" s="25" t="s">
        <v>1516</v>
      </c>
      <c r="V24" s="25" t="str">
        <f>VLOOKUP(J24,'records (2)'!$A:$Z,16,FALSE)</f>
        <v>automotive.compta@ineos.com</v>
      </c>
    </row>
    <row r="25" spans="1:22" hidden="1">
      <c r="A25" s="25" t="s">
        <v>471</v>
      </c>
      <c r="B25" s="25" t="s">
        <v>470</v>
      </c>
      <c r="C25" s="25" t="s">
        <v>1230</v>
      </c>
      <c r="D25" s="25" t="s">
        <v>1232</v>
      </c>
      <c r="E25" s="25" t="s">
        <v>1337</v>
      </c>
      <c r="G25" s="25" t="s">
        <v>1517</v>
      </c>
      <c r="I25" s="25" t="s">
        <v>1231</v>
      </c>
      <c r="J25" s="25" t="s">
        <v>1289</v>
      </c>
      <c r="K25" s="25" t="s">
        <v>468</v>
      </c>
      <c r="L25" s="25" t="s">
        <v>1518</v>
      </c>
      <c r="M25" s="25" t="s">
        <v>1230</v>
      </c>
      <c r="N25" s="25" t="s">
        <v>1233</v>
      </c>
      <c r="P25" s="25" t="s">
        <v>1226</v>
      </c>
      <c r="Q25" s="25" t="s">
        <v>1233</v>
      </c>
      <c r="S25" s="25" t="s">
        <v>1519</v>
      </c>
      <c r="T25" s="25" t="s">
        <v>1229</v>
      </c>
      <c r="V25" s="25" t="str">
        <f>VLOOKUP(J25,'records (2)'!$A:$Z,16,FALSE)</f>
        <v>alexandragrossat@berryglobal.com</v>
      </c>
    </row>
    <row r="26" spans="1:22" hidden="1">
      <c r="A26" s="25" t="s">
        <v>490</v>
      </c>
      <c r="B26" s="25" t="s">
        <v>489</v>
      </c>
      <c r="C26" s="25" t="s">
        <v>1520</v>
      </c>
      <c r="D26" s="25" t="s">
        <v>1521</v>
      </c>
      <c r="E26" s="25" t="s">
        <v>1337</v>
      </c>
      <c r="G26" s="25" t="s">
        <v>1522</v>
      </c>
      <c r="I26" s="25" t="s">
        <v>1523</v>
      </c>
      <c r="J26" s="25" t="s">
        <v>1524</v>
      </c>
      <c r="K26" s="25" t="s">
        <v>488</v>
      </c>
      <c r="L26" s="25" t="s">
        <v>1525</v>
      </c>
      <c r="M26" s="25" t="s">
        <v>1520</v>
      </c>
      <c r="N26" s="25" t="s">
        <v>1233</v>
      </c>
      <c r="P26" s="25" t="s">
        <v>1226</v>
      </c>
      <c r="Q26" s="25" t="s">
        <v>1233</v>
      </c>
      <c r="S26" s="25" t="s">
        <v>1526</v>
      </c>
      <c r="T26" s="25" t="s">
        <v>1527</v>
      </c>
      <c r="V26" s="25" t="str">
        <f>VLOOKUP(J26,'records (2)'!$A:$Z,16,FALSE)</f>
        <v>bcouet@carea.fr</v>
      </c>
    </row>
    <row r="27" spans="1:22" hidden="1">
      <c r="A27" s="25" t="s">
        <v>328</v>
      </c>
      <c r="B27" s="25" t="s">
        <v>327</v>
      </c>
      <c r="C27" s="25" t="s">
        <v>1528</v>
      </c>
      <c r="D27" s="25" t="s">
        <v>1529</v>
      </c>
      <c r="E27" s="25" t="s">
        <v>1337</v>
      </c>
      <c r="G27" s="25" t="s">
        <v>1530</v>
      </c>
      <c r="I27" s="25" t="s">
        <v>1531</v>
      </c>
      <c r="J27" s="25" t="s">
        <v>1297</v>
      </c>
      <c r="K27" s="25" t="s">
        <v>325</v>
      </c>
      <c r="L27" s="25" t="s">
        <v>1532</v>
      </c>
      <c r="M27" s="25" t="s">
        <v>1528</v>
      </c>
      <c r="N27" s="25" t="s">
        <v>1233</v>
      </c>
      <c r="P27" s="25" t="s">
        <v>1226</v>
      </c>
      <c r="Q27" s="25" t="s">
        <v>1233</v>
      </c>
      <c r="S27" s="25" t="s">
        <v>1533</v>
      </c>
      <c r="T27" s="25" t="s">
        <v>1534</v>
      </c>
      <c r="V27" s="25" t="str">
        <f>VLOOKUP(J27,'records (2)'!$A:$Z,16,FALSE)</f>
        <v>beatrice.chretien@oterra.com</v>
      </c>
    </row>
    <row r="28" spans="1:22" hidden="1">
      <c r="A28" s="25" t="s">
        <v>191</v>
      </c>
      <c r="B28" s="25" t="s">
        <v>190</v>
      </c>
      <c r="C28" s="25" t="s">
        <v>1535</v>
      </c>
      <c r="D28" s="25" t="s">
        <v>1536</v>
      </c>
      <c r="E28" s="25" t="s">
        <v>1337</v>
      </c>
      <c r="G28" s="25" t="s">
        <v>1537</v>
      </c>
      <c r="I28" s="25" t="s">
        <v>1538</v>
      </c>
      <c r="J28" s="25" t="s">
        <v>1539</v>
      </c>
      <c r="K28" s="25" t="s">
        <v>188</v>
      </c>
      <c r="L28" s="25" t="s">
        <v>1540</v>
      </c>
      <c r="M28" s="25" t="s">
        <v>1535</v>
      </c>
      <c r="N28" s="25" t="s">
        <v>1233</v>
      </c>
      <c r="P28" s="25" t="s">
        <v>1226</v>
      </c>
      <c r="Q28" s="25" t="s">
        <v>1233</v>
      </c>
      <c r="S28" s="25" t="s">
        <v>1541</v>
      </c>
      <c r="T28" s="25" t="s">
        <v>1542</v>
      </c>
      <c r="V28" s="25" t="str">
        <f>VLOOKUP(J28,'records (2)'!$A:$Z,16,FALSE)</f>
        <v>benoit.pinon@grouperioland.fr</v>
      </c>
    </row>
    <row r="29" spans="1:22" hidden="1">
      <c r="A29" s="25" t="s">
        <v>538</v>
      </c>
      <c r="B29" s="25" t="s">
        <v>537</v>
      </c>
      <c r="C29" s="25" t="s">
        <v>1543</v>
      </c>
      <c r="D29" s="25" t="s">
        <v>1544</v>
      </c>
      <c r="E29" s="25" t="s">
        <v>1337</v>
      </c>
      <c r="G29" s="25" t="s">
        <v>1545</v>
      </c>
      <c r="I29" s="25" t="s">
        <v>1546</v>
      </c>
      <c r="J29" s="25" t="s">
        <v>1547</v>
      </c>
      <c r="K29" s="25" t="s">
        <v>535</v>
      </c>
      <c r="L29" s="25" t="s">
        <v>1548</v>
      </c>
      <c r="M29" s="25" t="s">
        <v>1543</v>
      </c>
      <c r="N29" s="25" t="s">
        <v>1233</v>
      </c>
      <c r="P29" s="25" t="s">
        <v>1226</v>
      </c>
      <c r="Q29" s="25" t="s">
        <v>1233</v>
      </c>
      <c r="S29" s="25" t="s">
        <v>1549</v>
      </c>
      <c r="T29" s="25" t="s">
        <v>1550</v>
      </c>
      <c r="V29" s="25" t="str">
        <f>VLOOKUP(J29,'records (2)'!$A:$Z,16,FALSE)</f>
        <v>lea.monaci@dps-beaune.com</v>
      </c>
    </row>
    <row r="30" spans="1:22" hidden="1">
      <c r="A30" s="25" t="s">
        <v>483</v>
      </c>
      <c r="B30" s="25" t="s">
        <v>482</v>
      </c>
      <c r="C30" s="25" t="s">
        <v>1551</v>
      </c>
      <c r="D30" s="25" t="s">
        <v>1552</v>
      </c>
      <c r="E30" s="25" t="s">
        <v>1337</v>
      </c>
      <c r="G30" s="25" t="s">
        <v>1553</v>
      </c>
      <c r="I30" s="25" t="s">
        <v>1554</v>
      </c>
      <c r="J30" s="25" t="s">
        <v>1555</v>
      </c>
      <c r="K30" s="25" t="s">
        <v>480</v>
      </c>
      <c r="L30" s="25" t="s">
        <v>1556</v>
      </c>
      <c r="M30" s="25" t="s">
        <v>1551</v>
      </c>
      <c r="N30" s="25" t="s">
        <v>1233</v>
      </c>
      <c r="P30" s="25" t="s">
        <v>1226</v>
      </c>
      <c r="Q30" s="25" t="s">
        <v>1233</v>
      </c>
      <c r="S30" s="25" t="s">
        <v>1557</v>
      </c>
      <c r="T30" s="25" t="s">
        <v>1558</v>
      </c>
      <c r="V30" s="25" t="str">
        <f>VLOOKUP(J30,'records (2)'!$A:$Z,16,FALSE)</f>
        <v>bjumelart@sherpa-logistique.fr</v>
      </c>
    </row>
    <row r="31" spans="1:22" hidden="1">
      <c r="A31" s="25" t="s">
        <v>893</v>
      </c>
      <c r="B31" s="25" t="s">
        <v>892</v>
      </c>
      <c r="C31" s="25" t="s">
        <v>1559</v>
      </c>
      <c r="D31" s="25" t="s">
        <v>1560</v>
      </c>
      <c r="E31" s="25" t="s">
        <v>1337</v>
      </c>
      <c r="G31" s="25" t="s">
        <v>1561</v>
      </c>
      <c r="I31" s="25" t="s">
        <v>1562</v>
      </c>
      <c r="J31" s="25" t="s">
        <v>1563</v>
      </c>
      <c r="K31" s="25" t="s">
        <v>890</v>
      </c>
      <c r="L31" s="25" t="s">
        <v>1564</v>
      </c>
      <c r="M31" s="25" t="s">
        <v>1559</v>
      </c>
      <c r="N31" s="25" t="s">
        <v>1233</v>
      </c>
      <c r="P31" s="25" t="s">
        <v>1226</v>
      </c>
      <c r="Q31" s="25" t="s">
        <v>1233</v>
      </c>
      <c r="S31" s="25" t="s">
        <v>1565</v>
      </c>
      <c r="T31" s="25" t="s">
        <v>1566</v>
      </c>
      <c r="V31" s="25" t="str">
        <f>VLOOKUP(J31,'records (2)'!$A:$Z,16,FALSE)</f>
        <v>bon.nathalie@rotarex.com</v>
      </c>
    </row>
    <row r="32" spans="1:22" hidden="1">
      <c r="A32" s="25" t="s">
        <v>108</v>
      </c>
      <c r="B32" s="25" t="s">
        <v>107</v>
      </c>
      <c r="C32" s="25" t="s">
        <v>1567</v>
      </c>
      <c r="D32" s="25" t="s">
        <v>1568</v>
      </c>
      <c r="E32" s="25" t="s">
        <v>1337</v>
      </c>
      <c r="G32" s="25" t="s">
        <v>1569</v>
      </c>
      <c r="I32" s="25" t="s">
        <v>1570</v>
      </c>
      <c r="J32" s="25" t="s">
        <v>1571</v>
      </c>
      <c r="K32" s="25" t="s">
        <v>106</v>
      </c>
      <c r="L32" s="25" t="s">
        <v>1572</v>
      </c>
      <c r="M32" s="25" t="s">
        <v>1567</v>
      </c>
      <c r="N32" s="25" t="s">
        <v>1233</v>
      </c>
      <c r="P32" s="25" t="s">
        <v>1226</v>
      </c>
      <c r="Q32" s="25" t="s">
        <v>1233</v>
      </c>
      <c r="S32" s="25" t="s">
        <v>1573</v>
      </c>
      <c r="T32" s="25" t="s">
        <v>1574</v>
      </c>
      <c r="V32" s="25" t="str">
        <f>VLOOKUP(J32,'records (2)'!$A:$Z,16,FALSE)</f>
        <v>c.gosse@groupe-bonnefoy.fr</v>
      </c>
    </row>
    <row r="33" spans="1:22" hidden="1">
      <c r="A33" s="25" t="s">
        <v>405</v>
      </c>
      <c r="B33" s="25" t="s">
        <v>404</v>
      </c>
      <c r="C33" s="25" t="s">
        <v>1575</v>
      </c>
      <c r="D33" s="25" t="s">
        <v>1576</v>
      </c>
      <c r="E33" s="25" t="s">
        <v>1337</v>
      </c>
      <c r="F33" s="25" t="s">
        <v>1577</v>
      </c>
      <c r="G33" s="25" t="s">
        <v>1578</v>
      </c>
      <c r="I33" s="25" t="s">
        <v>1579</v>
      </c>
      <c r="J33" s="25" t="s">
        <v>1580</v>
      </c>
      <c r="K33" s="25" t="s">
        <v>402</v>
      </c>
      <c r="L33" s="25" t="s">
        <v>1581</v>
      </c>
      <c r="M33" s="25" t="s">
        <v>1575</v>
      </c>
      <c r="P33" s="25" t="s">
        <v>1226</v>
      </c>
      <c r="Q33" s="25" t="s">
        <v>1233</v>
      </c>
      <c r="S33" s="25" t="s">
        <v>1582</v>
      </c>
      <c r="T33" s="25" t="s">
        <v>1583</v>
      </c>
      <c r="V33" s="25" t="str">
        <f>VLOOKUP(J33,'records (2)'!$A:$Z,16,FALSE)</f>
        <v>bruno.gratas@viantmedical.com</v>
      </c>
    </row>
    <row r="34" spans="1:22" hidden="1">
      <c r="A34" s="25" t="s">
        <v>69</v>
      </c>
      <c r="B34" s="25" t="s">
        <v>68</v>
      </c>
      <c r="C34" s="25" t="s">
        <v>1584</v>
      </c>
      <c r="D34" s="25" t="s">
        <v>1585</v>
      </c>
      <c r="E34" s="25" t="s">
        <v>1337</v>
      </c>
      <c r="F34" s="25" t="s">
        <v>1586</v>
      </c>
      <c r="G34" s="25" t="s">
        <v>1587</v>
      </c>
      <c r="I34" s="25" t="s">
        <v>1588</v>
      </c>
      <c r="J34" s="25" t="s">
        <v>1589</v>
      </c>
      <c r="K34" s="25" t="s">
        <v>67</v>
      </c>
      <c r="L34" s="25" t="s">
        <v>1590</v>
      </c>
      <c r="M34" s="25" t="s">
        <v>1584</v>
      </c>
      <c r="N34" s="25" t="s">
        <v>1233</v>
      </c>
      <c r="P34" s="25" t="s">
        <v>1226</v>
      </c>
      <c r="Q34" s="25" t="s">
        <v>1233</v>
      </c>
      <c r="S34" s="25" t="s">
        <v>1591</v>
      </c>
      <c r="T34" s="25" t="s">
        <v>1592</v>
      </c>
      <c r="V34" s="25" t="str">
        <f>VLOOKUP(J34,'records (2)'!$A:$Z,16,FALSE)</f>
        <v>stephanie.lemarchand@angdm.fr</v>
      </c>
    </row>
    <row r="35" spans="1:22" hidden="1">
      <c r="A35" s="25" t="s">
        <v>901</v>
      </c>
      <c r="B35" s="25" t="s">
        <v>900</v>
      </c>
      <c r="C35" s="25" t="s">
        <v>1593</v>
      </c>
      <c r="D35" s="25" t="s">
        <v>1594</v>
      </c>
      <c r="E35" s="25" t="s">
        <v>1337</v>
      </c>
      <c r="G35" s="25" t="s">
        <v>1595</v>
      </c>
      <c r="I35" s="25" t="s">
        <v>1596</v>
      </c>
      <c r="J35" s="25" t="s">
        <v>1597</v>
      </c>
      <c r="K35" s="25" t="s">
        <v>899</v>
      </c>
      <c r="L35" s="25" t="s">
        <v>1598</v>
      </c>
      <c r="M35" s="25" t="s">
        <v>1593</v>
      </c>
      <c r="N35" s="25" t="s">
        <v>1233</v>
      </c>
      <c r="P35" s="25" t="s">
        <v>1226</v>
      </c>
      <c r="Q35" s="25" t="s">
        <v>1233</v>
      </c>
      <c r="S35" s="25" t="s">
        <v>1599</v>
      </c>
      <c r="T35" s="25" t="s">
        <v>1600</v>
      </c>
      <c r="V35" s="25" t="str">
        <f>VLOOKUP(J35,'records (2)'!$A:$Z,16,FALSE)</f>
        <v>c.latil@socamel.com</v>
      </c>
    </row>
    <row r="36" spans="1:22" hidden="1">
      <c r="A36" s="25" t="s">
        <v>206</v>
      </c>
      <c r="B36" s="25" t="s">
        <v>205</v>
      </c>
      <c r="C36" s="25" t="s">
        <v>1601</v>
      </c>
      <c r="D36" s="25" t="s">
        <v>1602</v>
      </c>
      <c r="E36" s="25" t="s">
        <v>1337</v>
      </c>
      <c r="G36" s="25" t="s">
        <v>1603</v>
      </c>
      <c r="I36" s="25" t="s">
        <v>1604</v>
      </c>
      <c r="J36" s="25" t="s">
        <v>1287</v>
      </c>
      <c r="K36" s="25" t="s">
        <v>203</v>
      </c>
      <c r="L36" s="25" t="s">
        <v>1605</v>
      </c>
      <c r="M36" s="25" t="s">
        <v>1601</v>
      </c>
      <c r="N36" s="25" t="s">
        <v>1233</v>
      </c>
      <c r="P36" s="25" t="s">
        <v>1226</v>
      </c>
      <c r="Q36" s="25" t="s">
        <v>1233</v>
      </c>
      <c r="S36" s="25" t="s">
        <v>1606</v>
      </c>
      <c r="T36" s="25" t="s">
        <v>1607</v>
      </c>
      <c r="V36" s="25" t="str">
        <f>VLOOKUP(J36,'records (2)'!$A:$Z,16,FALSE)</f>
        <v>camille.meurin@kraftheinz.com</v>
      </c>
    </row>
    <row r="37" spans="1:22" hidden="1">
      <c r="A37" s="25" t="s">
        <v>294</v>
      </c>
      <c r="B37" s="25" t="s">
        <v>293</v>
      </c>
      <c r="C37" s="25" t="s">
        <v>1608</v>
      </c>
      <c r="D37" s="25" t="s">
        <v>1609</v>
      </c>
      <c r="E37" s="25" t="s">
        <v>1337</v>
      </c>
      <c r="G37" s="25" t="s">
        <v>1610</v>
      </c>
      <c r="I37" s="25" t="s">
        <v>1611</v>
      </c>
      <c r="J37" s="25" t="s">
        <v>1612</v>
      </c>
      <c r="K37" s="25" t="s">
        <v>291</v>
      </c>
      <c r="L37" s="25" t="s">
        <v>1613</v>
      </c>
      <c r="M37" s="25" t="s">
        <v>1608</v>
      </c>
      <c r="N37" s="25" t="s">
        <v>1233</v>
      </c>
      <c r="P37" s="25" t="s">
        <v>1226</v>
      </c>
      <c r="Q37" s="25" t="s">
        <v>1233</v>
      </c>
      <c r="S37" s="25" t="s">
        <v>1614</v>
      </c>
      <c r="T37" s="25" t="s">
        <v>1615</v>
      </c>
      <c r="V37" s="25" t="str">
        <f>VLOOKUP(J37,'records (2)'!$A:$Z,16,FALSE)</f>
        <v>david.jubien@mm.group</v>
      </c>
    </row>
    <row r="38" spans="1:22" hidden="1">
      <c r="A38" s="25" t="s">
        <v>778</v>
      </c>
      <c r="B38" s="25" t="s">
        <v>777</v>
      </c>
      <c r="C38" s="25" t="s">
        <v>1616</v>
      </c>
      <c r="D38" s="25" t="s">
        <v>1617</v>
      </c>
      <c r="E38" s="25" t="s">
        <v>1337</v>
      </c>
      <c r="G38" s="25" t="s">
        <v>1618</v>
      </c>
      <c r="I38" s="25" t="s">
        <v>1619</v>
      </c>
      <c r="J38" s="25" t="s">
        <v>1620</v>
      </c>
      <c r="K38" s="25" t="s">
        <v>775</v>
      </c>
      <c r="L38" s="25" t="s">
        <v>1621</v>
      </c>
      <c r="M38" s="25" t="s">
        <v>1616</v>
      </c>
      <c r="N38" s="25" t="s">
        <v>1233</v>
      </c>
      <c r="Q38" s="25" t="s">
        <v>1622</v>
      </c>
      <c r="S38" s="25" t="s">
        <v>1226</v>
      </c>
      <c r="T38" s="25" t="s">
        <v>1623</v>
      </c>
      <c r="V38" s="25" t="str">
        <f>VLOOKUP(J38,'records (2)'!$A:$Z,16,FALSE)</f>
        <v>carine.capelle@moypark.com</v>
      </c>
    </row>
    <row r="39" spans="1:22" hidden="1">
      <c r="A39" s="25" t="s">
        <v>459</v>
      </c>
      <c r="B39" s="25" t="s">
        <v>458</v>
      </c>
      <c r="C39" s="25" t="s">
        <v>1624</v>
      </c>
      <c r="D39" s="25" t="s">
        <v>1625</v>
      </c>
      <c r="E39" s="25" t="s">
        <v>1337</v>
      </c>
      <c r="G39" s="25" t="s">
        <v>1626</v>
      </c>
      <c r="I39" s="25" t="s">
        <v>1627</v>
      </c>
      <c r="J39" s="25" t="s">
        <v>1628</v>
      </c>
      <c r="K39" s="25" t="s">
        <v>457</v>
      </c>
      <c r="L39" s="25" t="s">
        <v>1629</v>
      </c>
      <c r="M39" s="25" t="s">
        <v>1624</v>
      </c>
      <c r="N39" s="25" t="s">
        <v>1233</v>
      </c>
      <c r="P39" s="25" t="s">
        <v>1226</v>
      </c>
      <c r="Q39" s="25" t="s">
        <v>1233</v>
      </c>
      <c r="S39" s="25" t="s">
        <v>1630</v>
      </c>
      <c r="T39" s="25" t="s">
        <v>1631</v>
      </c>
      <c r="V39" s="25" t="str">
        <f>VLOOKUP(J39,'records (2)'!$A:$Z,16,FALSE)</f>
        <v>cecile.geoffroy@bpmed.fr</v>
      </c>
    </row>
    <row r="40" spans="1:22" hidden="1">
      <c r="A40" s="25" t="s">
        <v>479</v>
      </c>
      <c r="B40" s="25" t="s">
        <v>478</v>
      </c>
      <c r="C40" s="25" t="s">
        <v>1632</v>
      </c>
      <c r="D40" s="25" t="s">
        <v>1633</v>
      </c>
      <c r="E40" s="25" t="s">
        <v>1337</v>
      </c>
      <c r="G40" s="25" t="s">
        <v>1634</v>
      </c>
      <c r="I40" s="25" t="s">
        <v>1635</v>
      </c>
      <c r="J40" s="25" t="s">
        <v>1636</v>
      </c>
      <c r="K40" s="25" t="s">
        <v>476</v>
      </c>
      <c r="L40" s="25" t="s">
        <v>1637</v>
      </c>
      <c r="M40" s="25" t="s">
        <v>1632</v>
      </c>
      <c r="N40" s="25" t="s">
        <v>1233</v>
      </c>
      <c r="P40" s="25" t="s">
        <v>1226</v>
      </c>
      <c r="Q40" s="25" t="s">
        <v>1233</v>
      </c>
      <c r="S40" s="25" t="s">
        <v>1638</v>
      </c>
      <c r="T40" s="25" t="s">
        <v>1639</v>
      </c>
      <c r="V40" s="25" t="str">
        <f>VLOOKUP(J40,'records (2)'!$A:$Z,16,FALSE)</f>
        <v>celine.ballot@cebfc.caisse-epargne.fr</v>
      </c>
    </row>
    <row r="41" spans="1:22" hidden="1">
      <c r="A41" s="25" t="s">
        <v>1072</v>
      </c>
      <c r="B41" s="25" t="s">
        <v>931</v>
      </c>
      <c r="C41" s="25" t="s">
        <v>1640</v>
      </c>
      <c r="D41" s="25" t="s">
        <v>1641</v>
      </c>
      <c r="E41" s="25" t="s">
        <v>1337</v>
      </c>
      <c r="G41" s="25" t="s">
        <v>1642</v>
      </c>
      <c r="I41" s="25" t="s">
        <v>1643</v>
      </c>
      <c r="J41" s="25" t="s">
        <v>1644</v>
      </c>
      <c r="K41" s="25" t="s">
        <v>1071</v>
      </c>
      <c r="L41" s="25" t="s">
        <v>1645</v>
      </c>
      <c r="M41" s="25" t="s">
        <v>1640</v>
      </c>
      <c r="N41" s="25" t="s">
        <v>1233</v>
      </c>
      <c r="P41" s="25" t="s">
        <v>1226</v>
      </c>
      <c r="Q41" s="25" t="s">
        <v>1233</v>
      </c>
      <c r="S41" s="25" t="s">
        <v>1646</v>
      </c>
      <c r="T41" s="25" t="s">
        <v>1647</v>
      </c>
      <c r="V41" s="25" t="str">
        <f>VLOOKUP(J41,'records (2)'!$A:$Z,16,FALSE)</f>
        <v>celine.champion@thuasne.fr</v>
      </c>
    </row>
    <row r="42" spans="1:22" hidden="1">
      <c r="A42" s="25" t="s">
        <v>611</v>
      </c>
      <c r="B42" s="25" t="s">
        <v>610</v>
      </c>
      <c r="C42" s="25" t="s">
        <v>1648</v>
      </c>
      <c r="D42" s="25" t="s">
        <v>1649</v>
      </c>
      <c r="E42" s="25" t="s">
        <v>1337</v>
      </c>
      <c r="G42" s="25" t="s">
        <v>1650</v>
      </c>
      <c r="I42" s="25" t="s">
        <v>1651</v>
      </c>
      <c r="J42" s="25" t="s">
        <v>1652</v>
      </c>
      <c r="K42" s="25" t="s">
        <v>608</v>
      </c>
      <c r="L42" s="25" t="s">
        <v>1653</v>
      </c>
      <c r="M42" s="25" t="s">
        <v>1648</v>
      </c>
      <c r="N42" s="25" t="s">
        <v>1233</v>
      </c>
      <c r="P42" s="25" t="s">
        <v>1226</v>
      </c>
      <c r="Q42" s="25" t="s">
        <v>1233</v>
      </c>
      <c r="S42" s="25" t="s">
        <v>1654</v>
      </c>
      <c r="T42" s="25" t="s">
        <v>1655</v>
      </c>
      <c r="V42" s="25" t="str">
        <f>VLOOKUP(J42,'records (2)'!$A:$Z,16,FALSE)</f>
        <v>nadine.crouilbois@fmgc.net</v>
      </c>
    </row>
    <row r="43" spans="1:22" hidden="1">
      <c r="A43" s="25" t="s">
        <v>401</v>
      </c>
      <c r="B43" s="25" t="s">
        <v>400</v>
      </c>
      <c r="C43" s="25" t="s">
        <v>1656</v>
      </c>
      <c r="D43" s="25" t="s">
        <v>1657</v>
      </c>
      <c r="E43" s="25" t="s">
        <v>1337</v>
      </c>
      <c r="G43" s="25" t="s">
        <v>1658</v>
      </c>
      <c r="I43" s="25" t="s">
        <v>1659</v>
      </c>
      <c r="J43" s="25" t="s">
        <v>1660</v>
      </c>
      <c r="K43" s="25" t="s">
        <v>399</v>
      </c>
      <c r="L43" s="25" t="s">
        <v>1661</v>
      </c>
      <c r="M43" s="25" t="s">
        <v>1656</v>
      </c>
      <c r="N43" s="25" t="s">
        <v>1233</v>
      </c>
      <c r="P43" s="25" t="s">
        <v>1662</v>
      </c>
      <c r="Q43" s="25" t="s">
        <v>1233</v>
      </c>
      <c r="S43" s="25" t="s">
        <v>1663</v>
      </c>
      <c r="T43" s="25" t="s">
        <v>1664</v>
      </c>
      <c r="V43" s="25" t="str">
        <f>VLOOKUP(J43,'records (2)'!$A:$Z,16,FALSE)</f>
        <v>ribeiro@vernet.fr</v>
      </c>
    </row>
    <row r="44" spans="1:22" hidden="1">
      <c r="A44" s="25" t="s">
        <v>528</v>
      </c>
      <c r="B44" s="25" t="s">
        <v>527</v>
      </c>
      <c r="C44" s="25" t="s">
        <v>1665</v>
      </c>
      <c r="D44" s="25" t="s">
        <v>1666</v>
      </c>
      <c r="E44" s="25" t="s">
        <v>1337</v>
      </c>
      <c r="G44" s="25" t="s">
        <v>1667</v>
      </c>
      <c r="I44" s="25" t="s">
        <v>1668</v>
      </c>
      <c r="J44" s="25" t="s">
        <v>1669</v>
      </c>
      <c r="K44" s="25" t="s">
        <v>526</v>
      </c>
      <c r="L44" s="25" t="s">
        <v>1670</v>
      </c>
      <c r="M44" s="25" t="s">
        <v>1665</v>
      </c>
      <c r="N44" s="25" t="s">
        <v>1233</v>
      </c>
      <c r="P44" s="25" t="s">
        <v>1226</v>
      </c>
      <c r="Q44" s="25" t="s">
        <v>1233</v>
      </c>
      <c r="S44" s="25" t="s">
        <v>1671</v>
      </c>
      <c r="T44" s="25" t="s">
        <v>1672</v>
      </c>
      <c r="V44" s="25" t="str">
        <f>VLOOKUP(J44,'records (2)'!$A:$Z,16,FALSE)</f>
        <v>cfournisseurs@dagard.com</v>
      </c>
    </row>
    <row r="45" spans="1:22" hidden="1">
      <c r="A45" s="25" t="s">
        <v>834</v>
      </c>
      <c r="B45" s="25" t="s">
        <v>833</v>
      </c>
      <c r="C45" s="25" t="s">
        <v>1673</v>
      </c>
      <c r="D45" s="25" t="s">
        <v>1674</v>
      </c>
      <c r="E45" s="25" t="s">
        <v>1337</v>
      </c>
      <c r="G45" s="25" t="s">
        <v>1675</v>
      </c>
      <c r="I45" s="25" t="s">
        <v>1676</v>
      </c>
      <c r="J45" s="25" t="s">
        <v>1677</v>
      </c>
      <c r="K45" s="25" t="s">
        <v>832</v>
      </c>
      <c r="L45" s="25" t="s">
        <v>1678</v>
      </c>
      <c r="M45" s="25" t="s">
        <v>1673</v>
      </c>
      <c r="N45" s="25" t="s">
        <v>1233</v>
      </c>
      <c r="P45" s="25" t="s">
        <v>1226</v>
      </c>
      <c r="Q45" s="25" t="s">
        <v>1233</v>
      </c>
      <c r="S45" s="25" t="s">
        <v>1679</v>
      </c>
      <c r="T45" s="25" t="s">
        <v>1680</v>
      </c>
      <c r="V45" s="25" t="str">
        <f>VLOOKUP(J45,'records (2)'!$A:$Z,16,FALSE)</f>
        <v>cguichard@reinededijon.fr</v>
      </c>
    </row>
    <row r="46" spans="1:22" hidden="1">
      <c r="A46" s="25" t="s">
        <v>998</v>
      </c>
      <c r="B46" s="25" t="s">
        <v>997</v>
      </c>
      <c r="C46" s="25" t="s">
        <v>1681</v>
      </c>
      <c r="D46" s="25" t="s">
        <v>1682</v>
      </c>
      <c r="E46" s="25" t="s">
        <v>1337</v>
      </c>
      <c r="G46" s="25" t="s">
        <v>1683</v>
      </c>
      <c r="I46" s="25" t="s">
        <v>1684</v>
      </c>
      <c r="J46" s="25" t="s">
        <v>1685</v>
      </c>
      <c r="K46" s="25" t="s">
        <v>995</v>
      </c>
      <c r="L46" s="25" t="s">
        <v>1686</v>
      </c>
      <c r="M46" s="25" t="s">
        <v>1681</v>
      </c>
      <c r="N46" s="25" t="s">
        <v>1233</v>
      </c>
      <c r="P46" s="25" t="s">
        <v>1226</v>
      </c>
      <c r="Q46" s="25" t="s">
        <v>1233</v>
      </c>
      <c r="S46" s="25" t="s">
        <v>1687</v>
      </c>
      <c r="T46" s="25" t="s">
        <v>1688</v>
      </c>
      <c r="V46" s="25" t="str">
        <f>VLOOKUP(J46,'records (2)'!$A:$Z,16,FALSE)</f>
        <v>regine.oger@eureden.com</v>
      </c>
    </row>
    <row r="47" spans="1:22" hidden="1">
      <c r="A47" s="25" t="s">
        <v>929</v>
      </c>
      <c r="B47" s="25" t="s">
        <v>928</v>
      </c>
      <c r="C47" s="25" t="s">
        <v>1689</v>
      </c>
      <c r="D47" s="25" t="s">
        <v>1690</v>
      </c>
      <c r="E47" s="25" t="s">
        <v>1337</v>
      </c>
      <c r="G47" s="25" t="s">
        <v>1691</v>
      </c>
      <c r="I47" s="25" t="s">
        <v>1692</v>
      </c>
      <c r="J47" s="25" t="s">
        <v>1693</v>
      </c>
      <c r="K47" s="25" t="s">
        <v>927</v>
      </c>
      <c r="L47" s="25" t="s">
        <v>1694</v>
      </c>
      <c r="M47" s="25" t="s">
        <v>1689</v>
      </c>
      <c r="N47" s="25" t="s">
        <v>1233</v>
      </c>
      <c r="P47" s="25" t="s">
        <v>1226</v>
      </c>
      <c r="Q47" s="25" t="s">
        <v>1233</v>
      </c>
      <c r="S47" s="25" t="s">
        <v>1695</v>
      </c>
      <c r="T47" s="25" t="s">
        <v>1696</v>
      </c>
      <c r="V47" s="25" t="str">
        <f>VLOOKUP(J47,'records (2)'!$A:$Z,16,FALSE)</f>
        <v>magalie.dauge@texelis.com</v>
      </c>
    </row>
    <row r="48" spans="1:22" hidden="1">
      <c r="A48" s="25" t="s">
        <v>514</v>
      </c>
      <c r="B48" s="25" t="s">
        <v>513</v>
      </c>
      <c r="C48" s="25" t="s">
        <v>1697</v>
      </c>
      <c r="D48" s="25" t="s">
        <v>1698</v>
      </c>
      <c r="E48" s="25" t="s">
        <v>1337</v>
      </c>
      <c r="G48" s="25" t="s">
        <v>1699</v>
      </c>
      <c r="I48" s="25" t="s">
        <v>1700</v>
      </c>
      <c r="J48" s="25" t="s">
        <v>1701</v>
      </c>
      <c r="K48" s="25" t="s">
        <v>511</v>
      </c>
      <c r="L48" s="25" t="s">
        <v>1702</v>
      </c>
      <c r="M48" s="25" t="s">
        <v>1697</v>
      </c>
      <c r="N48" s="25" t="s">
        <v>1233</v>
      </c>
      <c r="P48" s="25" t="s">
        <v>1226</v>
      </c>
      <c r="Q48" s="25" t="s">
        <v>1233</v>
      </c>
      <c r="S48" s="25" t="s">
        <v>1703</v>
      </c>
      <c r="T48" s="25" t="s">
        <v>1704</v>
      </c>
      <c r="V48" s="25" t="str">
        <f>VLOOKUP(J48,'records (2)'!$A:$Z,16,FALSE)</f>
        <v>chenove.comptabilite@cordenpharma.com</v>
      </c>
    </row>
    <row r="49" spans="1:22" hidden="1">
      <c r="A49" s="25" t="s">
        <v>838</v>
      </c>
      <c r="B49" s="25" t="s">
        <v>837</v>
      </c>
      <c r="C49" s="25" t="s">
        <v>1705</v>
      </c>
      <c r="D49" s="25" t="s">
        <v>1706</v>
      </c>
      <c r="E49" s="25" t="s">
        <v>1337</v>
      </c>
      <c r="G49" s="25" t="s">
        <v>1707</v>
      </c>
      <c r="I49" s="25" t="s">
        <v>1708</v>
      </c>
      <c r="J49" s="25" t="s">
        <v>1709</v>
      </c>
      <c r="K49" s="25" t="s">
        <v>835</v>
      </c>
      <c r="L49" s="25" t="s">
        <v>1710</v>
      </c>
      <c r="M49" s="25" t="s">
        <v>1705</v>
      </c>
      <c r="N49" s="25" t="s">
        <v>1233</v>
      </c>
      <c r="P49" s="25" t="s">
        <v>1226</v>
      </c>
      <c r="Q49" s="25" t="s">
        <v>1233</v>
      </c>
      <c r="S49" s="25" t="s">
        <v>1711</v>
      </c>
      <c r="T49" s="25" t="s">
        <v>1712</v>
      </c>
      <c r="V49" s="25" t="str">
        <f>VLOOKUP(J49,'records (2)'!$A:$Z,16,FALSE)</f>
        <v>chm@reynaers.com</v>
      </c>
    </row>
    <row r="50" spans="1:22" hidden="1">
      <c r="A50" s="25" t="s">
        <v>1713</v>
      </c>
      <c r="B50" s="25" t="s">
        <v>1714</v>
      </c>
      <c r="C50" s="25" t="s">
        <v>1715</v>
      </c>
      <c r="D50" s="25" t="s">
        <v>1716</v>
      </c>
      <c r="E50" s="25" t="s">
        <v>1337</v>
      </c>
      <c r="F50" s="25" t="s">
        <v>1717</v>
      </c>
      <c r="G50" s="25" t="s">
        <v>1718</v>
      </c>
      <c r="I50" s="25" t="s">
        <v>1719</v>
      </c>
      <c r="J50" s="25" t="s">
        <v>1720</v>
      </c>
      <c r="K50" s="25" t="s">
        <v>894</v>
      </c>
      <c r="L50" s="25" t="s">
        <v>1721</v>
      </c>
      <c r="M50" s="25" t="s">
        <v>1715</v>
      </c>
      <c r="N50" s="25" t="s">
        <v>1233</v>
      </c>
      <c r="P50" s="25" t="s">
        <v>1226</v>
      </c>
      <c r="Q50" s="25" t="s">
        <v>1233</v>
      </c>
      <c r="S50" s="25" t="s">
        <v>1722</v>
      </c>
      <c r="T50" s="25" t="s">
        <v>1723</v>
      </c>
      <c r="V50" s="25" t="str">
        <f>VLOOKUP(J50,'records (2)'!$A:$Z,16,FALSE)</f>
        <v>christophe.baron@smurfitwestrock.fr</v>
      </c>
    </row>
    <row r="51" spans="1:22" hidden="1">
      <c r="A51" s="25" t="s">
        <v>28</v>
      </c>
      <c r="B51" s="25" t="s">
        <v>27</v>
      </c>
      <c r="C51" s="25" t="s">
        <v>1724</v>
      </c>
      <c r="D51" s="25" t="s">
        <v>1725</v>
      </c>
      <c r="E51" s="25" t="s">
        <v>1337</v>
      </c>
      <c r="G51" s="25" t="s">
        <v>1726</v>
      </c>
      <c r="I51" s="25" t="s">
        <v>1727</v>
      </c>
      <c r="J51" s="25" t="s">
        <v>1728</v>
      </c>
      <c r="K51" s="25" t="s">
        <v>25</v>
      </c>
      <c r="L51" s="25" t="s">
        <v>1729</v>
      </c>
      <c r="M51" s="25" t="s">
        <v>1724</v>
      </c>
      <c r="N51" s="25" t="s">
        <v>1233</v>
      </c>
      <c r="P51" s="25" t="s">
        <v>1226</v>
      </c>
      <c r="Q51" s="25" t="s">
        <v>1233</v>
      </c>
      <c r="S51" s="25" t="s">
        <v>1730</v>
      </c>
      <c r="T51" s="25" t="s">
        <v>1731</v>
      </c>
      <c r="V51" s="25" t="str">
        <f>VLOOKUP(J51,'records (2)'!$A:$Z,16,FALSE)</f>
        <v>christophe.renoncial@eurial.eu</v>
      </c>
    </row>
    <row r="52" spans="1:22" hidden="1">
      <c r="A52" s="25" t="s">
        <v>195</v>
      </c>
      <c r="B52" s="25" t="s">
        <v>194</v>
      </c>
      <c r="C52" s="25" t="s">
        <v>194</v>
      </c>
      <c r="D52" s="25" t="s">
        <v>1732</v>
      </c>
      <c r="E52" s="25" t="s">
        <v>1337</v>
      </c>
      <c r="G52" s="25" t="s">
        <v>1733</v>
      </c>
      <c r="I52" s="25" t="s">
        <v>1734</v>
      </c>
      <c r="J52" s="25" t="s">
        <v>1735</v>
      </c>
      <c r="K52" s="25" t="s">
        <v>192</v>
      </c>
      <c r="L52" s="25" t="s">
        <v>1736</v>
      </c>
      <c r="M52" s="25" t="s">
        <v>194</v>
      </c>
      <c r="N52" s="25" t="s">
        <v>1233</v>
      </c>
      <c r="P52" s="25" t="s">
        <v>1226</v>
      </c>
      <c r="Q52" s="25" t="s">
        <v>1233</v>
      </c>
      <c r="S52" s="25" t="s">
        <v>1737</v>
      </c>
      <c r="T52" s="25" t="s">
        <v>1738</v>
      </c>
      <c r="V52" s="25" t="str">
        <f>VLOOKUP(J52,'records (2)'!$A:$Z,16,FALSE)</f>
        <v>nbonnat@guerlain.fr</v>
      </c>
    </row>
    <row r="53" spans="1:22" hidden="1">
      <c r="A53" s="25" t="s">
        <v>593</v>
      </c>
      <c r="B53" s="25" t="s">
        <v>592</v>
      </c>
      <c r="C53" s="25" t="s">
        <v>1739</v>
      </c>
      <c r="D53" s="25" t="s">
        <v>1740</v>
      </c>
      <c r="E53" s="25" t="s">
        <v>1337</v>
      </c>
      <c r="G53" s="25" t="s">
        <v>1741</v>
      </c>
      <c r="I53" s="25" t="s">
        <v>1742</v>
      </c>
      <c r="J53" s="25" t="s">
        <v>1743</v>
      </c>
      <c r="K53" s="25" t="s">
        <v>590</v>
      </c>
      <c r="L53" s="25" t="s">
        <v>1744</v>
      </c>
      <c r="M53" s="25" t="s">
        <v>1739</v>
      </c>
      <c r="N53" s="25" t="s">
        <v>1233</v>
      </c>
      <c r="P53" s="25" t="s">
        <v>1226</v>
      </c>
      <c r="Q53" s="25" t="s">
        <v>1233</v>
      </c>
      <c r="S53" s="25" t="s">
        <v>1745</v>
      </c>
      <c r="T53" s="25" t="s">
        <v>1746</v>
      </c>
      <c r="V53" s="25" t="str">
        <f>VLOOKUP(J53,'records (2)'!$A:$Z,16,FALSE)</f>
        <v>emmanuelle.dubois@faiveleytech.fr</v>
      </c>
    </row>
    <row r="54" spans="1:22" hidden="1">
      <c r="A54" s="25" t="s">
        <v>607</v>
      </c>
      <c r="B54" s="25" t="s">
        <v>606</v>
      </c>
      <c r="C54" s="25" t="s">
        <v>1747</v>
      </c>
      <c r="D54" s="25" t="s">
        <v>1361</v>
      </c>
      <c r="E54" s="25" t="s">
        <v>1337</v>
      </c>
      <c r="G54" s="25" t="s">
        <v>1362</v>
      </c>
      <c r="I54" s="25" t="s">
        <v>1748</v>
      </c>
      <c r="J54" s="25" t="s">
        <v>1749</v>
      </c>
      <c r="K54" s="25" t="s">
        <v>604</v>
      </c>
      <c r="L54" s="25" t="s">
        <v>1750</v>
      </c>
      <c r="M54" s="25" t="s">
        <v>1747</v>
      </c>
      <c r="N54" s="25" t="s">
        <v>1233</v>
      </c>
      <c r="P54" s="25" t="s">
        <v>1226</v>
      </c>
      <c r="Q54" s="25" t="s">
        <v>1233</v>
      </c>
      <c r="S54" s="25" t="s">
        <v>1751</v>
      </c>
      <c r="T54" s="25" t="s">
        <v>1752</v>
      </c>
      <c r="V54" s="25" t="str">
        <f>VLOOKUP(J54,'records (2)'!$A:$Z,16,FALSE)</f>
        <v>veronique.croizier@flowbird.group</v>
      </c>
    </row>
    <row r="55" spans="1:22" hidden="1">
      <c r="A55" s="25" t="s">
        <v>572</v>
      </c>
      <c r="B55" s="25" t="s">
        <v>571</v>
      </c>
      <c r="C55" s="25" t="s">
        <v>1753</v>
      </c>
      <c r="D55" s="25" t="s">
        <v>1754</v>
      </c>
      <c r="E55" s="25" t="s">
        <v>1337</v>
      </c>
      <c r="G55" s="25" t="s">
        <v>1755</v>
      </c>
      <c r="I55" s="25" t="s">
        <v>1756</v>
      </c>
      <c r="J55" s="25" t="s">
        <v>1757</v>
      </c>
      <c r="K55" s="25" t="s">
        <v>569</v>
      </c>
      <c r="L55" s="25" t="s">
        <v>1758</v>
      </c>
      <c r="M55" s="25" t="s">
        <v>1753</v>
      </c>
      <c r="N55" s="25" t="s">
        <v>1233</v>
      </c>
      <c r="P55" s="25" t="s">
        <v>1226</v>
      </c>
      <c r="Q55" s="25" t="s">
        <v>1233</v>
      </c>
      <c r="S55" s="25" t="s">
        <v>1759</v>
      </c>
      <c r="T55" s="25" t="s">
        <v>1760</v>
      </c>
      <c r="V55" s="25" t="str">
        <f>VLOOKUP(J55,'records (2)'!$A:$Z,16,FALSE)</f>
        <v>compta.fournisseurs@eureden.com</v>
      </c>
    </row>
    <row r="56" spans="1:22" hidden="1">
      <c r="A56" s="25" t="s">
        <v>709</v>
      </c>
      <c r="B56" s="25" t="s">
        <v>708</v>
      </c>
      <c r="C56" s="25" t="s">
        <v>1761</v>
      </c>
      <c r="D56" s="25" t="s">
        <v>1762</v>
      </c>
      <c r="E56" s="25" t="s">
        <v>1337</v>
      </c>
      <c r="G56" s="25" t="s">
        <v>1763</v>
      </c>
      <c r="I56" s="25" t="s">
        <v>1764</v>
      </c>
      <c r="J56" s="25" t="s">
        <v>1765</v>
      </c>
      <c r="K56" s="25" t="s">
        <v>707</v>
      </c>
      <c r="L56" s="25" t="s">
        <v>1766</v>
      </c>
      <c r="M56" s="25" t="s">
        <v>1761</v>
      </c>
      <c r="N56" s="25" t="s">
        <v>1233</v>
      </c>
      <c r="P56" s="25" t="s">
        <v>1226</v>
      </c>
      <c r="Q56" s="25" t="s">
        <v>1233</v>
      </c>
      <c r="S56" s="25" t="s">
        <v>1767</v>
      </c>
      <c r="T56" s="25" t="s">
        <v>1768</v>
      </c>
      <c r="V56" s="25" t="str">
        <f>VLOOKUP(J56,'records (2)'!$A:$Z,16,FALSE)</f>
        <v>compta.fournisseur@larnaudie.com</v>
      </c>
    </row>
    <row r="57" spans="1:22" hidden="1">
      <c r="A57" s="25" t="s">
        <v>980</v>
      </c>
      <c r="B57" s="25" t="s">
        <v>979</v>
      </c>
      <c r="C57" s="25" t="s">
        <v>1769</v>
      </c>
      <c r="D57" s="25" t="s">
        <v>1770</v>
      </c>
      <c r="E57" s="25" t="s">
        <v>1337</v>
      </c>
      <c r="G57" s="25" t="s">
        <v>1771</v>
      </c>
      <c r="I57" s="25" t="s">
        <v>1772</v>
      </c>
      <c r="J57" s="25" t="s">
        <v>1773</v>
      </c>
      <c r="K57" s="25" t="s">
        <v>978</v>
      </c>
      <c r="L57" s="25" t="s">
        <v>1774</v>
      </c>
      <c r="M57" s="25" t="s">
        <v>1769</v>
      </c>
      <c r="P57" s="25" t="s">
        <v>1226</v>
      </c>
      <c r="Q57" s="25" t="s">
        <v>1233</v>
      </c>
      <c r="S57" s="25" t="s">
        <v>1775</v>
      </c>
      <c r="T57" s="25" t="s">
        <v>1776</v>
      </c>
      <c r="V57" s="25" t="str">
        <f>VLOOKUP(J57,'records (2)'!$A:$Z,16,FALSE)</f>
        <v>kaoutar.elamrani@carbody.eu</v>
      </c>
    </row>
    <row r="58" spans="1:22" hidden="1">
      <c r="A58" s="25" t="s">
        <v>280</v>
      </c>
      <c r="B58" s="25" t="s">
        <v>279</v>
      </c>
      <c r="C58" s="25" t="s">
        <v>279</v>
      </c>
      <c r="D58" s="25" t="s">
        <v>1777</v>
      </c>
      <c r="E58" s="25" t="s">
        <v>1337</v>
      </c>
      <c r="G58" s="25" t="s">
        <v>1778</v>
      </c>
      <c r="I58" s="25" t="s">
        <v>1779</v>
      </c>
      <c r="J58" s="25" t="s">
        <v>1780</v>
      </c>
      <c r="K58" s="25" t="s">
        <v>277</v>
      </c>
      <c r="L58" s="25" t="s">
        <v>1781</v>
      </c>
      <c r="M58" s="25" t="s">
        <v>279</v>
      </c>
      <c r="N58" s="25" t="s">
        <v>1233</v>
      </c>
      <c r="P58" s="25" t="s">
        <v>1226</v>
      </c>
      <c r="Q58" s="25" t="s">
        <v>1233</v>
      </c>
      <c r="S58" s="25" t="s">
        <v>1782</v>
      </c>
      <c r="T58" s="25" t="s">
        <v>1783</v>
      </c>
      <c r="V58" s="25" t="str">
        <f>VLOOKUP(J58,'records (2)'!$A:$Z,16,FALSE)</f>
        <v>compta.fournisseurs@mdsfrance.fr</v>
      </c>
    </row>
    <row r="59" spans="1:22" hidden="1">
      <c r="A59" s="25" t="s">
        <v>380</v>
      </c>
      <c r="B59" s="25" t="s">
        <v>379</v>
      </c>
      <c r="C59" s="25" t="s">
        <v>1784</v>
      </c>
      <c r="D59" s="25" t="s">
        <v>1785</v>
      </c>
      <c r="E59" s="25" t="s">
        <v>1337</v>
      </c>
      <c r="G59" s="25" t="s">
        <v>1786</v>
      </c>
      <c r="I59" s="25" t="s">
        <v>1787</v>
      </c>
      <c r="J59" s="25" t="s">
        <v>1788</v>
      </c>
      <c r="K59" s="25" t="s">
        <v>377</v>
      </c>
      <c r="L59" s="25" t="s">
        <v>1789</v>
      </c>
      <c r="M59" s="25" t="s">
        <v>1784</v>
      </c>
      <c r="N59" s="25" t="s">
        <v>1233</v>
      </c>
      <c r="P59" s="25" t="s">
        <v>1226</v>
      </c>
      <c r="Q59" s="25" t="s">
        <v>1233</v>
      </c>
      <c r="S59" s="25" t="s">
        <v>1790</v>
      </c>
      <c r="T59" s="25" t="s">
        <v>1791</v>
      </c>
      <c r="V59" s="25" t="str">
        <f>VLOOKUP(J59,'records (2)'!$A:$Z,16,FALSE)</f>
        <v>compta.fournisseurs@souchier-boullet.com</v>
      </c>
    </row>
    <row r="60" spans="1:22" hidden="1">
      <c r="A60" s="25" t="s">
        <v>412</v>
      </c>
      <c r="B60" s="25" t="s">
        <v>411</v>
      </c>
      <c r="C60" s="25" t="s">
        <v>1792</v>
      </c>
      <c r="D60" s="25" t="s">
        <v>1793</v>
      </c>
      <c r="E60" s="25" t="s">
        <v>1337</v>
      </c>
      <c r="G60" s="25" t="s">
        <v>1479</v>
      </c>
      <c r="I60" s="25" t="s">
        <v>1794</v>
      </c>
      <c r="J60" s="25" t="s">
        <v>1795</v>
      </c>
      <c r="K60" s="25" t="s">
        <v>410</v>
      </c>
      <c r="L60" s="25" t="s">
        <v>1796</v>
      </c>
      <c r="M60" s="25" t="s">
        <v>1792</v>
      </c>
      <c r="N60" s="25" t="s">
        <v>1233</v>
      </c>
      <c r="P60" s="25" t="s">
        <v>1226</v>
      </c>
      <c r="Q60" s="25" t="s">
        <v>1233</v>
      </c>
      <c r="S60" s="25" t="s">
        <v>1797</v>
      </c>
      <c r="T60" s="25" t="s">
        <v>1798</v>
      </c>
      <c r="V60" s="25" t="str">
        <f>VLOOKUP(J60,'records (2)'!$A:$Z,16,FALSE)</f>
        <v>compta.fournisseurs@weser.fr</v>
      </c>
    </row>
    <row r="61" spans="1:22" hidden="1">
      <c r="A61" s="25" t="s">
        <v>852</v>
      </c>
      <c r="B61" s="25" t="s">
        <v>851</v>
      </c>
      <c r="C61" s="25" t="s">
        <v>1799</v>
      </c>
      <c r="D61" s="25" t="s">
        <v>1800</v>
      </c>
      <c r="E61" s="25" t="s">
        <v>1337</v>
      </c>
      <c r="F61" s="25" t="s">
        <v>851</v>
      </c>
      <c r="G61" s="25" t="s">
        <v>1801</v>
      </c>
      <c r="I61" s="25" t="s">
        <v>1802</v>
      </c>
      <c r="J61" s="25" t="s">
        <v>1803</v>
      </c>
      <c r="K61" s="25" t="s">
        <v>849</v>
      </c>
      <c r="L61" s="25" t="s">
        <v>1804</v>
      </c>
      <c r="M61" s="25" t="s">
        <v>1799</v>
      </c>
      <c r="N61" s="25" t="s">
        <v>1233</v>
      </c>
      <c r="P61" s="25" t="s">
        <v>1226</v>
      </c>
      <c r="Q61" s="25" t="s">
        <v>1233</v>
      </c>
      <c r="S61" s="25" t="s">
        <v>1805</v>
      </c>
      <c r="T61" s="25" t="s">
        <v>1806</v>
      </c>
      <c r="V61" s="25" t="str">
        <f>VLOOKUP(J61,'records (2)'!$A:$Z,16,FALSE)</f>
        <v>remi.lucenet@engie.com</v>
      </c>
    </row>
    <row r="62" spans="1:22" hidden="1">
      <c r="A62" s="25" t="s">
        <v>105</v>
      </c>
      <c r="B62" s="25" t="s">
        <v>104</v>
      </c>
      <c r="C62" s="25" t="s">
        <v>1807</v>
      </c>
      <c r="D62" s="25" t="s">
        <v>1808</v>
      </c>
      <c r="E62" s="25" t="s">
        <v>1337</v>
      </c>
      <c r="F62" s="25" t="s">
        <v>1401</v>
      </c>
      <c r="G62" s="25" t="s">
        <v>1809</v>
      </c>
      <c r="I62" s="25" t="s">
        <v>1810</v>
      </c>
      <c r="J62" s="25" t="s">
        <v>1811</v>
      </c>
      <c r="K62" s="25" t="s">
        <v>103</v>
      </c>
      <c r="L62" s="25" t="s">
        <v>1812</v>
      </c>
      <c r="M62" s="25" t="s">
        <v>1807</v>
      </c>
      <c r="N62" s="25" t="s">
        <v>1233</v>
      </c>
      <c r="P62" s="25" t="s">
        <v>1226</v>
      </c>
      <c r="Q62" s="25" t="s">
        <v>1233</v>
      </c>
      <c r="S62" s="25" t="s">
        <v>1813</v>
      </c>
      <c r="T62" s="25" t="s">
        <v>1814</v>
      </c>
      <c r="V62" s="25" t="str">
        <f>VLOOKUP(J62,'records (2)'!$A:$Z,16,FALSE)</f>
        <v>sylviekremer@bongard.fr</v>
      </c>
    </row>
    <row r="63" spans="1:22" hidden="1">
      <c r="A63" s="25" t="s">
        <v>865</v>
      </c>
      <c r="B63" s="25" t="s">
        <v>864</v>
      </c>
      <c r="C63" s="25" t="s">
        <v>1815</v>
      </c>
      <c r="D63" s="25" t="s">
        <v>1816</v>
      </c>
      <c r="E63" s="25" t="s">
        <v>1337</v>
      </c>
      <c r="G63" s="25" t="s">
        <v>1817</v>
      </c>
      <c r="I63" s="25" t="s">
        <v>1818</v>
      </c>
      <c r="J63" s="25" t="s">
        <v>1819</v>
      </c>
      <c r="K63" s="25" t="s">
        <v>863</v>
      </c>
      <c r="L63" s="25" t="s">
        <v>1820</v>
      </c>
      <c r="M63" s="25" t="s">
        <v>1815</v>
      </c>
      <c r="N63" s="25" t="s">
        <v>1233</v>
      </c>
      <c r="P63" s="25" t="s">
        <v>1226</v>
      </c>
      <c r="Q63" s="25" t="s">
        <v>1233</v>
      </c>
      <c r="S63" s="25" t="s">
        <v>1821</v>
      </c>
      <c r="T63" s="25" t="s">
        <v>1822</v>
      </c>
      <c r="V63" s="25" t="str">
        <f>VLOOKUP(J63,'records (2)'!$A:$Z,16,FALSE)</f>
        <v>d.audouin@atelier36.fr</v>
      </c>
    </row>
    <row r="64" spans="1:22" hidden="1">
      <c r="A64" s="25" t="s">
        <v>987</v>
      </c>
      <c r="B64" s="25" t="s">
        <v>986</v>
      </c>
      <c r="C64" s="25" t="s">
        <v>1823</v>
      </c>
      <c r="D64" s="25" t="s">
        <v>1824</v>
      </c>
      <c r="E64" s="25" t="s">
        <v>1337</v>
      </c>
      <c r="G64" s="25" t="s">
        <v>1488</v>
      </c>
      <c r="I64" s="25" t="s">
        <v>1825</v>
      </c>
      <c r="J64" s="25" t="s">
        <v>1826</v>
      </c>
      <c r="K64" s="25" t="s">
        <v>984</v>
      </c>
      <c r="L64" s="25" t="s">
        <v>1827</v>
      </c>
      <c r="M64" s="25" t="s">
        <v>1823</v>
      </c>
      <c r="N64" s="25" t="s">
        <v>1233</v>
      </c>
      <c r="P64" s="25" t="s">
        <v>1226</v>
      </c>
      <c r="Q64" s="25" t="s">
        <v>1233</v>
      </c>
      <c r="S64" s="25" t="s">
        <v>1828</v>
      </c>
      <c r="T64" s="25" t="s">
        <v>1829</v>
      </c>
      <c r="V64" s="25" t="str">
        <f>VLOOKUP(J64,'records (2)'!$A:$Z,16,FALSE)</f>
        <v>stephanie.villedieu@dalloz.services</v>
      </c>
    </row>
    <row r="65" spans="1:22" hidden="1">
      <c r="A65" s="25" t="s">
        <v>549</v>
      </c>
      <c r="B65" s="25" t="s">
        <v>548</v>
      </c>
      <c r="C65" s="25" t="s">
        <v>1830</v>
      </c>
      <c r="D65" s="25" t="s">
        <v>1831</v>
      </c>
      <c r="E65" s="25" t="s">
        <v>1337</v>
      </c>
      <c r="F65" s="25" t="s">
        <v>1832</v>
      </c>
      <c r="G65" s="25" t="s">
        <v>1833</v>
      </c>
      <c r="I65" s="25" t="s">
        <v>1834</v>
      </c>
      <c r="J65" s="25" t="s">
        <v>1835</v>
      </c>
      <c r="K65" s="25" t="s">
        <v>547</v>
      </c>
      <c r="L65" s="25" t="s">
        <v>1836</v>
      </c>
      <c r="M65" s="25" t="s">
        <v>1830</v>
      </c>
      <c r="N65" s="25" t="s">
        <v>1233</v>
      </c>
      <c r="P65" s="25" t="s">
        <v>1226</v>
      </c>
      <c r="Q65" s="25" t="s">
        <v>1233</v>
      </c>
      <c r="S65" s="25" t="s">
        <v>1837</v>
      </c>
      <c r="T65" s="25" t="s">
        <v>1838</v>
      </c>
      <c r="V65" s="25" t="str">
        <f>VLOOKUP(J65,'records (2)'!$A:$Z,16,FALSE)</f>
        <v>florent.montaufray@electropoli.com</v>
      </c>
    </row>
    <row r="66" spans="1:22" hidden="1">
      <c r="A66" s="25" t="s">
        <v>941</v>
      </c>
      <c r="B66" s="25" t="s">
        <v>940</v>
      </c>
      <c r="C66" s="25" t="s">
        <v>1839</v>
      </c>
      <c r="D66" s="25" t="s">
        <v>1698</v>
      </c>
      <c r="E66" s="25" t="s">
        <v>1337</v>
      </c>
      <c r="F66" s="25" t="s">
        <v>1840</v>
      </c>
      <c r="G66" s="25" t="s">
        <v>1699</v>
      </c>
      <c r="I66" s="25" t="s">
        <v>1841</v>
      </c>
      <c r="J66" s="25" t="s">
        <v>1268</v>
      </c>
      <c r="K66" s="25" t="s">
        <v>939</v>
      </c>
      <c r="L66" s="25" t="s">
        <v>1842</v>
      </c>
      <c r="M66" s="25" t="s">
        <v>1839</v>
      </c>
      <c r="N66" s="25" t="s">
        <v>1233</v>
      </c>
      <c r="P66" s="25" t="s">
        <v>1226</v>
      </c>
      <c r="Q66" s="25" t="s">
        <v>1233</v>
      </c>
      <c r="S66" s="25" t="s">
        <v>1843</v>
      </c>
      <c r="T66" s="25" t="s">
        <v>1844</v>
      </c>
      <c r="V66" s="25" t="str">
        <f>VLOOKUP(J66,'records (2)'!$A:$Z,16,FALSE)</f>
        <v>m.cichy@fr.urgo.com</v>
      </c>
    </row>
    <row r="67" spans="1:22" hidden="1">
      <c r="A67" s="25" t="s">
        <v>694</v>
      </c>
      <c r="B67" s="25" t="s">
        <v>693</v>
      </c>
      <c r="C67" s="25" t="s">
        <v>1845</v>
      </c>
      <c r="D67" s="25" t="s">
        <v>1846</v>
      </c>
      <c r="E67" s="25" t="s">
        <v>1337</v>
      </c>
      <c r="F67" s="25" t="s">
        <v>1847</v>
      </c>
      <c r="G67" s="25" t="s">
        <v>1848</v>
      </c>
      <c r="I67" s="25" t="s">
        <v>1849</v>
      </c>
      <c r="J67" s="25" t="s">
        <v>1850</v>
      </c>
      <c r="K67" s="25" t="s">
        <v>692</v>
      </c>
      <c r="L67" s="25" t="s">
        <v>1851</v>
      </c>
      <c r="M67" s="25" t="s">
        <v>1845</v>
      </c>
      <c r="N67" s="25" t="s">
        <v>1233</v>
      </c>
      <c r="P67" s="25" t="s">
        <v>1226</v>
      </c>
      <c r="Q67" s="25" t="s">
        <v>1233</v>
      </c>
      <c r="S67" s="25" t="s">
        <v>1852</v>
      </c>
      <c r="T67" s="25" t="s">
        <v>1853</v>
      </c>
      <c r="V67" s="25">
        <f>VLOOKUP(J67,'records (2)'!$A:$Z,16,FALSE)</f>
        <v>0</v>
      </c>
    </row>
    <row r="68" spans="1:22" hidden="1">
      <c r="A68" s="25" t="s">
        <v>716</v>
      </c>
      <c r="B68" s="25" t="s">
        <v>715</v>
      </c>
      <c r="C68" s="25" t="s">
        <v>1854</v>
      </c>
      <c r="D68" s="25" t="s">
        <v>1855</v>
      </c>
      <c r="E68" s="25" t="s">
        <v>1337</v>
      </c>
      <c r="G68" s="25" t="s">
        <v>1856</v>
      </c>
      <c r="I68" s="25" t="s">
        <v>1857</v>
      </c>
      <c r="J68" s="25" t="s">
        <v>1858</v>
      </c>
      <c r="K68" s="25" t="s">
        <v>713</v>
      </c>
      <c r="L68" s="25" t="s">
        <v>1859</v>
      </c>
      <c r="M68" s="25" t="s">
        <v>1854</v>
      </c>
      <c r="N68" s="25" t="s">
        <v>1233</v>
      </c>
      <c r="P68" s="25" t="s">
        <v>1226</v>
      </c>
      <c r="Q68" s="25" t="s">
        <v>1233</v>
      </c>
      <c r="S68" s="25" t="s">
        <v>1860</v>
      </c>
      <c r="T68" s="25" t="s">
        <v>1861</v>
      </c>
      <c r="V68" s="25" t="str">
        <f>VLOOKUP(J68,'records (2)'!$A:$Z,16,FALSE)</f>
        <v>compta@jousseau.com</v>
      </c>
    </row>
    <row r="69" spans="1:22" hidden="1">
      <c r="A69" s="25" t="s">
        <v>841</v>
      </c>
      <c r="B69" s="25" t="s">
        <v>840</v>
      </c>
      <c r="C69" s="25" t="s">
        <v>1862</v>
      </c>
      <c r="D69" s="25" t="s">
        <v>1863</v>
      </c>
      <c r="E69" s="25" t="s">
        <v>1337</v>
      </c>
      <c r="G69" s="25" t="s">
        <v>1864</v>
      </c>
      <c r="I69" s="25" t="s">
        <v>1865</v>
      </c>
      <c r="J69" s="25" t="s">
        <v>1866</v>
      </c>
      <c r="K69" s="25" t="s">
        <v>839</v>
      </c>
      <c r="L69" s="25" t="s">
        <v>1867</v>
      </c>
      <c r="M69" s="25" t="s">
        <v>1862</v>
      </c>
      <c r="N69" s="25" t="s">
        <v>1233</v>
      </c>
      <c r="P69" s="25" t="s">
        <v>1226</v>
      </c>
      <c r="Q69" s="25" t="s">
        <v>1233</v>
      </c>
      <c r="S69" s="25" t="s">
        <v>1868</v>
      </c>
      <c r="T69" s="25" t="s">
        <v>1869</v>
      </c>
      <c r="V69" s="25" t="str">
        <f>VLOOKUP(J69,'records (2)'!$A:$Z,16,FALSE)</f>
        <v>compta@reica.fr</v>
      </c>
    </row>
    <row r="70" spans="1:22" hidden="1">
      <c r="A70" s="25" t="s">
        <v>369</v>
      </c>
      <c r="B70" s="25" t="s">
        <v>368</v>
      </c>
      <c r="C70" s="25" t="s">
        <v>1870</v>
      </c>
      <c r="D70" s="25" t="s">
        <v>1871</v>
      </c>
      <c r="E70" s="25" t="s">
        <v>1337</v>
      </c>
      <c r="G70" s="25" t="s">
        <v>1872</v>
      </c>
      <c r="I70" s="25" t="s">
        <v>1873</v>
      </c>
      <c r="J70" s="25" t="s">
        <v>1874</v>
      </c>
      <c r="K70" s="25" t="s">
        <v>367</v>
      </c>
      <c r="L70" s="25" t="s">
        <v>1875</v>
      </c>
      <c r="M70" s="25" t="s">
        <v>1870</v>
      </c>
      <c r="N70" s="25" t="s">
        <v>1233</v>
      </c>
      <c r="P70" s="25" t="s">
        <v>1226</v>
      </c>
      <c r="Q70" s="25" t="s">
        <v>1233</v>
      </c>
      <c r="S70" s="25" t="s">
        <v>1876</v>
      </c>
      <c r="T70" s="25" t="s">
        <v>1877</v>
      </c>
      <c r="V70" s="25" t="str">
        <f>VLOOKUP(J70,'records (2)'!$A:$Z,16,FALSE)</f>
        <v>cdufrechou@roval.fr</v>
      </c>
    </row>
    <row r="71" spans="1:22" hidden="1">
      <c r="A71" s="25" t="s">
        <v>869</v>
      </c>
      <c r="B71" s="25" t="s">
        <v>868</v>
      </c>
      <c r="C71" s="25" t="s">
        <v>1878</v>
      </c>
      <c r="D71" s="25" t="s">
        <v>1879</v>
      </c>
      <c r="E71" s="25" t="s">
        <v>1337</v>
      </c>
      <c r="G71" s="25" t="s">
        <v>1880</v>
      </c>
      <c r="I71" s="25" t="s">
        <v>1881</v>
      </c>
      <c r="J71" s="25" t="s">
        <v>1882</v>
      </c>
      <c r="K71" s="25" t="s">
        <v>866</v>
      </c>
      <c r="L71" s="25" t="s">
        <v>1883</v>
      </c>
      <c r="M71" s="25" t="s">
        <v>1878</v>
      </c>
      <c r="N71" s="25" t="s">
        <v>1233</v>
      </c>
      <c r="P71" s="25" t="s">
        <v>1226</v>
      </c>
      <c r="Q71" s="25" t="s">
        <v>1233</v>
      </c>
      <c r="S71" s="25" t="s">
        <v>1884</v>
      </c>
      <c r="T71" s="25" t="s">
        <v>1885</v>
      </c>
      <c r="V71" s="25" t="str">
        <f>VLOOKUP(J71,'records (2)'!$A:$Z,16,FALSE)</f>
        <v>compta@samibois.com</v>
      </c>
    </row>
    <row r="72" spans="1:22" hidden="1">
      <c r="A72" s="25" t="s">
        <v>873</v>
      </c>
      <c r="B72" s="25" t="s">
        <v>872</v>
      </c>
      <c r="C72" s="25" t="s">
        <v>1886</v>
      </c>
      <c r="D72" s="25" t="s">
        <v>1887</v>
      </c>
      <c r="E72" s="25" t="s">
        <v>1337</v>
      </c>
      <c r="F72" s="25" t="s">
        <v>1832</v>
      </c>
      <c r="G72" s="25" t="s">
        <v>1880</v>
      </c>
      <c r="I72" s="25" t="s">
        <v>1888</v>
      </c>
      <c r="J72" s="25" t="s">
        <v>1889</v>
      </c>
      <c r="K72" s="25" t="s">
        <v>870</v>
      </c>
      <c r="L72" s="25" t="s">
        <v>1890</v>
      </c>
      <c r="M72" s="25" t="s">
        <v>1886</v>
      </c>
      <c r="N72" s="25" t="s">
        <v>1233</v>
      </c>
      <c r="P72" s="25" t="s">
        <v>1226</v>
      </c>
      <c r="Q72" s="25" t="s">
        <v>1233</v>
      </c>
      <c r="S72" s="25" t="s">
        <v>1891</v>
      </c>
      <c r="T72" s="25" t="s">
        <v>1892</v>
      </c>
      <c r="V72" s="25" t="str">
        <f>VLOOKUP(J72,'records (2)'!$A:$Z,16,FALSE)</f>
        <v>compta@samiplast.fr</v>
      </c>
    </row>
    <row r="73" spans="1:22" hidden="1">
      <c r="A73" s="25" t="s">
        <v>1120</v>
      </c>
      <c r="B73" s="25" t="s">
        <v>1119</v>
      </c>
      <c r="C73" s="25" t="s">
        <v>1893</v>
      </c>
      <c r="D73" s="25" t="s">
        <v>1894</v>
      </c>
      <c r="E73" s="25" t="s">
        <v>1337</v>
      </c>
      <c r="F73" s="25" t="s">
        <v>1832</v>
      </c>
      <c r="G73" s="25" t="s">
        <v>1895</v>
      </c>
      <c r="I73" s="25" t="s">
        <v>1896</v>
      </c>
      <c r="J73" s="25" t="s">
        <v>1897</v>
      </c>
      <c r="K73" s="25" t="s">
        <v>1118</v>
      </c>
      <c r="L73" s="25" t="s">
        <v>1898</v>
      </c>
      <c r="M73" s="25" t="s">
        <v>1893</v>
      </c>
      <c r="N73" s="25" t="s">
        <v>1233</v>
      </c>
      <c r="P73" s="25" t="s">
        <v>1226</v>
      </c>
      <c r="Q73" s="25" t="s">
        <v>1233</v>
      </c>
      <c r="S73" s="25" t="s">
        <v>1899</v>
      </c>
      <c r="T73" s="25" t="s">
        <v>1900</v>
      </c>
      <c r="V73" s="25" t="str">
        <f>VLOOKUP(J73,'records (2)'!$A:$Z,16,FALSE)</f>
        <v>compta@secmair.fayat.com</v>
      </c>
    </row>
    <row r="74" spans="1:22" hidden="1">
      <c r="A74" s="25" t="s">
        <v>376</v>
      </c>
      <c r="B74" s="25" t="s">
        <v>375</v>
      </c>
      <c r="C74" s="25" t="s">
        <v>1901</v>
      </c>
      <c r="D74" s="25" t="s">
        <v>1902</v>
      </c>
      <c r="E74" s="25" t="s">
        <v>1337</v>
      </c>
      <c r="G74" s="25" t="s">
        <v>1903</v>
      </c>
      <c r="I74" s="25" t="s">
        <v>1904</v>
      </c>
      <c r="J74" s="25" t="s">
        <v>1905</v>
      </c>
      <c r="K74" s="25" t="s">
        <v>374</v>
      </c>
      <c r="L74" s="25" t="s">
        <v>1906</v>
      </c>
      <c r="M74" s="25" t="s">
        <v>1901</v>
      </c>
      <c r="N74" s="25" t="s">
        <v>1233</v>
      </c>
      <c r="P74" s="25" t="s">
        <v>1226</v>
      </c>
      <c r="Q74" s="25" t="s">
        <v>1233</v>
      </c>
      <c r="S74" s="25" t="s">
        <v>1907</v>
      </c>
      <c r="T74" s="25" t="s">
        <v>1908</v>
      </c>
      <c r="V74" s="25" t="str">
        <f>VLOOKUP(J74,'records (2)'!$A:$Z,16,FALSE)</f>
        <v>mariechristine.kerouanton@sodel-sa.eu</v>
      </c>
    </row>
    <row r="75" spans="1:22" hidden="1">
      <c r="A75" s="25" t="s">
        <v>1011</v>
      </c>
      <c r="B75" s="25" t="s">
        <v>1010</v>
      </c>
      <c r="C75" s="25" t="s">
        <v>1909</v>
      </c>
      <c r="D75" s="25" t="s">
        <v>1910</v>
      </c>
      <c r="E75" s="25" t="s">
        <v>1337</v>
      </c>
      <c r="G75" s="25" t="s">
        <v>1911</v>
      </c>
      <c r="I75" s="25" t="s">
        <v>1912</v>
      </c>
      <c r="J75" s="25" t="s">
        <v>1913</v>
      </c>
      <c r="K75" s="25" t="s">
        <v>1009</v>
      </c>
      <c r="L75" s="25" t="s">
        <v>1914</v>
      </c>
      <c r="M75" s="25" t="s">
        <v>1909</v>
      </c>
      <c r="N75" s="25" t="s">
        <v>1233</v>
      </c>
      <c r="P75" s="25" t="s">
        <v>1357</v>
      </c>
      <c r="Q75" s="25" t="s">
        <v>1233</v>
      </c>
      <c r="S75" s="25" t="s">
        <v>1915</v>
      </c>
      <c r="T75" s="25" t="s">
        <v>1916</v>
      </c>
      <c r="V75" s="25" t="str">
        <f>VLOOKUP(J75,'records (2)'!$A:$Z,16,FALSE)</f>
        <v>isabelle.vekeman@sopronem.com</v>
      </c>
    </row>
    <row r="76" spans="1:22" hidden="1">
      <c r="A76" s="25" t="s">
        <v>781</v>
      </c>
      <c r="B76" s="25" t="s">
        <v>780</v>
      </c>
      <c r="C76" s="25" t="s">
        <v>1917</v>
      </c>
      <c r="D76" s="25" t="s">
        <v>1918</v>
      </c>
      <c r="E76" s="25" t="s">
        <v>1337</v>
      </c>
      <c r="G76" s="25" t="s">
        <v>1919</v>
      </c>
      <c r="I76" s="25" t="s">
        <v>1920</v>
      </c>
      <c r="J76" s="25" t="s">
        <v>1921</v>
      </c>
      <c r="K76" s="25" t="s">
        <v>779</v>
      </c>
      <c r="L76" s="25" t="s">
        <v>1922</v>
      </c>
      <c r="M76" s="25" t="s">
        <v>1917</v>
      </c>
      <c r="N76" s="25" t="s">
        <v>1233</v>
      </c>
      <c r="P76" s="25" t="s">
        <v>1226</v>
      </c>
      <c r="Q76" s="25" t="s">
        <v>1233</v>
      </c>
      <c r="S76" s="25" t="s">
        <v>1923</v>
      </c>
      <c r="T76" s="25" t="s">
        <v>1924</v>
      </c>
      <c r="V76" s="25" t="str">
        <f>VLOOKUP(J76,'records (2)'!$A:$Z,16,FALSE)</f>
        <v>compta_fournisseur@metauxspeciaux.fr</v>
      </c>
    </row>
    <row r="77" spans="1:22" hidden="1">
      <c r="A77" s="25" t="s">
        <v>183</v>
      </c>
      <c r="B77" s="25" t="s">
        <v>182</v>
      </c>
      <c r="C77" s="25" t="s">
        <v>1925</v>
      </c>
      <c r="D77" s="25" t="s">
        <v>1926</v>
      </c>
      <c r="E77" s="25" t="s">
        <v>1337</v>
      </c>
      <c r="F77" s="25" t="s">
        <v>1927</v>
      </c>
      <c r="G77" s="25" t="s">
        <v>1928</v>
      </c>
      <c r="I77" s="25" t="s">
        <v>1929</v>
      </c>
      <c r="J77" s="25" t="s">
        <v>1930</v>
      </c>
      <c r="K77" s="25" t="s">
        <v>180</v>
      </c>
      <c r="L77" s="25" t="s">
        <v>1931</v>
      </c>
      <c r="M77" s="25" t="s">
        <v>1925</v>
      </c>
      <c r="P77" s="25" t="s">
        <v>1226</v>
      </c>
      <c r="Q77" s="25" t="s">
        <v>1233</v>
      </c>
      <c r="S77" s="25" t="s">
        <v>1932</v>
      </c>
      <c r="T77" s="25" t="s">
        <v>1933</v>
      </c>
      <c r="V77" s="25" t="str">
        <f>VLOOKUP(J77,'records (2)'!$A:$Z,16,FALSE)</f>
        <v>sandrine.zabatta@cofidis-group.com</v>
      </c>
    </row>
    <row r="78" spans="1:22" hidden="1">
      <c r="A78" s="25" t="s">
        <v>332</v>
      </c>
      <c r="B78" s="25" t="s">
        <v>331</v>
      </c>
      <c r="C78" s="25" t="s">
        <v>1934</v>
      </c>
      <c r="D78" s="25" t="s">
        <v>1935</v>
      </c>
      <c r="E78" s="25" t="s">
        <v>1337</v>
      </c>
      <c r="G78" s="25" t="s">
        <v>1936</v>
      </c>
      <c r="I78" s="25" t="s">
        <v>1937</v>
      </c>
      <c r="J78" s="25" t="s">
        <v>1938</v>
      </c>
      <c r="K78" s="25" t="s">
        <v>329</v>
      </c>
      <c r="L78" s="25" t="s">
        <v>1939</v>
      </c>
      <c r="M78" s="25" t="s">
        <v>1934</v>
      </c>
      <c r="N78" s="25" t="s">
        <v>1233</v>
      </c>
      <c r="P78" s="25" t="s">
        <v>1226</v>
      </c>
      <c r="Q78" s="25" t="s">
        <v>1233</v>
      </c>
      <c r="S78" s="25" t="s">
        <v>1940</v>
      </c>
      <c r="T78" s="25" t="s">
        <v>1941</v>
      </c>
      <c r="V78" s="25" t="str">
        <f>VLOOKUP(J78,'records (2)'!$A:$Z,16,FALSE)</f>
        <v>vportrait@groupe-papin.fr</v>
      </c>
    </row>
    <row r="79" spans="1:22" hidden="1">
      <c r="A79" s="25" t="s">
        <v>35</v>
      </c>
      <c r="B79" s="25" t="s">
        <v>1942</v>
      </c>
      <c r="C79" s="25" t="s">
        <v>1943</v>
      </c>
      <c r="D79" s="25" t="s">
        <v>1944</v>
      </c>
      <c r="E79" s="25" t="s">
        <v>1337</v>
      </c>
      <c r="G79" s="25" t="s">
        <v>1945</v>
      </c>
      <c r="I79" s="25" t="s">
        <v>1946</v>
      </c>
      <c r="J79" s="25" t="s">
        <v>1947</v>
      </c>
      <c r="K79" s="25" t="s">
        <v>33</v>
      </c>
      <c r="L79" s="25" t="s">
        <v>1948</v>
      </c>
      <c r="M79" s="25" t="s">
        <v>1943</v>
      </c>
      <c r="N79" s="25" t="s">
        <v>1233</v>
      </c>
      <c r="P79" s="25" t="s">
        <v>1226</v>
      </c>
      <c r="Q79" s="25" t="s">
        <v>1233</v>
      </c>
      <c r="S79" s="25" t="s">
        <v>1949</v>
      </c>
      <c r="T79" s="25" t="s">
        <v>1950</v>
      </c>
      <c r="V79" s="25" t="str">
        <f>VLOOKUP(J79,'records (2)'!$A:$Z,16,FALSE)</f>
        <v>christophe.duchesne@verallia.com</v>
      </c>
    </row>
    <row r="80" spans="1:22" hidden="1">
      <c r="A80" s="25" t="s">
        <v>583</v>
      </c>
      <c r="B80" s="25" t="s">
        <v>582</v>
      </c>
      <c r="C80" s="25" t="s">
        <v>1951</v>
      </c>
      <c r="D80" s="25" t="s">
        <v>1952</v>
      </c>
      <c r="E80" s="25" t="s">
        <v>1337</v>
      </c>
      <c r="G80" s="25" t="s">
        <v>1953</v>
      </c>
      <c r="I80" s="25" t="s">
        <v>1954</v>
      </c>
      <c r="J80" s="25" t="s">
        <v>1955</v>
      </c>
      <c r="K80" s="25" t="s">
        <v>580</v>
      </c>
      <c r="L80" s="25" t="s">
        <v>1956</v>
      </c>
      <c r="M80" s="25" t="s">
        <v>1951</v>
      </c>
      <c r="N80" s="25" t="s">
        <v>1233</v>
      </c>
      <c r="P80" s="25" t="s">
        <v>1226</v>
      </c>
      <c r="Q80" s="25" t="s">
        <v>1233</v>
      </c>
      <c r="S80" s="25" t="s">
        <v>1957</v>
      </c>
      <c r="T80" s="25" t="s">
        <v>1958</v>
      </c>
      <c r="V80" s="25" t="str">
        <f>VLOOKUP(J80,'records (2)'!$A:$Z,16,FALSE)</f>
        <v>audrey.guesdon@europesnacks.com</v>
      </c>
    </row>
    <row r="81" spans="1:22" hidden="1">
      <c r="A81" s="25" t="s">
        <v>889</v>
      </c>
      <c r="B81" s="25" t="s">
        <v>888</v>
      </c>
      <c r="C81" s="25" t="s">
        <v>1959</v>
      </c>
      <c r="D81" s="25" t="s">
        <v>1960</v>
      </c>
      <c r="E81" s="25" t="s">
        <v>1337</v>
      </c>
      <c r="G81" s="25" t="s">
        <v>1961</v>
      </c>
      <c r="I81" s="25" t="s">
        <v>1962</v>
      </c>
      <c r="J81" s="25" t="s">
        <v>1276</v>
      </c>
      <c r="K81" s="25" t="s">
        <v>887</v>
      </c>
      <c r="L81" s="25" t="s">
        <v>1963</v>
      </c>
      <c r="M81" s="25" t="s">
        <v>1959</v>
      </c>
      <c r="N81" s="25" t="s">
        <v>1233</v>
      </c>
      <c r="P81" s="25" t="s">
        <v>1226</v>
      </c>
      <c r="Q81" s="25" t="s">
        <v>1233</v>
      </c>
      <c r="S81" s="25" t="s">
        <v>1964</v>
      </c>
      <c r="T81" s="25" t="s">
        <v>1965</v>
      </c>
      <c r="V81" s="25" t="str">
        <f>VLOOKUP(J81,'records (2)'!$A:$Z,16,FALSE)</f>
        <v>comptabilite.fournisseurs@sigvaris.com</v>
      </c>
    </row>
    <row r="82" spans="1:22" hidden="1">
      <c r="A82" s="25" t="s">
        <v>912</v>
      </c>
      <c r="B82" s="25" t="s">
        <v>911</v>
      </c>
      <c r="C82" s="25" t="s">
        <v>1966</v>
      </c>
      <c r="D82" s="25" t="s">
        <v>1967</v>
      </c>
      <c r="E82" s="25" t="s">
        <v>1337</v>
      </c>
      <c r="G82" s="25" t="s">
        <v>1968</v>
      </c>
      <c r="I82" s="25" t="s">
        <v>1969</v>
      </c>
      <c r="J82" s="25" t="s">
        <v>1305</v>
      </c>
      <c r="K82" s="25" t="s">
        <v>909</v>
      </c>
      <c r="L82" s="25" t="s">
        <v>1970</v>
      </c>
      <c r="M82" s="25" t="s">
        <v>1966</v>
      </c>
      <c r="N82" s="25" t="s">
        <v>1233</v>
      </c>
      <c r="P82" s="25" t="s">
        <v>1226</v>
      </c>
      <c r="Q82" s="25" t="s">
        <v>1233</v>
      </c>
      <c r="S82" s="25" t="s">
        <v>1971</v>
      </c>
      <c r="T82" s="25" t="s">
        <v>1972</v>
      </c>
      <c r="V82" s="25" t="str">
        <f>VLOOKUP(J82,'records (2)'!$A:$Z,16,FALSE)</f>
        <v>comptabilite.fournisseurs@somfy.com</v>
      </c>
    </row>
    <row r="83" spans="1:22" hidden="1">
      <c r="A83" s="25" t="s">
        <v>420</v>
      </c>
      <c r="B83" s="25" t="s">
        <v>419</v>
      </c>
      <c r="C83" s="25" t="s">
        <v>1973</v>
      </c>
      <c r="D83" s="25" t="s">
        <v>1974</v>
      </c>
      <c r="E83" s="25" t="s">
        <v>1337</v>
      </c>
      <c r="G83" s="25" t="s">
        <v>1975</v>
      </c>
      <c r="I83" s="25" t="s">
        <v>1976</v>
      </c>
      <c r="J83" s="25" t="s">
        <v>1291</v>
      </c>
      <c r="K83" s="25" t="s">
        <v>417</v>
      </c>
      <c r="L83" s="25" t="s">
        <v>1977</v>
      </c>
      <c r="M83" s="25" t="s">
        <v>1973</v>
      </c>
      <c r="N83" s="25" t="s">
        <v>1233</v>
      </c>
      <c r="P83" s="25" t="s">
        <v>1226</v>
      </c>
      <c r="Q83" s="25" t="s">
        <v>1233</v>
      </c>
      <c r="S83" s="25" t="s">
        <v>1978</v>
      </c>
      <c r="T83" s="25" t="s">
        <v>1979</v>
      </c>
      <c r="V83" s="25" t="str">
        <f>VLOOKUP(J83,'records (2)'!$A:$Z,16,FALSE)</f>
        <v>comptabilite.fr@lennoxemea.com</v>
      </c>
    </row>
    <row r="84" spans="1:22" hidden="1">
      <c r="A84" s="25" t="s">
        <v>785</v>
      </c>
      <c r="B84" s="25" t="s">
        <v>784</v>
      </c>
      <c r="C84" s="25" t="s">
        <v>1980</v>
      </c>
      <c r="D84" s="25" t="s">
        <v>1981</v>
      </c>
      <c r="E84" s="25" t="s">
        <v>1337</v>
      </c>
      <c r="F84" s="25" t="s">
        <v>1401</v>
      </c>
      <c r="G84" s="25" t="s">
        <v>1982</v>
      </c>
      <c r="I84" s="25" t="s">
        <v>1983</v>
      </c>
      <c r="J84" s="25" t="s">
        <v>1984</v>
      </c>
      <c r="K84" s="25" t="s">
        <v>782</v>
      </c>
      <c r="L84" s="25" t="s">
        <v>1985</v>
      </c>
      <c r="M84" s="25" t="s">
        <v>1980</v>
      </c>
      <c r="N84" s="25" t="s">
        <v>1233</v>
      </c>
      <c r="P84" s="25" t="s">
        <v>1226</v>
      </c>
      <c r="Q84" s="25" t="s">
        <v>1233</v>
      </c>
      <c r="S84" s="25" t="s">
        <v>1986</v>
      </c>
      <c r="T84" s="25" t="s">
        <v>1987</v>
      </c>
      <c r="V84" s="25" t="str">
        <f>VLOOKUP(J84,'records (2)'!$A:$Z,16,FALSE)</f>
        <v>w.brun@fr.mw.gruppocln.com</v>
      </c>
    </row>
    <row r="85" spans="1:22" hidden="1">
      <c r="A85" s="25" t="s">
        <v>858</v>
      </c>
      <c r="B85" s="25" t="s">
        <v>857</v>
      </c>
      <c r="C85" s="25" t="s">
        <v>1988</v>
      </c>
      <c r="D85" s="25" t="s">
        <v>1989</v>
      </c>
      <c r="E85" s="25" t="s">
        <v>1337</v>
      </c>
      <c r="G85" s="25" t="s">
        <v>1990</v>
      </c>
      <c r="I85" s="25" t="s">
        <v>1991</v>
      </c>
      <c r="J85" s="25" t="s">
        <v>1992</v>
      </c>
      <c r="K85" s="25" t="s">
        <v>856</v>
      </c>
      <c r="L85" s="25" t="s">
        <v>1993</v>
      </c>
      <c r="M85" s="25" t="s">
        <v>1988</v>
      </c>
      <c r="N85" s="25" t="s">
        <v>1233</v>
      </c>
      <c r="P85" s="25" t="s">
        <v>1226</v>
      </c>
      <c r="Q85" s="25" t="s">
        <v>1233</v>
      </c>
      <c r="S85" s="25" t="s">
        <v>1994</v>
      </c>
      <c r="T85" s="25" t="s">
        <v>1995</v>
      </c>
      <c r="V85" s="25" t="str">
        <f>VLOOKUP(J85,'records (2)'!$A:$Z,16,FALSE)</f>
        <v>florence.vallet@saint-jean.fr</v>
      </c>
    </row>
    <row r="86" spans="1:22" hidden="1">
      <c r="A86" s="25" t="s">
        <v>1114</v>
      </c>
      <c r="B86" s="25" t="s">
        <v>1113</v>
      </c>
      <c r="C86" s="25" t="s">
        <v>1996</v>
      </c>
      <c r="D86" s="25" t="s">
        <v>1997</v>
      </c>
      <c r="E86" s="25" t="s">
        <v>1337</v>
      </c>
      <c r="G86" s="25" t="s">
        <v>1998</v>
      </c>
      <c r="I86" s="25" t="s">
        <v>1999</v>
      </c>
      <c r="J86" s="25" t="s">
        <v>2000</v>
      </c>
      <c r="K86" s="25" t="s">
        <v>1111</v>
      </c>
      <c r="L86" s="25" t="s">
        <v>2001</v>
      </c>
      <c r="M86" s="25" t="s">
        <v>1996</v>
      </c>
      <c r="N86" s="25" t="s">
        <v>1233</v>
      </c>
      <c r="P86" s="25" t="s">
        <v>1226</v>
      </c>
      <c r="Q86" s="25" t="s">
        <v>1233</v>
      </c>
      <c r="S86" s="25" t="s">
        <v>2002</v>
      </c>
      <c r="T86" s="25" t="s">
        <v>2003</v>
      </c>
      <c r="V86" s="25" t="str">
        <f>VLOOKUP(J86,'records (2)'!$A:$Z,16,FALSE)</f>
        <v>comptabilite@sateba.com</v>
      </c>
    </row>
    <row r="87" spans="1:22" hidden="1">
      <c r="A87" s="25" t="s">
        <v>1042</v>
      </c>
      <c r="B87" s="25" t="s">
        <v>1041</v>
      </c>
      <c r="C87" s="25" t="s">
        <v>2004</v>
      </c>
      <c r="D87" s="25" t="s">
        <v>1041</v>
      </c>
      <c r="E87" s="25" t="s">
        <v>1337</v>
      </c>
      <c r="G87" s="25" t="s">
        <v>2005</v>
      </c>
      <c r="I87" s="25" t="s">
        <v>2006</v>
      </c>
      <c r="J87" s="25" t="s">
        <v>2007</v>
      </c>
      <c r="K87" s="25" t="s">
        <v>1040</v>
      </c>
      <c r="L87" s="25" t="s">
        <v>2008</v>
      </c>
      <c r="M87" s="25" t="s">
        <v>2004</v>
      </c>
      <c r="N87" s="25" t="s">
        <v>1041</v>
      </c>
      <c r="O87" s="25" t="s">
        <v>1337</v>
      </c>
      <c r="Q87" s="25" t="s">
        <v>2005</v>
      </c>
      <c r="S87" s="25" t="s">
        <v>2006</v>
      </c>
      <c r="T87" s="25" t="s">
        <v>2009</v>
      </c>
      <c r="V87" s="25" t="str">
        <f>VLOOKUP(J87,'records (2)'!$A:$Z,16,FALSE)</f>
        <v>comptabilite_fournisseurs@baccarat.fr</v>
      </c>
    </row>
    <row r="88" spans="1:22" hidden="1">
      <c r="A88" s="25" t="s">
        <v>698</v>
      </c>
      <c r="B88" s="25" t="s">
        <v>697</v>
      </c>
      <c r="C88" s="25" t="s">
        <v>2010</v>
      </c>
      <c r="D88" s="25" t="s">
        <v>2011</v>
      </c>
      <c r="E88" s="25" t="s">
        <v>1337</v>
      </c>
      <c r="G88" s="25" t="s">
        <v>2012</v>
      </c>
      <c r="I88" s="25" t="s">
        <v>2013</v>
      </c>
      <c r="J88" s="25" t="s">
        <v>2014</v>
      </c>
      <c r="K88" s="25" t="s">
        <v>695</v>
      </c>
      <c r="L88" s="25" t="s">
        <v>2015</v>
      </c>
      <c r="M88" s="25" t="s">
        <v>2010</v>
      </c>
      <c r="N88" s="25" t="s">
        <v>1233</v>
      </c>
      <c r="P88" s="25" t="s">
        <v>1226</v>
      </c>
      <c r="Q88" s="25" t="s">
        <v>1233</v>
      </c>
      <c r="S88" s="25" t="s">
        <v>2016</v>
      </c>
      <c r="T88" s="25" t="s">
        <v>2017</v>
      </c>
      <c r="V88" s="25" t="str">
        <f>VLOOKUP(J88,'records (2)'!$A:$Z,16,FALSE)</f>
        <v>vincent.froehly@hexcel.com</v>
      </c>
    </row>
    <row r="89" spans="1:22" hidden="1">
      <c r="A89" s="25" t="s">
        <v>102</v>
      </c>
      <c r="B89" s="25" t="s">
        <v>101</v>
      </c>
      <c r="C89" s="25" t="s">
        <v>2018</v>
      </c>
      <c r="D89" s="25" t="s">
        <v>2019</v>
      </c>
      <c r="E89" s="25" t="s">
        <v>1337</v>
      </c>
      <c r="G89" s="25" t="s">
        <v>2020</v>
      </c>
      <c r="I89" s="25" t="s">
        <v>2021</v>
      </c>
      <c r="J89" s="25" t="s">
        <v>2022</v>
      </c>
      <c r="K89" s="25" t="s">
        <v>99</v>
      </c>
      <c r="L89" s="25" t="s">
        <v>2023</v>
      </c>
      <c r="M89" s="25" t="s">
        <v>2018</v>
      </c>
      <c r="N89" s="25" t="s">
        <v>1233</v>
      </c>
      <c r="P89" s="25" t="s">
        <v>1226</v>
      </c>
      <c r="Q89" s="25" t="s">
        <v>1233</v>
      </c>
      <c r="S89" s="25" t="s">
        <v>2024</v>
      </c>
      <c r="T89" s="25" t="s">
        <v>2025</v>
      </c>
      <c r="V89" s="25" t="str">
        <f>VLOOKUP(J89,'records (2)'!$A:$Z,16,FALSE)</f>
        <v>comptabilite-fournisseur@blanchon.com</v>
      </c>
    </row>
    <row r="90" spans="1:22" hidden="1">
      <c r="A90" s="25" t="s">
        <v>146</v>
      </c>
      <c r="B90" s="25" t="s">
        <v>145</v>
      </c>
      <c r="C90" s="25" t="s">
        <v>2026</v>
      </c>
      <c r="D90" s="25" t="s">
        <v>2027</v>
      </c>
      <c r="E90" s="25" t="s">
        <v>1337</v>
      </c>
      <c r="G90" s="25" t="s">
        <v>2028</v>
      </c>
      <c r="I90" s="25" t="s">
        <v>2029</v>
      </c>
      <c r="J90" s="25" t="s">
        <v>2030</v>
      </c>
      <c r="K90" s="25" t="s">
        <v>144</v>
      </c>
      <c r="L90" s="25" t="s">
        <v>2031</v>
      </c>
      <c r="M90" s="25" t="s">
        <v>2026</v>
      </c>
      <c r="P90" s="25" t="s">
        <v>1226</v>
      </c>
      <c r="Q90" s="25" t="s">
        <v>1233</v>
      </c>
      <c r="S90" s="25" t="s">
        <v>2032</v>
      </c>
      <c r="T90" s="25" t="s">
        <v>2033</v>
      </c>
      <c r="V90" s="25" t="str">
        <f>VLOOKUP(J90,'records (2)'!$A:$Z,16,FALSE)</f>
        <v>comptabilitefournisseurs@doka.com</v>
      </c>
    </row>
    <row r="91" spans="1:22" hidden="1">
      <c r="A91" s="25" t="s">
        <v>187</v>
      </c>
      <c r="B91" s="25" t="s">
        <v>186</v>
      </c>
      <c r="C91" s="25" t="s">
        <v>186</v>
      </c>
      <c r="D91" s="25" t="s">
        <v>2034</v>
      </c>
      <c r="E91" s="25" t="s">
        <v>1337</v>
      </c>
      <c r="G91" s="25" t="s">
        <v>2035</v>
      </c>
      <c r="I91" s="25" t="s">
        <v>2036</v>
      </c>
      <c r="J91" s="25" t="s">
        <v>2037</v>
      </c>
      <c r="K91" s="25" t="s">
        <v>184</v>
      </c>
      <c r="L91" s="25" t="s">
        <v>2038</v>
      </c>
      <c r="M91" s="25" t="s">
        <v>186</v>
      </c>
      <c r="N91" s="25" t="s">
        <v>1233</v>
      </c>
      <c r="P91" s="25" t="s">
        <v>1226</v>
      </c>
      <c r="Q91" s="25" t="s">
        <v>1233</v>
      </c>
      <c r="S91" s="25" t="s">
        <v>2039</v>
      </c>
      <c r="T91" s="25" t="s">
        <v>2040</v>
      </c>
      <c r="V91" s="25" t="str">
        <f>VLOOKUP(J91,'records (2)'!$A:$Z,16,FALSE)</f>
        <v>cbeauvois@groupediffusionplus.fr</v>
      </c>
    </row>
    <row r="92" spans="1:22" hidden="1">
      <c r="A92" s="25" t="s">
        <v>202</v>
      </c>
      <c r="B92" s="25" t="s">
        <v>201</v>
      </c>
      <c r="C92" s="25" t="s">
        <v>2041</v>
      </c>
      <c r="D92" s="25" t="s">
        <v>2042</v>
      </c>
      <c r="E92" s="25" t="s">
        <v>1337</v>
      </c>
      <c r="G92" s="25" t="s">
        <v>2043</v>
      </c>
      <c r="I92" s="25" t="s">
        <v>2044</v>
      </c>
      <c r="J92" s="25" t="s">
        <v>2045</v>
      </c>
      <c r="K92" s="25" t="s">
        <v>199</v>
      </c>
      <c r="L92" s="25" t="s">
        <v>2046</v>
      </c>
      <c r="M92" s="25" t="s">
        <v>2041</v>
      </c>
      <c r="N92" s="25" t="s">
        <v>1233</v>
      </c>
      <c r="P92" s="25" t="s">
        <v>1226</v>
      </c>
      <c r="Q92" s="25" t="s">
        <v>1233</v>
      </c>
      <c r="S92" s="25" t="s">
        <v>2047</v>
      </c>
      <c r="T92" s="25" t="s">
        <v>2048</v>
      </c>
      <c r="V92" s="25" t="str">
        <f>VLOOKUP(J92,'records (2)'!$A:$Z,16,FALSE)</f>
        <v>comptabilite-wasselonne@hansgrohe.fr</v>
      </c>
    </row>
    <row r="93" spans="1:22" hidden="1">
      <c r="A93" s="25" t="s">
        <v>324</v>
      </c>
      <c r="B93" s="25" t="s">
        <v>323</v>
      </c>
      <c r="C93" s="25" t="s">
        <v>2049</v>
      </c>
      <c r="D93" s="25" t="s">
        <v>1249</v>
      </c>
      <c r="E93" s="25" t="s">
        <v>1337</v>
      </c>
      <c r="G93" s="25" t="s">
        <v>2050</v>
      </c>
      <c r="I93" s="25" t="s">
        <v>2051</v>
      </c>
      <c r="J93" s="25" t="s">
        <v>2052</v>
      </c>
      <c r="K93" s="25" t="s">
        <v>322</v>
      </c>
      <c r="L93" s="25" t="s">
        <v>2053</v>
      </c>
      <c r="M93" s="25" t="s">
        <v>2049</v>
      </c>
      <c r="N93" s="25" t="s">
        <v>1233</v>
      </c>
      <c r="P93" s="25" t="s">
        <v>1226</v>
      </c>
      <c r="Q93" s="25" t="s">
        <v>1233</v>
      </c>
      <c r="S93" s="25" t="s">
        <v>2054</v>
      </c>
      <c r="T93" s="25" t="s">
        <v>2055</v>
      </c>
      <c r="V93" s="25" t="str">
        <f>VLOOKUP(J93,'records (2)'!$A:$Z,16,FALSE)</f>
        <v>compta-finance@oreco.fr</v>
      </c>
    </row>
    <row r="94" spans="1:22" hidden="1">
      <c r="A94" s="25" t="s">
        <v>568</v>
      </c>
      <c r="B94" s="25" t="s">
        <v>567</v>
      </c>
      <c r="C94" s="25" t="s">
        <v>2056</v>
      </c>
      <c r="D94" s="25" t="s">
        <v>2057</v>
      </c>
      <c r="E94" s="25" t="s">
        <v>1337</v>
      </c>
      <c r="G94" s="25" t="s">
        <v>2058</v>
      </c>
      <c r="I94" s="25" t="s">
        <v>2059</v>
      </c>
      <c r="J94" s="25" t="s">
        <v>2060</v>
      </c>
      <c r="K94" s="25" t="s">
        <v>565</v>
      </c>
      <c r="L94" s="25" t="s">
        <v>2061</v>
      </c>
      <c r="M94" s="25" t="s">
        <v>2056</v>
      </c>
      <c r="N94" s="25" t="s">
        <v>1233</v>
      </c>
      <c r="P94" s="25" t="s">
        <v>1226</v>
      </c>
      <c r="Q94" s="25" t="s">
        <v>1233</v>
      </c>
      <c r="S94" s="25" t="s">
        <v>2062</v>
      </c>
      <c r="T94" s="25" t="s">
        <v>2063</v>
      </c>
      <c r="V94" s="25" t="str">
        <f>VLOOKUP(J94,'records (2)'!$A:$Z,16,FALSE)</f>
        <v>factures.siege@euralis.com</v>
      </c>
    </row>
    <row r="95" spans="1:22" hidden="1">
      <c r="A95" s="25" t="s">
        <v>352</v>
      </c>
      <c r="B95" s="25" t="s">
        <v>351</v>
      </c>
      <c r="C95" s="25" t="s">
        <v>351</v>
      </c>
      <c r="D95" s="25" t="s">
        <v>2064</v>
      </c>
      <c r="E95" s="25" t="s">
        <v>1337</v>
      </c>
      <c r="G95" s="25" t="s">
        <v>2065</v>
      </c>
      <c r="I95" s="25" t="s">
        <v>2066</v>
      </c>
      <c r="J95" s="25" t="s">
        <v>2067</v>
      </c>
      <c r="K95" s="25" t="s">
        <v>349</v>
      </c>
      <c r="L95" s="25" t="s">
        <v>2068</v>
      </c>
      <c r="M95" s="25" t="s">
        <v>351</v>
      </c>
      <c r="N95" s="25" t="s">
        <v>1233</v>
      </c>
      <c r="P95" s="25" t="s">
        <v>1226</v>
      </c>
      <c r="Q95" s="25" t="s">
        <v>1233</v>
      </c>
      <c r="S95" s="25" t="s">
        <v>2069</v>
      </c>
      <c r="T95" s="25" t="s">
        <v>2070</v>
      </c>
      <c r="V95" s="25" t="str">
        <f>VLOOKUP(J95,'records (2)'!$A:$Z,16,FALSE)</f>
        <v>mathieu.lefebure@puma.com</v>
      </c>
    </row>
    <row r="96" spans="1:22" hidden="1">
      <c r="A96" s="25" t="s">
        <v>493</v>
      </c>
      <c r="B96" s="25" t="s">
        <v>492</v>
      </c>
      <c r="C96" s="25" t="s">
        <v>2071</v>
      </c>
      <c r="D96" s="25" t="s">
        <v>2072</v>
      </c>
      <c r="E96" s="25" t="s">
        <v>1337</v>
      </c>
      <c r="G96" s="25" t="s">
        <v>2073</v>
      </c>
      <c r="I96" s="25" t="s">
        <v>2074</v>
      </c>
      <c r="J96" s="25" t="s">
        <v>2075</v>
      </c>
      <c r="K96" s="25" t="s">
        <v>491</v>
      </c>
      <c r="L96" s="25" t="s">
        <v>2076</v>
      </c>
      <c r="M96" s="25" t="s">
        <v>2071</v>
      </c>
      <c r="N96" s="25" t="s">
        <v>1233</v>
      </c>
      <c r="P96" s="25" t="s">
        <v>1226</v>
      </c>
      <c r="Q96" s="25" t="s">
        <v>1233</v>
      </c>
      <c r="S96" s="25" t="s">
        <v>2077</v>
      </c>
      <c r="T96" s="25" t="s">
        <v>2078</v>
      </c>
      <c r="V96" s="25" t="str">
        <f>VLOOKUP(J96,'records (2)'!$A:$Z,16,FALSE)</f>
        <v>compta-fournisseurs@chabanne.com</v>
      </c>
    </row>
    <row r="97" spans="1:22" hidden="1">
      <c r="A97" s="25" t="s">
        <v>153</v>
      </c>
      <c r="B97" s="25" t="s">
        <v>152</v>
      </c>
      <c r="C97" s="25" t="s">
        <v>152</v>
      </c>
      <c r="D97" s="25" t="s">
        <v>2079</v>
      </c>
      <c r="E97" s="25" t="s">
        <v>1337</v>
      </c>
      <c r="F97" s="25" t="s">
        <v>1425</v>
      </c>
      <c r="G97" s="25" t="s">
        <v>2080</v>
      </c>
      <c r="I97" s="25" t="s">
        <v>2081</v>
      </c>
      <c r="J97" s="25" t="s">
        <v>2082</v>
      </c>
      <c r="K97" s="25" t="s">
        <v>150</v>
      </c>
      <c r="L97" s="25" t="s">
        <v>2083</v>
      </c>
      <c r="M97" s="25" t="s">
        <v>152</v>
      </c>
      <c r="N97" s="25" t="s">
        <v>1233</v>
      </c>
      <c r="P97" s="25" t="s">
        <v>1226</v>
      </c>
      <c r="Q97" s="25" t="s">
        <v>1233</v>
      </c>
      <c r="S97" s="25" t="s">
        <v>2084</v>
      </c>
      <c r="T97" s="25" t="s">
        <v>2085</v>
      </c>
      <c r="V97" s="25" t="str">
        <f>VLOOKUP(J97,'records (2)'!$A:$Z,16,FALSE)</f>
        <v>comptafournisseurs@elydan.eu</v>
      </c>
    </row>
    <row r="98" spans="1:22" hidden="1">
      <c r="A98" s="25" t="s">
        <v>658</v>
      </c>
      <c r="B98" s="25" t="s">
        <v>657</v>
      </c>
      <c r="C98" s="25" t="s">
        <v>2086</v>
      </c>
      <c r="D98" s="25" t="s">
        <v>1544</v>
      </c>
      <c r="E98" s="25" t="s">
        <v>1337</v>
      </c>
      <c r="G98" s="25" t="s">
        <v>1545</v>
      </c>
      <c r="I98" s="25" t="s">
        <v>1546</v>
      </c>
      <c r="J98" s="25" t="s">
        <v>2087</v>
      </c>
      <c r="K98" s="25" t="s">
        <v>656</v>
      </c>
      <c r="L98" s="25" t="s">
        <v>2088</v>
      </c>
      <c r="M98" s="25" t="s">
        <v>2086</v>
      </c>
      <c r="N98" s="25" t="s">
        <v>1233</v>
      </c>
      <c r="P98" s="25" t="s">
        <v>1226</v>
      </c>
      <c r="Q98" s="25" t="s">
        <v>1233</v>
      </c>
      <c r="S98" s="25" t="s">
        <v>2089</v>
      </c>
      <c r="T98" s="25" t="s">
        <v>2090</v>
      </c>
      <c r="V98" s="25" t="str">
        <f>VLOOKUP(J98,'records (2)'!$A:$Z,16,FALSE)</f>
        <v>comptafournisseurs@rolot.com</v>
      </c>
    </row>
    <row r="99" spans="1:22" hidden="1">
      <c r="A99" s="25" t="s">
        <v>632</v>
      </c>
      <c r="B99" s="25" t="s">
        <v>631</v>
      </c>
      <c r="C99" s="25" t="s">
        <v>2091</v>
      </c>
      <c r="D99" s="25" t="s">
        <v>2092</v>
      </c>
      <c r="E99" s="25" t="s">
        <v>1337</v>
      </c>
      <c r="G99" s="25" t="s">
        <v>2093</v>
      </c>
      <c r="I99" s="25" t="s">
        <v>2094</v>
      </c>
      <c r="J99" s="25" t="s">
        <v>2095</v>
      </c>
      <c r="K99" s="25" t="s">
        <v>629</v>
      </c>
      <c r="L99" s="25" t="s">
        <v>2096</v>
      </c>
      <c r="M99" s="25" t="s">
        <v>2091</v>
      </c>
      <c r="N99" s="25" t="s">
        <v>1233</v>
      </c>
      <c r="P99" s="25" t="s">
        <v>1226</v>
      </c>
      <c r="Q99" s="25" t="s">
        <v>1233</v>
      </c>
      <c r="S99" s="25" t="s">
        <v>2097</v>
      </c>
      <c r="T99" s="25" t="s">
        <v>2098</v>
      </c>
      <c r="V99" s="25" t="str">
        <f>VLOOKUP(J99,'records (2)'!$A:$Z,16,FALSE)</f>
        <v>compta-frais2@monin.com</v>
      </c>
    </row>
    <row r="100" spans="1:22" hidden="1">
      <c r="A100" s="25" t="s">
        <v>342</v>
      </c>
      <c r="B100" s="25" t="s">
        <v>341</v>
      </c>
      <c r="C100" s="25" t="s">
        <v>2099</v>
      </c>
      <c r="D100" s="25" t="s">
        <v>2100</v>
      </c>
      <c r="E100" s="25" t="s">
        <v>1337</v>
      </c>
      <c r="F100" s="25" t="s">
        <v>1840</v>
      </c>
      <c r="G100" s="25" t="s">
        <v>2101</v>
      </c>
      <c r="I100" s="25" t="s">
        <v>2102</v>
      </c>
      <c r="J100" s="25" t="s">
        <v>2103</v>
      </c>
      <c r="K100" s="25" t="s">
        <v>340</v>
      </c>
      <c r="L100" s="25" t="s">
        <v>2104</v>
      </c>
      <c r="M100" s="25" t="s">
        <v>2099</v>
      </c>
      <c r="N100" s="25" t="s">
        <v>1233</v>
      </c>
      <c r="P100" s="25" t="s">
        <v>1226</v>
      </c>
      <c r="Q100" s="25" t="s">
        <v>1233</v>
      </c>
      <c r="S100" s="25" t="s">
        <v>2105</v>
      </c>
      <c r="T100" s="25" t="s">
        <v>2106</v>
      </c>
      <c r="V100" s="25" t="str">
        <f>VLOOKUP(J100,'records (2)'!$A:$Z,16,FALSE)</f>
        <v>c.gouyetciais@pileje-industrie.com</v>
      </c>
    </row>
    <row r="101" spans="1:22" hidden="1">
      <c r="A101" s="25" t="s">
        <v>1050</v>
      </c>
      <c r="B101" s="25" t="s">
        <v>1049</v>
      </c>
      <c r="C101" s="25" t="s">
        <v>1049</v>
      </c>
      <c r="D101" s="25" t="s">
        <v>2107</v>
      </c>
      <c r="E101" s="25" t="s">
        <v>1337</v>
      </c>
      <c r="G101" s="25" t="s">
        <v>2108</v>
      </c>
      <c r="I101" s="25" t="s">
        <v>2109</v>
      </c>
      <c r="J101" s="25" t="s">
        <v>2110</v>
      </c>
      <c r="K101" s="25" t="s">
        <v>1047</v>
      </c>
      <c r="L101" s="25" t="s">
        <v>2111</v>
      </c>
      <c r="M101" s="25" t="s">
        <v>1049</v>
      </c>
      <c r="N101" s="25" t="s">
        <v>1233</v>
      </c>
      <c r="P101" s="25" t="s">
        <v>1226</v>
      </c>
      <c r="Q101" s="25" t="s">
        <v>1233</v>
      </c>
      <c r="S101" s="25" t="s">
        <v>2112</v>
      </c>
      <c r="T101" s="25" t="s">
        <v>2113</v>
      </c>
      <c r="V101" s="25" t="str">
        <f>VLOOKUP(J101,'records (2)'!$A:$Z,16,FALSE)</f>
        <v>cpuech@cofigeo.fr</v>
      </c>
    </row>
    <row r="102" spans="1:22" hidden="1">
      <c r="A102" s="25" t="s">
        <v>735</v>
      </c>
      <c r="B102" s="25" t="s">
        <v>734</v>
      </c>
      <c r="C102" s="25" t="s">
        <v>2114</v>
      </c>
      <c r="D102" s="25" t="s">
        <v>2115</v>
      </c>
      <c r="E102" s="25" t="s">
        <v>1337</v>
      </c>
      <c r="G102" s="25" t="s">
        <v>1553</v>
      </c>
      <c r="I102" s="25" t="s">
        <v>2116</v>
      </c>
      <c r="J102" s="25" t="s">
        <v>2117</v>
      </c>
      <c r="K102" s="25" t="s">
        <v>732</v>
      </c>
      <c r="L102" s="25" t="s">
        <v>2118</v>
      </c>
      <c r="M102" s="25" t="s">
        <v>2114</v>
      </c>
      <c r="N102" s="25" t="s">
        <v>1233</v>
      </c>
      <c r="P102" s="25" t="s">
        <v>1226</v>
      </c>
      <c r="Q102" s="25" t="s">
        <v>1233</v>
      </c>
      <c r="S102" s="25" t="s">
        <v>2119</v>
      </c>
      <c r="T102" s="25" t="s">
        <v>2120</v>
      </c>
      <c r="V102" s="25" t="str">
        <f>VLOOKUP(J102,'records (2)'!$A:$Z,16,FALSE)</f>
        <v>comptamob-frs@lafuma-mobilier.fr</v>
      </c>
    </row>
    <row r="103" spans="1:22" hidden="1">
      <c r="A103" s="25" t="s">
        <v>1085</v>
      </c>
      <c r="B103" s="25" t="s">
        <v>1084</v>
      </c>
      <c r="C103" s="25" t="s">
        <v>2121</v>
      </c>
      <c r="D103" s="25" t="s">
        <v>2122</v>
      </c>
      <c r="E103" s="25" t="s">
        <v>1337</v>
      </c>
      <c r="G103" s="25" t="s">
        <v>2123</v>
      </c>
      <c r="I103" s="25" t="s">
        <v>2124</v>
      </c>
      <c r="J103" s="25" t="s">
        <v>1311</v>
      </c>
      <c r="K103" s="25" t="s">
        <v>1083</v>
      </c>
      <c r="L103" s="25" t="s">
        <v>2125</v>
      </c>
      <c r="M103" s="25" t="s">
        <v>2121</v>
      </c>
      <c r="N103" s="25" t="s">
        <v>1233</v>
      </c>
      <c r="P103" s="25" t="s">
        <v>1226</v>
      </c>
      <c r="Q103" s="25" t="s">
        <v>1233</v>
      </c>
      <c r="S103" s="25" t="s">
        <v>2126</v>
      </c>
      <c r="T103" s="25" t="s">
        <v>2127</v>
      </c>
      <c r="V103" s="25" t="str">
        <f>VLOOKUP(J103,'records (2)'!$A:$Z,16,FALSE)</f>
        <v>compta-tiers.efi@efiautomotive.com</v>
      </c>
    </row>
    <row r="104" spans="1:22" hidden="1">
      <c r="A104" s="25" t="s">
        <v>336</v>
      </c>
      <c r="B104" s="25" t="s">
        <v>335</v>
      </c>
      <c r="C104" s="25" t="s">
        <v>2128</v>
      </c>
      <c r="D104" s="25" t="s">
        <v>2129</v>
      </c>
      <c r="E104" s="25" t="s">
        <v>1337</v>
      </c>
      <c r="F104" s="25" t="s">
        <v>2130</v>
      </c>
      <c r="G104" s="25" t="s">
        <v>2131</v>
      </c>
      <c r="I104" s="25" t="s">
        <v>2132</v>
      </c>
      <c r="J104" s="25" t="s">
        <v>2133</v>
      </c>
      <c r="K104" s="25" t="s">
        <v>333</v>
      </c>
      <c r="L104" s="25" t="s">
        <v>2134</v>
      </c>
      <c r="M104" s="25" t="s">
        <v>2128</v>
      </c>
      <c r="P104" s="25" t="s">
        <v>1226</v>
      </c>
      <c r="Q104" s="25" t="s">
        <v>1233</v>
      </c>
      <c r="S104" s="25" t="s">
        <v>2135</v>
      </c>
      <c r="T104" s="25" t="s">
        <v>2136</v>
      </c>
      <c r="V104" s="25" t="str">
        <f>VLOOKUP(J104,'records (2)'!$A:$Z,16,FALSE)</f>
        <v>baptiste.villevalois@pdg-plastiques.com</v>
      </c>
    </row>
    <row r="105" spans="1:22" hidden="1">
      <c r="A105" s="25" t="s">
        <v>32</v>
      </c>
      <c r="B105" s="25" t="s">
        <v>31</v>
      </c>
      <c r="C105" s="25" t="s">
        <v>2137</v>
      </c>
      <c r="D105" s="25" t="s">
        <v>2138</v>
      </c>
      <c r="E105" s="25" t="s">
        <v>1337</v>
      </c>
      <c r="G105" s="25" t="s">
        <v>2139</v>
      </c>
      <c r="I105" s="25" t="s">
        <v>2140</v>
      </c>
      <c r="J105" s="25" t="s">
        <v>2141</v>
      </c>
      <c r="K105" s="25" t="s">
        <v>29</v>
      </c>
      <c r="L105" s="25" t="s">
        <v>2142</v>
      </c>
      <c r="M105" s="25" t="s">
        <v>2137</v>
      </c>
      <c r="N105" s="25" t="s">
        <v>1233</v>
      </c>
      <c r="P105" s="25" t="s">
        <v>1226</v>
      </c>
      <c r="Q105" s="25" t="s">
        <v>1233</v>
      </c>
      <c r="S105" s="25" t="s">
        <v>2143</v>
      </c>
      <c r="T105" s="25" t="s">
        <v>2144</v>
      </c>
      <c r="V105" s="25" t="str">
        <f>VLOOKUP(J105,'records (2)'!$A:$Z,16,FALSE)</f>
        <v>coralie.rouye@verallia.com</v>
      </c>
    </row>
    <row r="106" spans="1:22" hidden="1">
      <c r="A106" s="25" t="s">
        <v>908</v>
      </c>
      <c r="B106" s="25" t="s">
        <v>907</v>
      </c>
      <c r="C106" s="25" t="s">
        <v>2145</v>
      </c>
      <c r="D106" s="25" t="s">
        <v>2146</v>
      </c>
      <c r="E106" s="25" t="s">
        <v>1337</v>
      </c>
      <c r="F106" s="25" t="s">
        <v>1425</v>
      </c>
      <c r="G106" s="25" t="s">
        <v>2147</v>
      </c>
      <c r="I106" s="25" t="s">
        <v>2148</v>
      </c>
      <c r="J106" s="25" t="s">
        <v>2149</v>
      </c>
      <c r="K106" s="25" t="s">
        <v>905</v>
      </c>
      <c r="L106" s="25" t="s">
        <v>2150</v>
      </c>
      <c r="M106" s="25" t="s">
        <v>2145</v>
      </c>
      <c r="N106" s="25" t="s">
        <v>1233</v>
      </c>
      <c r="P106" s="25" t="s">
        <v>1226</v>
      </c>
      <c r="Q106" s="25" t="s">
        <v>1233</v>
      </c>
      <c r="S106" s="25" t="s">
        <v>2151</v>
      </c>
      <c r="T106" s="25" t="s">
        <v>2152</v>
      </c>
      <c r="V106" s="25" t="str">
        <f>VLOOKUP(J106,'records (2)'!$A:$Z,16,FALSE)</f>
        <v>anne.devillers@sodis.fr</v>
      </c>
    </row>
    <row r="107" spans="1:22" hidden="1">
      <c r="A107" s="25" t="s">
        <v>127</v>
      </c>
      <c r="B107" s="25" t="s">
        <v>126</v>
      </c>
      <c r="C107" s="25" t="s">
        <v>2153</v>
      </c>
      <c r="D107" s="25" t="s">
        <v>2154</v>
      </c>
      <c r="E107" s="25" t="s">
        <v>1337</v>
      </c>
      <c r="F107" s="25" t="s">
        <v>2155</v>
      </c>
      <c r="G107" s="25" t="s">
        <v>2156</v>
      </c>
      <c r="I107" s="25" t="s">
        <v>2157</v>
      </c>
      <c r="J107" s="25" t="s">
        <v>2158</v>
      </c>
      <c r="K107" s="25" t="s">
        <v>124</v>
      </c>
      <c r="L107" s="25" t="s">
        <v>2159</v>
      </c>
      <c r="M107" s="25" t="s">
        <v>2153</v>
      </c>
      <c r="N107" s="25" t="s">
        <v>1233</v>
      </c>
      <c r="P107" s="25" t="s">
        <v>1226</v>
      </c>
      <c r="Q107" s="25" t="s">
        <v>1233</v>
      </c>
      <c r="S107" s="25" t="s">
        <v>2160</v>
      </c>
      <c r="T107" s="25" t="s">
        <v>2161</v>
      </c>
      <c r="V107" s="25" t="str">
        <f>VLOOKUP(J107,'records (2)'!$A:$Z,16,FALSE)</f>
        <v>cosasaccountspayable@chevron.com</v>
      </c>
    </row>
    <row r="108" spans="1:22" hidden="1">
      <c r="A108" s="25" t="s">
        <v>115</v>
      </c>
      <c r="B108" s="25" t="s">
        <v>114</v>
      </c>
      <c r="C108" s="25" t="s">
        <v>2162</v>
      </c>
      <c r="D108" s="25" t="s">
        <v>2163</v>
      </c>
      <c r="E108" s="25" t="s">
        <v>1337</v>
      </c>
      <c r="F108" s="25" t="s">
        <v>2164</v>
      </c>
      <c r="G108" s="25" t="s">
        <v>2165</v>
      </c>
      <c r="I108" s="25" t="s">
        <v>2166</v>
      </c>
      <c r="J108" s="25" t="s">
        <v>2167</v>
      </c>
      <c r="K108" s="25" t="s">
        <v>113</v>
      </c>
      <c r="L108" s="25" t="s">
        <v>2168</v>
      </c>
      <c r="M108" s="25" t="s">
        <v>2162</v>
      </c>
      <c r="N108" s="25" t="s">
        <v>1233</v>
      </c>
      <c r="P108" s="25" t="s">
        <v>1226</v>
      </c>
      <c r="Q108" s="25" t="s">
        <v>1233</v>
      </c>
      <c r="S108" s="25" t="s">
        <v>2169</v>
      </c>
      <c r="T108" s="25" t="s">
        <v>2170</v>
      </c>
      <c r="V108" s="25" t="str">
        <f>VLOOKUP(J108,'records (2)'!$A:$Z,16,FALSE)</f>
        <v>mtardy@caillau.com</v>
      </c>
    </row>
    <row r="109" spans="1:22" hidden="1">
      <c r="A109" s="25" t="s">
        <v>655</v>
      </c>
      <c r="B109" s="25" t="s">
        <v>654</v>
      </c>
      <c r="C109" s="25" t="s">
        <v>2171</v>
      </c>
      <c r="D109" s="25" t="s">
        <v>1454</v>
      </c>
      <c r="E109" s="25" t="s">
        <v>1337</v>
      </c>
      <c r="G109" s="25" t="s">
        <v>2172</v>
      </c>
      <c r="I109" s="25" t="s">
        <v>2173</v>
      </c>
      <c r="J109" s="25" t="s">
        <v>1301</v>
      </c>
      <c r="K109" s="25" t="s">
        <v>652</v>
      </c>
      <c r="L109" s="25" t="s">
        <v>2174</v>
      </c>
      <c r="M109" s="25" t="s">
        <v>2171</v>
      </c>
      <c r="N109" s="25" t="s">
        <v>1233</v>
      </c>
      <c r="P109" s="25" t="s">
        <v>1226</v>
      </c>
      <c r="Q109" s="25" t="s">
        <v>1233</v>
      </c>
      <c r="S109" s="25" t="s">
        <v>2175</v>
      </c>
      <c r="T109" s="25" t="s">
        <v>2176</v>
      </c>
      <c r="V109" s="25" t="str">
        <f>VLOOKUP(J109,'records (2)'!$A:$Z,16,FALSE)</f>
        <v>tiphaine.bohuon@avril.com</v>
      </c>
    </row>
    <row r="110" spans="1:22" hidden="1">
      <c r="A110" s="25" t="s">
        <v>246</v>
      </c>
      <c r="B110" s="25" t="s">
        <v>245</v>
      </c>
      <c r="C110" s="25" t="s">
        <v>2177</v>
      </c>
      <c r="D110" s="25" t="s">
        <v>2178</v>
      </c>
      <c r="E110" s="25" t="s">
        <v>1337</v>
      </c>
      <c r="G110" s="25" t="s">
        <v>2179</v>
      </c>
      <c r="I110" s="25" t="s">
        <v>2180</v>
      </c>
      <c r="J110" s="25" t="s">
        <v>2181</v>
      </c>
      <c r="K110" s="25" t="s">
        <v>244</v>
      </c>
      <c r="L110" s="25" t="s">
        <v>2182</v>
      </c>
      <c r="M110" s="25" t="s">
        <v>2177</v>
      </c>
      <c r="P110" s="25" t="s">
        <v>1226</v>
      </c>
      <c r="Q110" s="25" t="s">
        <v>1233</v>
      </c>
      <c r="S110" s="25" t="s">
        <v>2183</v>
      </c>
      <c r="T110" s="25" t="s">
        <v>2184</v>
      </c>
      <c r="V110" s="25" t="str">
        <f>VLOOKUP(J110,'records (2)'!$A:$Z,16,FALSE)</f>
        <v>cspli.lagrange@lapeyre.fr</v>
      </c>
    </row>
    <row r="111" spans="1:22" hidden="1">
      <c r="A111" s="25" t="s">
        <v>1021</v>
      </c>
      <c r="B111" s="25" t="s">
        <v>1020</v>
      </c>
      <c r="C111" s="25" t="s">
        <v>2185</v>
      </c>
      <c r="D111" s="25" t="s">
        <v>2186</v>
      </c>
      <c r="E111" s="25" t="s">
        <v>1337</v>
      </c>
      <c r="G111" s="25" t="s">
        <v>2187</v>
      </c>
      <c r="I111" s="25" t="s">
        <v>2188</v>
      </c>
      <c r="J111" s="25" t="s">
        <v>2189</v>
      </c>
      <c r="K111" s="25" t="s">
        <v>1018</v>
      </c>
      <c r="L111" s="25" t="s">
        <v>2190</v>
      </c>
      <c r="M111" s="25" t="s">
        <v>2185</v>
      </c>
      <c r="N111" s="25" t="s">
        <v>1233</v>
      </c>
      <c r="P111" s="25" t="s">
        <v>1226</v>
      </c>
      <c r="Q111" s="25" t="s">
        <v>1233</v>
      </c>
      <c r="S111" s="25" t="s">
        <v>2191</v>
      </c>
      <c r="T111" s="25" t="s">
        <v>2192</v>
      </c>
      <c r="V111" s="25" t="str">
        <f>VLOOKUP(J111,'records (2)'!$A:$Z,16,FALSE)</f>
        <v>dany.incardona@cummins.com</v>
      </c>
    </row>
    <row r="112" spans="1:22" hidden="1">
      <c r="A112" s="25" t="s">
        <v>817</v>
      </c>
      <c r="B112" s="25" t="s">
        <v>816</v>
      </c>
      <c r="C112" s="25" t="s">
        <v>2193</v>
      </c>
      <c r="D112" s="25" t="s">
        <v>2194</v>
      </c>
      <c r="E112" s="25" t="s">
        <v>1337</v>
      </c>
      <c r="G112" s="25" t="s">
        <v>2195</v>
      </c>
      <c r="I112" s="25" t="s">
        <v>2196</v>
      </c>
      <c r="J112" s="25" t="s">
        <v>2197</v>
      </c>
      <c r="K112" s="25" t="s">
        <v>814</v>
      </c>
      <c r="L112" s="25" t="s">
        <v>2198</v>
      </c>
      <c r="M112" s="25" t="s">
        <v>2193</v>
      </c>
      <c r="N112" s="25" t="s">
        <v>1233</v>
      </c>
      <c r="P112" s="25" t="s">
        <v>1226</v>
      </c>
      <c r="Q112" s="25" t="s">
        <v>1233</v>
      </c>
      <c r="S112" s="25" t="s">
        <v>2199</v>
      </c>
      <c r="T112" s="25" t="s">
        <v>2200</v>
      </c>
      <c r="V112" s="25" t="str">
        <f>VLOOKUP(J112,'records (2)'!$A:$Z,16,FALSE)</f>
        <v>delphine.bannier@snapon.com</v>
      </c>
    </row>
    <row r="113" spans="1:22" hidden="1">
      <c r="A113" s="25" t="s">
        <v>813</v>
      </c>
      <c r="B113" s="25" t="s">
        <v>812</v>
      </c>
      <c r="C113" s="25" t="s">
        <v>2201</v>
      </c>
      <c r="D113" s="25" t="s">
        <v>2202</v>
      </c>
      <c r="E113" s="25" t="s">
        <v>1337</v>
      </c>
      <c r="G113" s="25" t="s">
        <v>2203</v>
      </c>
      <c r="I113" s="25" t="s">
        <v>2204</v>
      </c>
      <c r="J113" s="25" t="s">
        <v>2205</v>
      </c>
      <c r="K113" s="25" t="s">
        <v>811</v>
      </c>
      <c r="L113" s="25" t="s">
        <v>2206</v>
      </c>
      <c r="M113" s="25" t="s">
        <v>2201</v>
      </c>
      <c r="N113" s="25" t="s">
        <v>1233</v>
      </c>
      <c r="P113" s="25" t="s">
        <v>1226</v>
      </c>
      <c r="Q113" s="25" t="s">
        <v>1233</v>
      </c>
      <c r="S113" s="25" t="s">
        <v>2207</v>
      </c>
      <c r="T113" s="25" t="s">
        <v>2208</v>
      </c>
      <c r="V113" s="25" t="str">
        <f>VLOOKUP(J113,'records (2)'!$A:$Z,16,FALSE)</f>
        <v>mprezelin@posson.fr</v>
      </c>
    </row>
    <row r="114" spans="1:22" hidden="1">
      <c r="A114" s="25" t="s">
        <v>518</v>
      </c>
      <c r="B114" s="25" t="s">
        <v>517</v>
      </c>
      <c r="C114" s="25" t="s">
        <v>2209</v>
      </c>
      <c r="D114" s="25" t="s">
        <v>2210</v>
      </c>
      <c r="E114" s="25" t="s">
        <v>1337</v>
      </c>
      <c r="G114" s="25" t="s">
        <v>2211</v>
      </c>
      <c r="I114" s="25" t="s">
        <v>2212</v>
      </c>
      <c r="J114" s="25" t="s">
        <v>2213</v>
      </c>
      <c r="K114" s="25" t="s">
        <v>515</v>
      </c>
      <c r="L114" s="25" t="s">
        <v>2214</v>
      </c>
      <c r="M114" s="25" t="s">
        <v>2209</v>
      </c>
      <c r="N114" s="25" t="s">
        <v>1233</v>
      </c>
      <c r="P114" s="25" t="s">
        <v>1226</v>
      </c>
      <c r="Q114" s="25" t="s">
        <v>1233</v>
      </c>
      <c r="S114" s="25" t="s">
        <v>2215</v>
      </c>
      <c r="T114" s="25" t="s">
        <v>2216</v>
      </c>
      <c r="V114" s="25" t="str">
        <f>VLOOKUP(J114,'records (2)'!$A:$Z,16,FALSE)</f>
        <v>denise.m.feder@corteva.com</v>
      </c>
    </row>
    <row r="115" spans="1:22" hidden="1">
      <c r="A115" s="25" t="s">
        <v>143</v>
      </c>
      <c r="B115" s="25" t="s">
        <v>142</v>
      </c>
      <c r="C115" s="25" t="s">
        <v>2217</v>
      </c>
      <c r="D115" s="25" t="s">
        <v>2218</v>
      </c>
      <c r="E115" s="25" t="s">
        <v>1337</v>
      </c>
      <c r="G115" s="25" t="s">
        <v>2219</v>
      </c>
      <c r="I115" s="25" t="s">
        <v>2220</v>
      </c>
      <c r="J115" s="25" t="s">
        <v>2221</v>
      </c>
      <c r="K115" s="25" t="s">
        <v>140</v>
      </c>
      <c r="L115" s="25" t="s">
        <v>2222</v>
      </c>
      <c r="M115" s="25" t="s">
        <v>2217</v>
      </c>
      <c r="N115" s="25" t="s">
        <v>1233</v>
      </c>
      <c r="P115" s="25" t="s">
        <v>1226</v>
      </c>
      <c r="Q115" s="25" t="s">
        <v>1233</v>
      </c>
      <c r="S115" s="25" t="s">
        <v>2223</v>
      </c>
      <c r="T115" s="25" t="s">
        <v>2224</v>
      </c>
      <c r="V115" s="25" t="str">
        <f>VLOOKUP(J115,'records (2)'!$A:$Z,16,FALSE)</f>
        <v>agathe.corbin@symrise.com</v>
      </c>
    </row>
    <row r="116" spans="1:22" hidden="1">
      <c r="A116" s="25" t="s">
        <v>935</v>
      </c>
      <c r="B116" s="25" t="s">
        <v>934</v>
      </c>
      <c r="C116" s="25" t="s">
        <v>2225</v>
      </c>
      <c r="D116" s="25" t="s">
        <v>2226</v>
      </c>
      <c r="E116" s="25" t="s">
        <v>1337</v>
      </c>
      <c r="G116" s="25" t="s">
        <v>2227</v>
      </c>
      <c r="I116" s="25" t="s">
        <v>2228</v>
      </c>
      <c r="J116" s="25" t="s">
        <v>1298</v>
      </c>
      <c r="K116" s="25" t="s">
        <v>932</v>
      </c>
      <c r="L116" s="25" t="s">
        <v>2229</v>
      </c>
      <c r="M116" s="25" t="s">
        <v>2225</v>
      </c>
      <c r="N116" s="25" t="s">
        <v>1233</v>
      </c>
      <c r="P116" s="25" t="s">
        <v>1226</v>
      </c>
      <c r="Q116" s="25" t="s">
        <v>1233</v>
      </c>
      <c r="S116" s="25" t="s">
        <v>2230</v>
      </c>
      <c r="T116" s="25" t="s">
        <v>2231</v>
      </c>
      <c r="V116" s="25" t="str">
        <f>VLOOKUP(J116,'records (2)'!$A:$Z,16,FALSE)</f>
        <v>laurence.dromby.c7@mail.toray</v>
      </c>
    </row>
    <row r="117" spans="1:22" hidden="1">
      <c r="A117" s="25" t="s">
        <v>552</v>
      </c>
      <c r="B117" s="25" t="s">
        <v>551</v>
      </c>
      <c r="C117" s="25" t="s">
        <v>2232</v>
      </c>
      <c r="D117" s="25" t="s">
        <v>2233</v>
      </c>
      <c r="E117" s="25" t="s">
        <v>1337</v>
      </c>
      <c r="G117" s="25" t="s">
        <v>2234</v>
      </c>
      <c r="I117" s="25" t="s">
        <v>2235</v>
      </c>
      <c r="J117" s="25" t="s">
        <v>2236</v>
      </c>
      <c r="K117" s="25" t="s">
        <v>550</v>
      </c>
      <c r="L117" s="25" t="s">
        <v>2237</v>
      </c>
      <c r="M117" s="25" t="s">
        <v>2232</v>
      </c>
      <c r="N117" s="25" t="s">
        <v>1233</v>
      </c>
      <c r="P117" s="25" t="s">
        <v>1226</v>
      </c>
      <c r="Q117" s="25" t="s">
        <v>1233</v>
      </c>
      <c r="S117" s="25" t="s">
        <v>2238</v>
      </c>
      <c r="T117" s="25" t="s">
        <v>2239</v>
      </c>
      <c r="V117" s="25" t="str">
        <f>VLOOKUP(J117,'records (2)'!$A:$Z,16,FALSE)</f>
        <v>cc.invoice@maxim-gruppe.de</v>
      </c>
    </row>
    <row r="118" spans="1:22" hidden="1">
      <c r="A118" s="25" t="s">
        <v>63</v>
      </c>
      <c r="B118" s="25" t="s">
        <v>62</v>
      </c>
      <c r="C118" s="25" t="s">
        <v>2240</v>
      </c>
      <c r="D118" s="25" t="s">
        <v>2241</v>
      </c>
      <c r="E118" s="25" t="s">
        <v>1337</v>
      </c>
      <c r="G118" s="25" t="s">
        <v>2242</v>
      </c>
      <c r="I118" s="25" t="s">
        <v>2243</v>
      </c>
      <c r="J118" s="25" t="s">
        <v>2244</v>
      </c>
      <c r="K118" s="25" t="s">
        <v>61</v>
      </c>
      <c r="L118" s="25" t="s">
        <v>2245</v>
      </c>
      <c r="M118" s="25" t="s">
        <v>2240</v>
      </c>
      <c r="N118" s="25" t="s">
        <v>1233</v>
      </c>
      <c r="P118" s="25" t="s">
        <v>1226</v>
      </c>
      <c r="Q118" s="25" t="s">
        <v>1233</v>
      </c>
      <c r="S118" s="25" t="s">
        <v>2246</v>
      </c>
      <c r="T118" s="25" t="s">
        <v>2247</v>
      </c>
      <c r="V118" s="25" t="str">
        <f>VLOOKUP(J118,'records (2)'!$A:$Z,16,FALSE)</f>
        <v>delphine.valtel@acial.com</v>
      </c>
    </row>
    <row r="119" spans="1:22" hidden="1">
      <c r="A119" s="25" t="s">
        <v>1092</v>
      </c>
      <c r="B119" s="25" t="s">
        <v>1091</v>
      </c>
      <c r="C119" s="25" t="s">
        <v>2248</v>
      </c>
      <c r="D119" s="25" t="s">
        <v>2249</v>
      </c>
      <c r="E119" s="25" t="s">
        <v>1337</v>
      </c>
      <c r="G119" s="25" t="s">
        <v>2250</v>
      </c>
      <c r="I119" s="25" t="s">
        <v>2251</v>
      </c>
      <c r="J119" s="25" t="s">
        <v>2252</v>
      </c>
      <c r="K119" s="25" t="s">
        <v>1089</v>
      </c>
      <c r="L119" s="25" t="s">
        <v>2253</v>
      </c>
      <c r="M119" s="25" t="s">
        <v>2248</v>
      </c>
      <c r="N119" s="25" t="s">
        <v>1233</v>
      </c>
      <c r="P119" s="25" t="s">
        <v>1226</v>
      </c>
      <c r="Q119" s="25" t="s">
        <v>1233</v>
      </c>
      <c r="S119" s="25" t="s">
        <v>2254</v>
      </c>
      <c r="T119" s="25" t="s">
        <v>2255</v>
      </c>
      <c r="V119" s="25" t="str">
        <f>VLOOKUP(J119,'records (2)'!$A:$Z,16,FALSE)</f>
        <v>eggstaett-ssc_ap_fr_invoices@fossil.com</v>
      </c>
    </row>
    <row r="120" spans="1:22" hidden="1">
      <c r="A120" s="25" t="s">
        <v>22</v>
      </c>
      <c r="B120" s="25" t="s">
        <v>21</v>
      </c>
      <c r="C120" s="25" t="s">
        <v>2256</v>
      </c>
      <c r="D120" s="25" t="s">
        <v>2064</v>
      </c>
      <c r="E120" s="25" t="s">
        <v>1337</v>
      </c>
      <c r="F120" s="25" t="s">
        <v>1832</v>
      </c>
      <c r="G120" s="25" t="s">
        <v>2065</v>
      </c>
      <c r="I120" s="25" t="s">
        <v>2257</v>
      </c>
      <c r="J120" s="25" t="s">
        <v>2258</v>
      </c>
      <c r="K120" s="25" t="s">
        <v>19</v>
      </c>
      <c r="L120" s="25" t="s">
        <v>2259</v>
      </c>
      <c r="M120" s="25" t="s">
        <v>2256</v>
      </c>
      <c r="N120" s="25" t="s">
        <v>1233</v>
      </c>
      <c r="P120" s="25" t="s">
        <v>1226</v>
      </c>
      <c r="Q120" s="25" t="s">
        <v>1233</v>
      </c>
      <c r="S120" s="25" t="s">
        <v>2260</v>
      </c>
      <c r="T120" s="25" t="s">
        <v>2261</v>
      </c>
      <c r="V120" s="25" t="str">
        <f>VLOOKUP(J120,'records (2)'!$A:$Z,16,FALSE)</f>
        <v>eicomptabilite@e-i.com</v>
      </c>
    </row>
    <row r="121" spans="1:22" hidden="1">
      <c r="A121" s="25" t="s">
        <v>176</v>
      </c>
      <c r="B121" s="25" t="s">
        <v>175</v>
      </c>
      <c r="C121" s="25" t="s">
        <v>2262</v>
      </c>
      <c r="D121" s="25" t="s">
        <v>2263</v>
      </c>
      <c r="E121" s="25" t="s">
        <v>1337</v>
      </c>
      <c r="G121" s="25" t="s">
        <v>2264</v>
      </c>
      <c r="I121" s="25" t="s">
        <v>2265</v>
      </c>
      <c r="J121" s="25" t="s">
        <v>2266</v>
      </c>
      <c r="K121" s="25" t="s">
        <v>173</v>
      </c>
      <c r="L121" s="25" t="s">
        <v>2267</v>
      </c>
      <c r="M121" s="25" t="s">
        <v>2262</v>
      </c>
      <c r="N121" s="25" t="s">
        <v>1233</v>
      </c>
      <c r="P121" s="25" t="s">
        <v>1226</v>
      </c>
      <c r="Q121" s="25" t="s">
        <v>1233</v>
      </c>
      <c r="S121" s="25" t="s">
        <v>2268</v>
      </c>
      <c r="T121" s="25" t="s">
        <v>2269</v>
      </c>
      <c r="V121" s="25" t="str">
        <f>VLOOKUP(J121,'records (2)'!$A:$Z,16,FALSE)</f>
        <v>frederique.leyzat@fst.com</v>
      </c>
    </row>
    <row r="122" spans="1:22" hidden="1">
      <c r="A122" s="25" t="s">
        <v>759</v>
      </c>
      <c r="B122" s="25" t="s">
        <v>758</v>
      </c>
      <c r="C122" s="25" t="s">
        <v>2270</v>
      </c>
      <c r="D122" s="25" t="s">
        <v>2271</v>
      </c>
      <c r="E122" s="25" t="s">
        <v>1337</v>
      </c>
      <c r="G122" s="25" t="s">
        <v>2272</v>
      </c>
      <c r="I122" s="25" t="s">
        <v>2273</v>
      </c>
      <c r="J122" s="25" t="s">
        <v>2274</v>
      </c>
      <c r="K122" s="25" t="s">
        <v>756</v>
      </c>
      <c r="L122" s="25" t="s">
        <v>2275</v>
      </c>
      <c r="M122" s="25" t="s">
        <v>2270</v>
      </c>
      <c r="P122" s="25" t="s">
        <v>1226</v>
      </c>
      <c r="Q122" s="25" t="s">
        <v>1233</v>
      </c>
      <c r="S122" s="25" t="s">
        <v>2276</v>
      </c>
      <c r="T122" s="25" t="s">
        <v>2277</v>
      </c>
      <c r="V122" s="25" t="str">
        <f>VLOOKUP(J122,'records (2)'!$A:$Z,16,FALSE)</f>
        <v>ekasbarian@chapoutier.com</v>
      </c>
    </row>
    <row r="123" spans="1:22" hidden="1">
      <c r="A123" s="25" t="s">
        <v>95</v>
      </c>
      <c r="B123" s="25" t="s">
        <v>94</v>
      </c>
      <c r="C123" s="25" t="s">
        <v>2278</v>
      </c>
      <c r="D123" s="25" t="s">
        <v>2279</v>
      </c>
      <c r="E123" s="25" t="s">
        <v>1337</v>
      </c>
      <c r="G123" s="25" t="s">
        <v>2280</v>
      </c>
      <c r="I123" s="25" t="s">
        <v>2281</v>
      </c>
      <c r="J123" s="25" t="s">
        <v>2282</v>
      </c>
      <c r="K123" s="25" t="s">
        <v>93</v>
      </c>
      <c r="L123" s="25" t="s">
        <v>2283</v>
      </c>
      <c r="M123" s="25" t="s">
        <v>2278</v>
      </c>
      <c r="N123" s="25" t="s">
        <v>1233</v>
      </c>
      <c r="P123" s="25" t="s">
        <v>1226</v>
      </c>
      <c r="Q123" s="25" t="s">
        <v>1233</v>
      </c>
      <c r="S123" s="25" t="s">
        <v>2284</v>
      </c>
      <c r="T123" s="25" t="s">
        <v>2285</v>
      </c>
      <c r="V123" s="25" t="str">
        <f>VLOOKUP(J123,'records (2)'!$A:$Z,16,FALSE)</f>
        <v>elodie.linet@bicworld.com</v>
      </c>
    </row>
    <row r="124" spans="1:22" hidden="1">
      <c r="A124" s="25" t="s">
        <v>948</v>
      </c>
      <c r="B124" s="25" t="s">
        <v>947</v>
      </c>
      <c r="C124" s="25" t="s">
        <v>2286</v>
      </c>
      <c r="D124" s="25" t="s">
        <v>2287</v>
      </c>
      <c r="E124" s="25" t="s">
        <v>1337</v>
      </c>
      <c r="G124" s="25" t="s">
        <v>2288</v>
      </c>
      <c r="I124" s="25" t="s">
        <v>2289</v>
      </c>
      <c r="J124" s="25" t="s">
        <v>2290</v>
      </c>
      <c r="K124" s="25" t="s">
        <v>945</v>
      </c>
      <c r="L124" s="25" t="s">
        <v>2291</v>
      </c>
      <c r="M124" s="25" t="s">
        <v>2286</v>
      </c>
      <c r="N124" s="25" t="s">
        <v>1233</v>
      </c>
      <c r="P124" s="25" t="s">
        <v>2292</v>
      </c>
      <c r="Q124" s="25" t="s">
        <v>1233</v>
      </c>
      <c r="S124" s="25" t="s">
        <v>2293</v>
      </c>
      <c r="T124" s="25" t="s">
        <v>2294</v>
      </c>
      <c r="V124" s="25" t="str">
        <f>VLOOKUP(J124,'records (2)'!$A:$Z,16,FALSE)</f>
        <v>fabrice.quinet@viskase.com</v>
      </c>
    </row>
    <row r="125" spans="1:22" hidden="1">
      <c r="A125" s="25" t="s">
        <v>958</v>
      </c>
      <c r="B125" s="25" t="s">
        <v>957</v>
      </c>
      <c r="C125" s="25" t="s">
        <v>2295</v>
      </c>
      <c r="D125" s="25" t="s">
        <v>2296</v>
      </c>
      <c r="E125" s="25" t="s">
        <v>1337</v>
      </c>
      <c r="G125" s="25" t="s">
        <v>2297</v>
      </c>
      <c r="I125" s="25" t="s">
        <v>2298</v>
      </c>
      <c r="J125" s="25" t="s">
        <v>2299</v>
      </c>
      <c r="K125" s="25" t="s">
        <v>955</v>
      </c>
      <c r="L125" s="25" t="s">
        <v>2300</v>
      </c>
      <c r="M125" s="25" t="s">
        <v>2295</v>
      </c>
      <c r="N125" s="25" t="s">
        <v>1233</v>
      </c>
      <c r="P125" s="25" t="s">
        <v>1226</v>
      </c>
      <c r="Q125" s="25" t="s">
        <v>1233</v>
      </c>
      <c r="S125" s="25" t="s">
        <v>2301</v>
      </c>
      <c r="T125" s="25" t="s">
        <v>2302</v>
      </c>
      <c r="V125" s="25" t="str">
        <f>VLOOKUP(J125,'records (2)'!$A:$Z,16,FALSE)</f>
        <v>elodie.saudain@whatscooking.group</v>
      </c>
    </row>
    <row r="126" spans="1:22" hidden="1">
      <c r="A126" s="25" t="s">
        <v>44</v>
      </c>
      <c r="B126" s="25" t="s">
        <v>43</v>
      </c>
      <c r="C126" s="25" t="s">
        <v>2303</v>
      </c>
      <c r="D126" s="25" t="s">
        <v>2304</v>
      </c>
      <c r="E126" s="25" t="s">
        <v>1337</v>
      </c>
      <c r="G126" s="25" t="s">
        <v>2305</v>
      </c>
      <c r="I126" s="25" t="s">
        <v>2306</v>
      </c>
      <c r="J126" s="25" t="s">
        <v>1265</v>
      </c>
      <c r="K126" s="25" t="s">
        <v>41</v>
      </c>
      <c r="L126" s="25" t="s">
        <v>2307</v>
      </c>
      <c r="M126" s="25" t="s">
        <v>2303</v>
      </c>
      <c r="N126" s="25" t="s">
        <v>1233</v>
      </c>
      <c r="P126" s="25" t="s">
        <v>1226</v>
      </c>
      <c r="Q126" s="25" t="s">
        <v>1233</v>
      </c>
      <c r="S126" s="25" t="s">
        <v>2308</v>
      </c>
      <c r="T126" s="25" t="s">
        <v>2309</v>
      </c>
      <c r="V126" s="25" t="str">
        <f>VLOOKUP(J126,'records (2)'!$A:$Z,16,FALSE)</f>
        <v>salih@em-lyon.com</v>
      </c>
    </row>
    <row r="127" spans="1:22" hidden="1">
      <c r="A127" s="25" t="s">
        <v>1057</v>
      </c>
      <c r="B127" s="25" t="s">
        <v>1056</v>
      </c>
      <c r="C127" s="25" t="s">
        <v>1056</v>
      </c>
      <c r="D127" s="25" t="s">
        <v>2310</v>
      </c>
      <c r="E127" s="25" t="s">
        <v>1337</v>
      </c>
      <c r="G127" s="25" t="s">
        <v>2311</v>
      </c>
      <c r="I127" s="25" t="s">
        <v>2312</v>
      </c>
      <c r="J127" s="25" t="s">
        <v>1302</v>
      </c>
      <c r="K127" s="25" t="s">
        <v>1055</v>
      </c>
      <c r="L127" s="25" t="s">
        <v>2313</v>
      </c>
      <c r="M127" s="25" t="s">
        <v>1056</v>
      </c>
      <c r="N127" s="25" t="s">
        <v>1233</v>
      </c>
      <c r="P127" s="25" t="s">
        <v>1226</v>
      </c>
      <c r="Q127" s="25" t="s">
        <v>1233</v>
      </c>
      <c r="S127" s="25" t="s">
        <v>2314</v>
      </c>
      <c r="T127" s="25" t="s">
        <v>2315</v>
      </c>
      <c r="V127" s="25" t="str">
        <f>VLOOKUP(J127,'records (2)'!$A:$Z,16,FALSE)</f>
        <v>emeartpinv@corning.com</v>
      </c>
    </row>
    <row r="128" spans="1:22" hidden="1">
      <c r="A128" s="25" t="s">
        <v>362</v>
      </c>
      <c r="B128" s="25" t="s">
        <v>361</v>
      </c>
      <c r="C128" s="25" t="s">
        <v>2316</v>
      </c>
      <c r="D128" s="25" t="s">
        <v>2317</v>
      </c>
      <c r="E128" s="25" t="s">
        <v>1337</v>
      </c>
      <c r="G128" s="25" t="s">
        <v>2318</v>
      </c>
      <c r="I128" s="25" t="s">
        <v>2319</v>
      </c>
      <c r="J128" s="25" t="s">
        <v>2320</v>
      </c>
      <c r="K128" s="25" t="s">
        <v>359</v>
      </c>
      <c r="L128" s="25" t="s">
        <v>2321</v>
      </c>
      <c r="M128" s="25" t="s">
        <v>2316</v>
      </c>
      <c r="N128" s="25" t="s">
        <v>1233</v>
      </c>
      <c r="P128" s="25" t="s">
        <v>1226</v>
      </c>
      <c r="Q128" s="25" t="s">
        <v>1233</v>
      </c>
      <c r="S128" s="25" t="s">
        <v>2322</v>
      </c>
      <c r="T128" s="25" t="s">
        <v>2323</v>
      </c>
      <c r="V128" s="25" t="str">
        <f>VLOOKUP(J128,'records (2)'!$A:$Z,16,FALSE)</f>
        <v>epique@roechling.com</v>
      </c>
    </row>
    <row r="129" spans="1:22" hidden="1">
      <c r="A129" s="25" t="s">
        <v>1149</v>
      </c>
      <c r="B129" s="25" t="s">
        <v>1148</v>
      </c>
      <c r="C129" s="25" t="s">
        <v>2324</v>
      </c>
      <c r="D129" s="25" t="s">
        <v>2325</v>
      </c>
      <c r="E129" s="25" t="s">
        <v>1337</v>
      </c>
      <c r="G129" s="25" t="s">
        <v>2326</v>
      </c>
      <c r="I129" s="25" t="s">
        <v>2327</v>
      </c>
      <c r="J129" s="25" t="s">
        <v>1263</v>
      </c>
      <c r="K129" s="25" t="s">
        <v>1147</v>
      </c>
      <c r="L129" s="25" t="s">
        <v>2328</v>
      </c>
      <c r="M129" s="25" t="s">
        <v>2324</v>
      </c>
      <c r="N129" s="25" t="s">
        <v>1233</v>
      </c>
      <c r="P129" s="25" t="s">
        <v>1226</v>
      </c>
      <c r="Q129" s="25" t="s">
        <v>1233</v>
      </c>
      <c r="S129" s="25" t="s">
        <v>2329</v>
      </c>
      <c r="T129" s="25" t="s">
        <v>2330</v>
      </c>
      <c r="V129" s="25" t="str">
        <f>VLOOKUP(J129,'records (2)'!$A:$Z,16,FALSE)</f>
        <v>fanny.caron@rdam.nestle.com</v>
      </c>
    </row>
    <row r="130" spans="1:22" hidden="1">
      <c r="A130" s="25" t="s">
        <v>409</v>
      </c>
      <c r="B130" s="25" t="s">
        <v>408</v>
      </c>
      <c r="C130" s="25" t="s">
        <v>2331</v>
      </c>
      <c r="D130" s="25" t="s">
        <v>2332</v>
      </c>
      <c r="E130" s="25" t="s">
        <v>1337</v>
      </c>
      <c r="F130" s="25" t="s">
        <v>2333</v>
      </c>
      <c r="G130" s="25" t="s">
        <v>2334</v>
      </c>
      <c r="I130" s="25" t="s">
        <v>2335</v>
      </c>
      <c r="J130" s="25" t="s">
        <v>2336</v>
      </c>
      <c r="K130" s="25" t="s">
        <v>406</v>
      </c>
      <c r="L130" s="25" t="s">
        <v>2337</v>
      </c>
      <c r="M130" s="25" t="s">
        <v>2338</v>
      </c>
      <c r="N130" s="25" t="s">
        <v>1233</v>
      </c>
      <c r="P130" s="25" t="s">
        <v>1226</v>
      </c>
      <c r="Q130" s="25" t="s">
        <v>1233</v>
      </c>
      <c r="S130" s="25" t="s">
        <v>2339</v>
      </c>
      <c r="T130" s="25" t="s">
        <v>2340</v>
      </c>
      <c r="V130" s="25" t="str">
        <f>VLOOKUP(J130,'records (2)'!$A:$Z,16,FALSE)</f>
        <v>extern.melanie.suc@vwfs.com</v>
      </c>
    </row>
    <row r="131" spans="1:22" hidden="1">
      <c r="A131" s="25" t="s">
        <v>994</v>
      </c>
      <c r="B131" s="25" t="s">
        <v>993</v>
      </c>
      <c r="C131" s="25" t="s">
        <v>2341</v>
      </c>
      <c r="D131" s="25" t="s">
        <v>2342</v>
      </c>
      <c r="E131" s="25" t="s">
        <v>1337</v>
      </c>
      <c r="G131" s="25" t="s">
        <v>2343</v>
      </c>
      <c r="I131" s="25" t="s">
        <v>2344</v>
      </c>
      <c r="J131" s="25" t="s">
        <v>2345</v>
      </c>
      <c r="K131" s="25" t="s">
        <v>992</v>
      </c>
      <c r="L131" s="25" t="s">
        <v>2346</v>
      </c>
      <c r="M131" s="25" t="s">
        <v>2341</v>
      </c>
      <c r="N131" s="25" t="s">
        <v>1233</v>
      </c>
      <c r="P131" s="25" t="s">
        <v>1226</v>
      </c>
      <c r="Q131" s="25" t="s">
        <v>1233</v>
      </c>
      <c r="S131" s="25" t="s">
        <v>2347</v>
      </c>
      <c r="T131" s="25" t="s">
        <v>2348</v>
      </c>
      <c r="V131" s="25" t="str">
        <f>VLOOKUP(J131,'records (2)'!$A:$Z,16,FALSE)</f>
        <v>f.gosselin@frenehard.com</v>
      </c>
    </row>
    <row r="132" spans="1:22" hidden="1">
      <c r="A132" s="25" t="s">
        <v>621</v>
      </c>
      <c r="B132" s="25" t="s">
        <v>620</v>
      </c>
      <c r="C132" s="25" t="s">
        <v>2349</v>
      </c>
      <c r="D132" s="25" t="s">
        <v>2350</v>
      </c>
      <c r="E132" s="25" t="s">
        <v>1337</v>
      </c>
      <c r="G132" s="25" t="s">
        <v>2351</v>
      </c>
      <c r="I132" s="25" t="s">
        <v>2352</v>
      </c>
      <c r="J132" s="25" t="s">
        <v>2353</v>
      </c>
      <c r="K132" s="25" t="s">
        <v>619</v>
      </c>
      <c r="L132" s="25" t="s">
        <v>2354</v>
      </c>
      <c r="M132" s="25" t="s">
        <v>2349</v>
      </c>
      <c r="N132" s="25" t="s">
        <v>1233</v>
      </c>
      <c r="P132" s="25" t="s">
        <v>1226</v>
      </c>
      <c r="Q132" s="25" t="s">
        <v>1233</v>
      </c>
      <c r="S132" s="25" t="s">
        <v>2355</v>
      </c>
      <c r="T132" s="25" t="s">
        <v>2356</v>
      </c>
      <c r="V132" s="25" t="str">
        <f>VLOOKUP(J132,'records (2)'!$A:$Z,16,FALSE)</f>
        <v>fabienne.richou@fromarsac.fr</v>
      </c>
    </row>
    <row r="133" spans="1:22" hidden="1">
      <c r="A133" s="25" t="s">
        <v>1032</v>
      </c>
      <c r="B133" s="25" t="s">
        <v>1031</v>
      </c>
      <c r="C133" s="25" t="s">
        <v>2357</v>
      </c>
      <c r="D133" s="25" t="s">
        <v>2358</v>
      </c>
      <c r="E133" s="25" t="s">
        <v>1337</v>
      </c>
      <c r="G133" s="25" t="s">
        <v>2359</v>
      </c>
      <c r="I133" s="25" t="s">
        <v>2360</v>
      </c>
      <c r="J133" s="25" t="s">
        <v>2361</v>
      </c>
      <c r="K133" s="25" t="s">
        <v>1029</v>
      </c>
      <c r="L133" s="25" t="s">
        <v>2362</v>
      </c>
      <c r="M133" s="25" t="s">
        <v>2357</v>
      </c>
      <c r="N133" s="25" t="s">
        <v>1233</v>
      </c>
      <c r="P133" s="25" t="s">
        <v>1226</v>
      </c>
      <c r="Q133" s="25" t="s">
        <v>1233</v>
      </c>
      <c r="S133" s="25" t="s">
        <v>2363</v>
      </c>
      <c r="T133" s="25" t="s">
        <v>2364</v>
      </c>
      <c r="V133" s="25" t="str">
        <f>VLOOKUP(J133,'records (2)'!$A:$Z,16,FALSE)</f>
        <v>clotilde.rocaboy@aghfrance.com</v>
      </c>
    </row>
    <row r="134" spans="1:22" hidden="1">
      <c r="A134" s="25" t="s">
        <v>504</v>
      </c>
      <c r="B134" s="25" t="s">
        <v>503</v>
      </c>
      <c r="C134" s="25" t="s">
        <v>2365</v>
      </c>
      <c r="D134" s="25" t="s">
        <v>2366</v>
      </c>
      <c r="E134" s="25" t="s">
        <v>1337</v>
      </c>
      <c r="F134" s="25" t="s">
        <v>2367</v>
      </c>
      <c r="G134" s="25" t="s">
        <v>2368</v>
      </c>
      <c r="I134" s="25" t="s">
        <v>2369</v>
      </c>
      <c r="J134" s="25" t="s">
        <v>2370</v>
      </c>
      <c r="K134" s="25" t="s">
        <v>502</v>
      </c>
      <c r="L134" s="25" t="s">
        <v>2371</v>
      </c>
      <c r="M134" s="25" t="s">
        <v>2365</v>
      </c>
      <c r="N134" s="25" t="s">
        <v>1233</v>
      </c>
      <c r="P134" s="25" t="s">
        <v>1226</v>
      </c>
      <c r="Q134" s="25" t="s">
        <v>1233</v>
      </c>
      <c r="S134" s="25" t="s">
        <v>2372</v>
      </c>
      <c r="T134" s="25" t="s">
        <v>2373</v>
      </c>
      <c r="V134" s="25" t="str">
        <f>VLOOKUP(J134,'records (2)'!$A:$Z,16,FALSE)</f>
        <v>facturation.fournisseur@comatelec.fr</v>
      </c>
    </row>
    <row r="135" spans="1:22" hidden="1">
      <c r="A135" s="25" t="s">
        <v>625</v>
      </c>
      <c r="B135" s="25" t="s">
        <v>624</v>
      </c>
      <c r="C135" s="25" t="s">
        <v>2374</v>
      </c>
      <c r="D135" s="25" t="s">
        <v>2375</v>
      </c>
      <c r="E135" s="25" t="s">
        <v>1337</v>
      </c>
      <c r="G135" s="25" t="s">
        <v>2376</v>
      </c>
      <c r="I135" s="25" t="s">
        <v>2377</v>
      </c>
      <c r="J135" s="25" t="s">
        <v>2378</v>
      </c>
      <c r="K135" s="25" t="s">
        <v>622</v>
      </c>
      <c r="L135" s="25" t="s">
        <v>2379</v>
      </c>
      <c r="M135" s="25" t="s">
        <v>2374</v>
      </c>
      <c r="N135" s="25" t="s">
        <v>1233</v>
      </c>
      <c r="P135" s="25" t="s">
        <v>1226</v>
      </c>
      <c r="Q135" s="25" t="s">
        <v>1233</v>
      </c>
      <c r="S135" s="25" t="s">
        <v>2380</v>
      </c>
      <c r="T135" s="25" t="s">
        <v>2381</v>
      </c>
      <c r="V135" s="25" t="str">
        <f>VLOOKUP(J135,'records (2)'!$A:$Z,16,FALSE)</f>
        <v>marieclaire.olivier@perreault.fr</v>
      </c>
    </row>
    <row r="136" spans="1:22" hidden="1">
      <c r="A136" s="25" t="s">
        <v>991</v>
      </c>
      <c r="B136" s="25" t="s">
        <v>990</v>
      </c>
      <c r="C136" s="25" t="s">
        <v>2382</v>
      </c>
      <c r="D136" s="25" t="s">
        <v>2383</v>
      </c>
      <c r="E136" s="25" t="s">
        <v>1337</v>
      </c>
      <c r="F136" s="25" t="s">
        <v>1425</v>
      </c>
      <c r="G136" s="25" t="s">
        <v>2384</v>
      </c>
      <c r="I136" s="25" t="s">
        <v>2385</v>
      </c>
      <c r="J136" s="25" t="s">
        <v>1269</v>
      </c>
      <c r="K136" s="25" t="s">
        <v>988</v>
      </c>
      <c r="L136" s="25" t="s">
        <v>2386</v>
      </c>
      <c r="M136" s="25" t="s">
        <v>2382</v>
      </c>
      <c r="N136" s="25" t="s">
        <v>1233</v>
      </c>
      <c r="P136" s="25" t="s">
        <v>1226</v>
      </c>
      <c r="Q136" s="25" t="s">
        <v>1233</v>
      </c>
      <c r="S136" s="25" t="s">
        <v>2387</v>
      </c>
      <c r="T136" s="25" t="s">
        <v>2388</v>
      </c>
      <c r="V136" s="25" t="str">
        <f>VLOOKUP(J136,'records (2)'!$A:$Z,16,FALSE)</f>
        <v>comptabilite@eurolysine.com</v>
      </c>
    </row>
    <row r="137" spans="1:22" hidden="1">
      <c r="A137" s="25" t="s">
        <v>1110</v>
      </c>
      <c r="B137" s="25" t="s">
        <v>1109</v>
      </c>
      <c r="C137" s="25" t="s">
        <v>2389</v>
      </c>
      <c r="D137" s="25" t="s">
        <v>2390</v>
      </c>
      <c r="E137" s="25" t="s">
        <v>1337</v>
      </c>
      <c r="G137" s="25" t="s">
        <v>2391</v>
      </c>
      <c r="I137" s="25" t="s">
        <v>2392</v>
      </c>
      <c r="J137" s="25" t="s">
        <v>2393</v>
      </c>
      <c r="K137" s="25" t="s">
        <v>1108</v>
      </c>
      <c r="L137" s="25" t="s">
        <v>2394</v>
      </c>
      <c r="M137" s="25" t="s">
        <v>2389</v>
      </c>
      <c r="N137" s="25" t="s">
        <v>1233</v>
      </c>
      <c r="P137" s="25" t="s">
        <v>1226</v>
      </c>
      <c r="Q137" s="25" t="s">
        <v>1233</v>
      </c>
      <c r="S137" s="25" t="s">
        <v>2395</v>
      </c>
      <c r="T137" s="25" t="s">
        <v>2396</v>
      </c>
      <c r="V137" s="25" t="str">
        <f>VLOOKUP(J137,'records (2)'!$A:$Z,16,FALSE)</f>
        <v>idelamarre@onyx-dev.fr</v>
      </c>
    </row>
    <row r="138" spans="1:22" hidden="1">
      <c r="A138" s="25" t="s">
        <v>1240</v>
      </c>
      <c r="B138" s="25" t="s">
        <v>2397</v>
      </c>
      <c r="C138" s="25" t="s">
        <v>2398</v>
      </c>
      <c r="D138" s="25" t="s">
        <v>2399</v>
      </c>
      <c r="E138" s="25" t="s">
        <v>1337</v>
      </c>
      <c r="F138" s="25" t="s">
        <v>2400</v>
      </c>
      <c r="G138" s="25" t="s">
        <v>2401</v>
      </c>
      <c r="I138" s="25" t="s">
        <v>2402</v>
      </c>
      <c r="J138" s="25" t="s">
        <v>2403</v>
      </c>
      <c r="K138" s="25" t="s">
        <v>2404</v>
      </c>
      <c r="L138" s="25" t="s">
        <v>2405</v>
      </c>
      <c r="M138" s="25" t="s">
        <v>2398</v>
      </c>
      <c r="P138" s="25" t="s">
        <v>1226</v>
      </c>
      <c r="S138" s="25" t="s">
        <v>2406</v>
      </c>
      <c r="T138" s="25" t="s">
        <v>2407</v>
      </c>
      <c r="V138" s="25" t="str">
        <f>VLOOKUP(J138,'records (2)'!$A:$Z,16,FALSE)</f>
        <v>benoit.demersseman@adeccogroup.com</v>
      </c>
    </row>
    <row r="139" spans="1:22" hidden="1">
      <c r="A139" s="25" t="s">
        <v>1028</v>
      </c>
      <c r="B139" s="25" t="s">
        <v>1027</v>
      </c>
      <c r="C139" s="25" t="s">
        <v>2408</v>
      </c>
      <c r="D139" s="25" t="s">
        <v>2409</v>
      </c>
      <c r="E139" s="25" t="s">
        <v>1337</v>
      </c>
      <c r="F139" s="25" t="s">
        <v>2410</v>
      </c>
      <c r="G139" s="25" t="s">
        <v>2411</v>
      </c>
      <c r="I139" s="25" t="s">
        <v>2412</v>
      </c>
      <c r="J139" s="25" t="s">
        <v>2413</v>
      </c>
      <c r="K139" s="25" t="s">
        <v>1025</v>
      </c>
      <c r="L139" s="25" t="s">
        <v>2414</v>
      </c>
      <c r="M139" s="25" t="s">
        <v>1027</v>
      </c>
      <c r="N139" s="25" t="s">
        <v>1233</v>
      </c>
      <c r="P139" s="25" t="s">
        <v>1226</v>
      </c>
      <c r="Q139" s="25" t="s">
        <v>1233</v>
      </c>
      <c r="S139" s="25" t="s">
        <v>2406</v>
      </c>
      <c r="T139" s="25" t="s">
        <v>2415</v>
      </c>
      <c r="V139" s="25" t="str">
        <f>VLOOKUP(J139,'records (2)'!$A:$Z,16,FALSE)</f>
        <v>service.gestion@adeccooutsourcing.fr</v>
      </c>
    </row>
    <row r="140" spans="1:22" hidden="1">
      <c r="A140" s="25" t="s">
        <v>862</v>
      </c>
      <c r="B140" s="25" t="s">
        <v>861</v>
      </c>
      <c r="C140" s="25" t="s">
        <v>2416</v>
      </c>
      <c r="D140" s="25" t="s">
        <v>2417</v>
      </c>
      <c r="E140" s="25" t="s">
        <v>1337</v>
      </c>
      <c r="F140" s="25" t="s">
        <v>2418</v>
      </c>
      <c r="G140" s="25" t="s">
        <v>2419</v>
      </c>
      <c r="I140" s="25" t="s">
        <v>2420</v>
      </c>
      <c r="J140" s="25" t="s">
        <v>2421</v>
      </c>
      <c r="K140" s="25" t="s">
        <v>859</v>
      </c>
      <c r="L140" s="25" t="s">
        <v>2422</v>
      </c>
      <c r="M140" s="25" t="s">
        <v>2423</v>
      </c>
      <c r="N140" s="25" t="s">
        <v>1233</v>
      </c>
      <c r="P140" s="25" t="s">
        <v>1226</v>
      </c>
      <c r="Q140" s="25" t="s">
        <v>1233</v>
      </c>
      <c r="S140" s="25" t="s">
        <v>2406</v>
      </c>
      <c r="T140" s="25" t="s">
        <v>2424</v>
      </c>
      <c r="V140" s="25" t="str">
        <f>VLOOKUP(J140,'records (2)'!$A:$Z,16,FALSE)</f>
        <v>jack.duda@pontoonsolutions.com</v>
      </c>
    </row>
    <row r="141" spans="1:22" hidden="1">
      <c r="A141" s="25" t="s">
        <v>456</v>
      </c>
      <c r="B141" s="25" t="s">
        <v>455</v>
      </c>
      <c r="C141" s="25" t="s">
        <v>2425</v>
      </c>
      <c r="D141" s="25" t="s">
        <v>2426</v>
      </c>
      <c r="E141" s="25" t="s">
        <v>1337</v>
      </c>
      <c r="G141" s="25" t="s">
        <v>2427</v>
      </c>
      <c r="I141" s="25" t="s">
        <v>2428</v>
      </c>
      <c r="J141" s="25" t="s">
        <v>2429</v>
      </c>
      <c r="K141" s="25" t="s">
        <v>454</v>
      </c>
      <c r="L141" s="25" t="s">
        <v>2430</v>
      </c>
      <c r="M141" s="25" t="s">
        <v>2425</v>
      </c>
      <c r="N141" s="25" t="s">
        <v>1233</v>
      </c>
      <c r="P141" s="25" t="s">
        <v>1226</v>
      </c>
      <c r="Q141" s="25" t="s">
        <v>1233</v>
      </c>
      <c r="S141" s="25" t="s">
        <v>2431</v>
      </c>
      <c r="T141" s="25" t="s">
        <v>2432</v>
      </c>
      <c r="V141" s="25" t="str">
        <f>VLOOKUP(J141,'records (2)'!$A:$Z,16,FALSE)</f>
        <v>mmarin@aubinimprimeur.fr</v>
      </c>
    </row>
    <row r="142" spans="1:22" hidden="1">
      <c r="A142" s="25" t="s">
        <v>475</v>
      </c>
      <c r="B142" s="25" t="s">
        <v>474</v>
      </c>
      <c r="C142" s="25" t="s">
        <v>2433</v>
      </c>
      <c r="D142" s="25" t="s">
        <v>2434</v>
      </c>
      <c r="E142" s="25" t="s">
        <v>1337</v>
      </c>
      <c r="G142" s="25" t="s">
        <v>2435</v>
      </c>
      <c r="I142" s="25" t="s">
        <v>2436</v>
      </c>
      <c r="J142" s="25" t="s">
        <v>2437</v>
      </c>
      <c r="K142" s="25" t="s">
        <v>472</v>
      </c>
      <c r="L142" s="25" t="s">
        <v>2438</v>
      </c>
      <c r="M142" s="25" t="s">
        <v>2433</v>
      </c>
      <c r="N142" s="25" t="s">
        <v>1233</v>
      </c>
      <c r="P142" s="25" t="s">
        <v>1226</v>
      </c>
      <c r="Q142" s="25" t="s">
        <v>1233</v>
      </c>
      <c r="S142" s="25" t="s">
        <v>2439</v>
      </c>
      <c r="T142" s="25" t="s">
        <v>2440</v>
      </c>
      <c r="V142" s="25" t="str">
        <f>VLOOKUP(J142,'records (2)'!$A:$Z,16,FALSE)</f>
        <v>laurence.clodic@groupebrandt.com</v>
      </c>
    </row>
    <row r="143" spans="1:22" hidden="1">
      <c r="A143" s="25" t="s">
        <v>1130</v>
      </c>
      <c r="B143" s="25" t="s">
        <v>1129</v>
      </c>
      <c r="C143" s="25" t="s">
        <v>2441</v>
      </c>
      <c r="D143" s="25" t="s">
        <v>2442</v>
      </c>
      <c r="E143" s="25" t="s">
        <v>1337</v>
      </c>
      <c r="G143" s="25" t="s">
        <v>2443</v>
      </c>
      <c r="I143" s="25" t="s">
        <v>2444</v>
      </c>
      <c r="J143" s="25" t="s">
        <v>2445</v>
      </c>
      <c r="K143" s="25" t="s">
        <v>1128</v>
      </c>
      <c r="L143" s="25" t="s">
        <v>2446</v>
      </c>
      <c r="M143" s="25" t="s">
        <v>2441</v>
      </c>
      <c r="N143" s="25" t="s">
        <v>1233</v>
      </c>
      <c r="P143" s="25" t="s">
        <v>1226</v>
      </c>
      <c r="Q143" s="25" t="s">
        <v>1233</v>
      </c>
      <c r="S143" s="25" t="s">
        <v>2447</v>
      </c>
      <c r="T143" s="25" t="s">
        <v>2448</v>
      </c>
      <c r="V143" s="25" t="str">
        <f>VLOOKUP(J143,'records (2)'!$A:$Z,16,FALSE)</f>
        <v>facture-fournisseur@volkswagengroup.fr</v>
      </c>
    </row>
    <row r="144" spans="1:22" hidden="1">
      <c r="A144" s="25" t="s">
        <v>321</v>
      </c>
      <c r="B144" s="25" t="s">
        <v>320</v>
      </c>
      <c r="C144" s="25" t="s">
        <v>2449</v>
      </c>
      <c r="D144" s="25" t="s">
        <v>2450</v>
      </c>
      <c r="E144" s="25" t="s">
        <v>1337</v>
      </c>
      <c r="G144" s="25" t="s">
        <v>2451</v>
      </c>
      <c r="I144" s="25" t="s">
        <v>2452</v>
      </c>
      <c r="J144" s="25" t="s">
        <v>2453</v>
      </c>
      <c r="K144" s="25" t="s">
        <v>318</v>
      </c>
      <c r="L144" s="25" t="s">
        <v>2454</v>
      </c>
      <c r="M144" s="25" t="s">
        <v>2449</v>
      </c>
      <c r="N144" s="25" t="s">
        <v>1233</v>
      </c>
      <c r="P144" s="25" t="s">
        <v>1226</v>
      </c>
      <c r="Q144" s="25" t="s">
        <v>1233</v>
      </c>
      <c r="S144" s="25" t="s">
        <v>2455</v>
      </c>
      <c r="T144" s="25" t="s">
        <v>2456</v>
      </c>
      <c r="V144" s="25" t="str">
        <f>VLOOKUP(J144,'records (2)'!$A:$Z,16,FALSE)</f>
        <v>pauline.monnier@vpkgroup.com</v>
      </c>
    </row>
    <row r="145" spans="1:22" hidden="1">
      <c r="A145" s="25" t="s">
        <v>675</v>
      </c>
      <c r="B145" s="25" t="s">
        <v>674</v>
      </c>
      <c r="C145" s="25" t="s">
        <v>2457</v>
      </c>
      <c r="D145" s="25" t="s">
        <v>2458</v>
      </c>
      <c r="E145" s="25" t="s">
        <v>1337</v>
      </c>
      <c r="F145" s="25" t="s">
        <v>1401</v>
      </c>
      <c r="G145" s="25" t="s">
        <v>2459</v>
      </c>
      <c r="I145" s="25" t="s">
        <v>2460</v>
      </c>
      <c r="J145" s="25" t="s">
        <v>2461</v>
      </c>
      <c r="K145" s="25" t="s">
        <v>672</v>
      </c>
      <c r="L145" s="25" t="s">
        <v>2462</v>
      </c>
      <c r="M145" s="25" t="s">
        <v>2457</v>
      </c>
      <c r="P145" s="25" t="s">
        <v>1226</v>
      </c>
      <c r="Q145" s="25" t="s">
        <v>1233</v>
      </c>
      <c r="S145" s="25" t="s">
        <v>2463</v>
      </c>
      <c r="T145" s="25" t="s">
        <v>2464</v>
      </c>
      <c r="V145" s="25" t="str">
        <f>VLOOKUP(J145,'records (2)'!$A:$Z,16,FALSE)</f>
        <v>v.decroix@groupesylvagreg.fr</v>
      </c>
    </row>
    <row r="146" spans="1:22" hidden="1">
      <c r="A146" s="25" t="s">
        <v>640</v>
      </c>
      <c r="B146" s="25" t="s">
        <v>639</v>
      </c>
      <c r="C146" s="25" t="s">
        <v>2465</v>
      </c>
      <c r="D146" s="25" t="s">
        <v>2466</v>
      </c>
      <c r="E146" s="25" t="s">
        <v>1337</v>
      </c>
      <c r="G146" s="25" t="s">
        <v>2467</v>
      </c>
      <c r="I146" s="25" t="s">
        <v>2468</v>
      </c>
      <c r="J146" s="25" t="s">
        <v>2469</v>
      </c>
      <c r="K146" s="25" t="s">
        <v>637</v>
      </c>
      <c r="L146" s="25" t="s">
        <v>2470</v>
      </c>
      <c r="M146" s="25" t="s">
        <v>2465</v>
      </c>
      <c r="N146" s="25" t="s">
        <v>1233</v>
      </c>
      <c r="P146" s="25" t="s">
        <v>1226</v>
      </c>
      <c r="Q146" s="25" t="s">
        <v>1233</v>
      </c>
      <c r="S146" s="25" t="s">
        <v>2471</v>
      </c>
      <c r="T146" s="25" t="s">
        <v>2472</v>
      </c>
      <c r="V146" s="25">
        <f>VLOOKUP(J146,'records (2)'!$A:$Z,16,FALSE)</f>
        <v>0</v>
      </c>
    </row>
    <row r="147" spans="1:22" hidden="1">
      <c r="A147" s="25" t="s">
        <v>668</v>
      </c>
      <c r="B147" s="25" t="s">
        <v>667</v>
      </c>
      <c r="C147" s="25" t="s">
        <v>2473</v>
      </c>
      <c r="D147" s="25" t="s">
        <v>2474</v>
      </c>
      <c r="E147" s="25" t="s">
        <v>1337</v>
      </c>
      <c r="G147" s="25" t="s">
        <v>2475</v>
      </c>
      <c r="I147" s="25" t="s">
        <v>2476</v>
      </c>
      <c r="J147" s="25" t="s">
        <v>2477</v>
      </c>
      <c r="K147" s="25" t="s">
        <v>666</v>
      </c>
      <c r="L147" s="25" t="s">
        <v>2478</v>
      </c>
      <c r="M147" s="25" t="s">
        <v>2473</v>
      </c>
      <c r="N147" s="25" t="s">
        <v>1233</v>
      </c>
      <c r="P147" s="25" t="s">
        <v>1226</v>
      </c>
      <c r="Q147" s="25" t="s">
        <v>1233</v>
      </c>
      <c r="S147" s="25" t="s">
        <v>2479</v>
      </c>
      <c r="T147" s="25" t="s">
        <v>2480</v>
      </c>
      <c r="V147" s="25" t="str">
        <f>VLOOKUP(J147,'records (2)'!$A:$Z,16,FALSE)</f>
        <v>factures.fournisseurs@groupe-maine.com</v>
      </c>
    </row>
    <row r="148" spans="1:22" hidden="1">
      <c r="A148" s="25" t="s">
        <v>804</v>
      </c>
      <c r="B148" s="25" t="s">
        <v>803</v>
      </c>
      <c r="C148" s="25" t="s">
        <v>2481</v>
      </c>
      <c r="D148" s="25" t="s">
        <v>2482</v>
      </c>
      <c r="E148" s="25" t="s">
        <v>1337</v>
      </c>
      <c r="G148" s="25" t="s">
        <v>2483</v>
      </c>
      <c r="I148" s="25" t="s">
        <v>2484</v>
      </c>
      <c r="J148" s="25" t="s">
        <v>2485</v>
      </c>
      <c r="K148" s="25" t="s">
        <v>801</v>
      </c>
      <c r="L148" s="25" t="s">
        <v>2486</v>
      </c>
      <c r="M148" s="25" t="s">
        <v>2481</v>
      </c>
      <c r="N148" s="25" t="s">
        <v>1233</v>
      </c>
      <c r="P148" s="25" t="s">
        <v>1226</v>
      </c>
      <c r="Q148" s="25" t="s">
        <v>1233</v>
      </c>
      <c r="S148" s="25" t="s">
        <v>2487</v>
      </c>
      <c r="T148" s="25" t="s">
        <v>2488</v>
      </c>
      <c r="V148" s="25" t="str">
        <f>VLOOKUP(J148,'records (2)'!$A:$Z,16,FALSE)</f>
        <v>nathalie.aza@pierre-fabre.com</v>
      </c>
    </row>
    <row r="149" spans="1:22" hidden="1">
      <c r="A149" s="25" t="s">
        <v>428</v>
      </c>
      <c r="B149" s="25" t="s">
        <v>427</v>
      </c>
      <c r="C149" s="25" t="s">
        <v>2489</v>
      </c>
      <c r="D149" s="25" t="s">
        <v>2122</v>
      </c>
      <c r="E149" s="25" t="s">
        <v>1337</v>
      </c>
      <c r="F149" s="25" t="s">
        <v>2490</v>
      </c>
      <c r="G149" s="25" t="s">
        <v>2123</v>
      </c>
      <c r="I149" s="25" t="s">
        <v>2491</v>
      </c>
      <c r="J149" s="25" t="s">
        <v>1277</v>
      </c>
      <c r="K149" s="25" t="s">
        <v>426</v>
      </c>
      <c r="L149" s="25" t="s">
        <v>2492</v>
      </c>
      <c r="M149" s="25" t="s">
        <v>2489</v>
      </c>
      <c r="N149" s="25" t="s">
        <v>1233</v>
      </c>
      <c r="P149" s="25" t="s">
        <v>1226</v>
      </c>
      <c r="Q149" s="25" t="s">
        <v>1233</v>
      </c>
      <c r="S149" s="25" t="s">
        <v>2493</v>
      </c>
      <c r="T149" s="25" t="s">
        <v>2494</v>
      </c>
      <c r="V149" s="25" t="str">
        <f>VLOOKUP(J149,'records (2)'!$A:$Z,16,FALSE)</f>
        <v>pauline.baleydier1@fr.abb.com</v>
      </c>
    </row>
    <row r="150" spans="1:22" hidden="1">
      <c r="A150" s="25" t="s">
        <v>217</v>
      </c>
      <c r="B150" s="25" t="s">
        <v>216</v>
      </c>
      <c r="C150" s="25" t="s">
        <v>2495</v>
      </c>
      <c r="D150" s="25" t="s">
        <v>1454</v>
      </c>
      <c r="E150" s="25" t="s">
        <v>1337</v>
      </c>
      <c r="G150" s="25" t="s">
        <v>2496</v>
      </c>
      <c r="I150" s="25" t="s">
        <v>2497</v>
      </c>
      <c r="J150" s="25" t="s">
        <v>2498</v>
      </c>
      <c r="K150" s="25" t="s">
        <v>214</v>
      </c>
      <c r="L150" s="25" t="s">
        <v>2499</v>
      </c>
      <c r="M150" s="25" t="s">
        <v>2495</v>
      </c>
      <c r="N150" s="25" t="s">
        <v>1233</v>
      </c>
      <c r="P150" s="25" t="s">
        <v>1226</v>
      </c>
      <c r="Q150" s="25" t="s">
        <v>1233</v>
      </c>
      <c r="S150" s="25" t="s">
        <v>2500</v>
      </c>
      <c r="T150" s="25" t="s">
        <v>2501</v>
      </c>
      <c r="V150" s="25" t="str">
        <f>VLOOKUP(J150,'records (2)'!$A:$Z,16,FALSE)</f>
        <v>gregory.guion-firmin@interforum.fr</v>
      </c>
    </row>
    <row r="151" spans="1:22" hidden="1">
      <c r="A151" s="25" t="s">
        <v>831</v>
      </c>
      <c r="B151" s="25" t="s">
        <v>830</v>
      </c>
      <c r="C151" s="25" t="s">
        <v>2502</v>
      </c>
      <c r="D151" s="25" t="s">
        <v>2503</v>
      </c>
      <c r="E151" s="25" t="s">
        <v>1337</v>
      </c>
      <c r="G151" s="25" t="s">
        <v>2504</v>
      </c>
      <c r="I151" s="25" t="s">
        <v>2505</v>
      </c>
      <c r="J151" s="25" t="s">
        <v>2506</v>
      </c>
      <c r="K151" s="25" t="s">
        <v>828</v>
      </c>
      <c r="L151" s="25" t="s">
        <v>2507</v>
      </c>
      <c r="M151" s="25" t="s">
        <v>2502</v>
      </c>
      <c r="N151" s="25" t="s">
        <v>1233</v>
      </c>
      <c r="P151" s="25" t="s">
        <v>1226</v>
      </c>
      <c r="Q151" s="25" t="s">
        <v>1233</v>
      </c>
      <c r="S151" s="25" t="s">
        <v>2508</v>
      </c>
      <c r="T151" s="25" t="s">
        <v>2509</v>
      </c>
      <c r="V151" s="25" t="str">
        <f>VLOOKUP(J151,'records (2)'!$A:$Z,16,FALSE)</f>
        <v>factures.irigo@ratpdev.com</v>
      </c>
    </row>
    <row r="152" spans="1:22" hidden="1">
      <c r="A152" s="25" t="s">
        <v>366</v>
      </c>
      <c r="B152" s="25" t="s">
        <v>365</v>
      </c>
      <c r="C152" s="25" t="s">
        <v>2510</v>
      </c>
      <c r="D152" s="25" t="s">
        <v>2511</v>
      </c>
      <c r="E152" s="25" t="s">
        <v>1337</v>
      </c>
      <c r="F152" s="25" t="s">
        <v>1425</v>
      </c>
      <c r="G152" s="25" t="s">
        <v>2512</v>
      </c>
      <c r="I152" s="25" t="s">
        <v>2513</v>
      </c>
      <c r="J152" s="25" t="s">
        <v>2514</v>
      </c>
      <c r="K152" s="25" t="s">
        <v>363</v>
      </c>
      <c r="L152" s="25" t="s">
        <v>2515</v>
      </c>
      <c r="M152" s="25" t="s">
        <v>2510</v>
      </c>
      <c r="N152" s="25" t="s">
        <v>1233</v>
      </c>
      <c r="P152" s="25" t="s">
        <v>1226</v>
      </c>
      <c r="Q152" s="25" t="s">
        <v>1233</v>
      </c>
      <c r="S152" s="25" t="s">
        <v>2516</v>
      </c>
      <c r="T152" s="25" t="s">
        <v>2517</v>
      </c>
      <c r="V152" s="25" t="str">
        <f>VLOOKUP(J152,'records (2)'!$A:$Z,16,FALSE)</f>
        <v>nnivon@rossignol.com</v>
      </c>
    </row>
    <row r="153" spans="1:22" hidden="1">
      <c r="A153" s="25" t="s">
        <v>497</v>
      </c>
      <c r="B153" s="25" t="s">
        <v>496</v>
      </c>
      <c r="C153" s="25" t="s">
        <v>2518</v>
      </c>
      <c r="D153" s="25" t="s">
        <v>2519</v>
      </c>
      <c r="E153" s="25" t="s">
        <v>1337</v>
      </c>
      <c r="G153" s="25" t="s">
        <v>2520</v>
      </c>
      <c r="I153" s="25" t="s">
        <v>2521</v>
      </c>
      <c r="J153" s="25" t="s">
        <v>2522</v>
      </c>
      <c r="K153" s="25" t="s">
        <v>494</v>
      </c>
      <c r="L153" s="25" t="s">
        <v>2523</v>
      </c>
      <c r="M153" s="25" t="s">
        <v>2518</v>
      </c>
      <c r="N153" s="25" t="s">
        <v>1233</v>
      </c>
      <c r="P153" s="25" t="s">
        <v>1226</v>
      </c>
      <c r="Q153" s="25" t="s">
        <v>1233</v>
      </c>
      <c r="S153" s="25" t="s">
        <v>2524</v>
      </c>
      <c r="T153" s="25" t="s">
        <v>2525</v>
      </c>
      <c r="V153" s="25" t="str">
        <f>VLOOKUP(J153,'records (2)'!$A:$Z,16,FALSE)</f>
        <v>factures@cheddite.com</v>
      </c>
    </row>
    <row r="154" spans="1:22" hidden="1">
      <c r="A154" s="25" t="s">
        <v>665</v>
      </c>
      <c r="B154" s="25" t="s">
        <v>664</v>
      </c>
      <c r="C154" s="25" t="s">
        <v>2526</v>
      </c>
      <c r="D154" s="25" t="s">
        <v>2527</v>
      </c>
      <c r="E154" s="25" t="s">
        <v>1337</v>
      </c>
      <c r="G154" s="25" t="s">
        <v>2528</v>
      </c>
      <c r="I154" s="25" t="s">
        <v>2529</v>
      </c>
      <c r="J154" s="25" t="s">
        <v>2530</v>
      </c>
      <c r="K154" s="25" t="s">
        <v>663</v>
      </c>
      <c r="L154" s="25" t="s">
        <v>2531</v>
      </c>
      <c r="M154" s="25" t="s">
        <v>2526</v>
      </c>
      <c r="N154" s="25" t="s">
        <v>1233</v>
      </c>
      <c r="P154" s="25" t="s">
        <v>1226</v>
      </c>
      <c r="Q154" s="25" t="s">
        <v>1233</v>
      </c>
      <c r="S154" s="25" t="s">
        <v>2532</v>
      </c>
      <c r="T154" s="25" t="s">
        <v>2533</v>
      </c>
      <c r="V154" s="25" t="str">
        <f>VLOOKUP(J154,'records (2)'!$A:$Z,16,FALSE)</f>
        <v>factures@gallaud.com</v>
      </c>
    </row>
    <row r="155" spans="1:22" hidden="1">
      <c r="A155" s="25" t="s">
        <v>348</v>
      </c>
      <c r="B155" s="25" t="s">
        <v>347</v>
      </c>
      <c r="C155" s="25" t="s">
        <v>2534</v>
      </c>
      <c r="D155" s="25" t="s">
        <v>2535</v>
      </c>
      <c r="E155" s="25" t="s">
        <v>1337</v>
      </c>
      <c r="G155" s="25" t="s">
        <v>2536</v>
      </c>
      <c r="I155" s="25" t="s">
        <v>2537</v>
      </c>
      <c r="J155" s="25" t="s">
        <v>2538</v>
      </c>
      <c r="K155" s="25" t="s">
        <v>346</v>
      </c>
      <c r="L155" s="25" t="s">
        <v>2539</v>
      </c>
      <c r="M155" s="25" t="s">
        <v>2534</v>
      </c>
      <c r="P155" s="25" t="s">
        <v>1226</v>
      </c>
      <c r="Q155" s="25" t="s">
        <v>1233</v>
      </c>
      <c r="S155" s="25" t="s">
        <v>2540</v>
      </c>
      <c r="T155" s="25" t="s">
        <v>2541</v>
      </c>
      <c r="V155" s="25" t="str">
        <f>VLOOKUP(J155,'records (2)'!$A:$Z,16,FALSE)</f>
        <v>factures@maisonberger.fr</v>
      </c>
    </row>
    <row r="156" spans="1:22" hidden="1">
      <c r="A156" s="25" t="s">
        <v>309</v>
      </c>
      <c r="B156" s="25" t="s">
        <v>308</v>
      </c>
      <c r="C156" s="25" t="s">
        <v>2542</v>
      </c>
      <c r="D156" s="25" t="s">
        <v>2543</v>
      </c>
      <c r="E156" s="25" t="s">
        <v>1337</v>
      </c>
      <c r="G156" s="25" t="s">
        <v>2544</v>
      </c>
      <c r="I156" s="25" t="s">
        <v>2545</v>
      </c>
      <c r="J156" s="25" t="s">
        <v>2546</v>
      </c>
      <c r="K156" s="25" t="s">
        <v>306</v>
      </c>
      <c r="L156" s="25" t="s">
        <v>2547</v>
      </c>
      <c r="M156" s="25" t="s">
        <v>2542</v>
      </c>
      <c r="N156" s="25" t="s">
        <v>1233</v>
      </c>
      <c r="P156" s="25" t="s">
        <v>1226</v>
      </c>
      <c r="Q156" s="25" t="s">
        <v>1233</v>
      </c>
      <c r="S156" s="25" t="s">
        <v>2548</v>
      </c>
      <c r="T156" s="25" t="s">
        <v>2549</v>
      </c>
      <c r="V156" s="25" t="str">
        <f>VLOOKUP(J156,'records (2)'!$A:$Z,16,FALSE)</f>
        <v>kelly.lardey@norac.fr</v>
      </c>
    </row>
    <row r="157" spans="1:22" hidden="1">
      <c r="A157" s="25" t="s">
        <v>373</v>
      </c>
      <c r="B157" s="25" t="s">
        <v>372</v>
      </c>
      <c r="C157" s="25" t="s">
        <v>2550</v>
      </c>
      <c r="D157" s="25" t="s">
        <v>2551</v>
      </c>
      <c r="E157" s="25" t="s">
        <v>1337</v>
      </c>
      <c r="G157" s="25" t="s">
        <v>2552</v>
      </c>
      <c r="I157" s="25" t="s">
        <v>2553</v>
      </c>
      <c r="J157" s="25" t="s">
        <v>2554</v>
      </c>
      <c r="K157" s="25" t="s">
        <v>370</v>
      </c>
      <c r="L157" s="25" t="s">
        <v>2555</v>
      </c>
      <c r="M157" s="25" t="s">
        <v>2550</v>
      </c>
      <c r="N157" s="25" t="s">
        <v>1233</v>
      </c>
      <c r="P157" s="25" t="s">
        <v>1226</v>
      </c>
      <c r="Q157" s="25" t="s">
        <v>1233</v>
      </c>
      <c r="S157" s="25" t="s">
        <v>2556</v>
      </c>
      <c r="T157" s="25" t="s">
        <v>2557</v>
      </c>
      <c r="V157" s="25" t="str">
        <f>VLOOKUP(J157,'records (2)'!$A:$Z,16,FALSE)</f>
        <v>sluquet@snf.com</v>
      </c>
    </row>
    <row r="158" spans="1:22" hidden="1">
      <c r="A158" s="25" t="s">
        <v>1146</v>
      </c>
      <c r="B158" s="25" t="s">
        <v>1145</v>
      </c>
      <c r="C158" s="25" t="s">
        <v>2558</v>
      </c>
      <c r="D158" s="25" t="s">
        <v>2559</v>
      </c>
      <c r="E158" s="25" t="s">
        <v>1337</v>
      </c>
      <c r="G158" s="25" t="s">
        <v>2560</v>
      </c>
      <c r="I158" s="25" t="s">
        <v>2561</v>
      </c>
      <c r="J158" s="25" t="s">
        <v>2562</v>
      </c>
      <c r="K158" s="25" t="s">
        <v>1143</v>
      </c>
      <c r="L158" s="25" t="s">
        <v>2563</v>
      </c>
      <c r="M158" s="25" t="s">
        <v>2558</v>
      </c>
      <c r="N158" s="25" t="s">
        <v>1233</v>
      </c>
      <c r="P158" s="25" t="s">
        <v>1226</v>
      </c>
      <c r="Q158" s="25" t="s">
        <v>1233</v>
      </c>
      <c r="S158" s="25" t="s">
        <v>2564</v>
      </c>
      <c r="T158" s="25" t="s">
        <v>2565</v>
      </c>
      <c r="V158" s="25" t="str">
        <f>VLOOKUP(J158,'records (2)'!$A:$Z,16,FALSE)</f>
        <v>vboudali@dirickx.com</v>
      </c>
    </row>
    <row r="159" spans="1:22" hidden="1">
      <c r="A159" s="25" t="s">
        <v>77</v>
      </c>
      <c r="B159" s="25" t="s">
        <v>76</v>
      </c>
      <c r="C159" s="25" t="s">
        <v>2566</v>
      </c>
      <c r="D159" s="25" t="s">
        <v>2567</v>
      </c>
      <c r="E159" s="25" t="s">
        <v>1337</v>
      </c>
      <c r="F159" s="25" t="s">
        <v>2568</v>
      </c>
      <c r="G159" s="25" t="s">
        <v>2569</v>
      </c>
      <c r="I159" s="25" t="s">
        <v>2570</v>
      </c>
      <c r="J159" s="25" t="s">
        <v>2571</v>
      </c>
      <c r="K159" s="25" t="s">
        <v>74</v>
      </c>
      <c r="L159" s="25" t="s">
        <v>2572</v>
      </c>
      <c r="M159" s="25" t="s">
        <v>2566</v>
      </c>
      <c r="N159" s="25" t="s">
        <v>1233</v>
      </c>
      <c r="P159" s="25" t="s">
        <v>1226</v>
      </c>
      <c r="Q159" s="25" t="s">
        <v>1233</v>
      </c>
      <c r="S159" s="25" t="s">
        <v>2573</v>
      </c>
      <c r="T159" s="25" t="s">
        <v>2574</v>
      </c>
      <c r="V159" s="25" t="str">
        <f>VLOOKUP(J159,'records (2)'!$A:$Z,16,FALSE)</f>
        <v>fournisseurs@ats-centre.fr</v>
      </c>
    </row>
    <row r="160" spans="1:22" hidden="1">
      <c r="A160" s="25" t="s">
        <v>228</v>
      </c>
      <c r="B160" s="25" t="s">
        <v>227</v>
      </c>
      <c r="C160" s="25" t="s">
        <v>2575</v>
      </c>
      <c r="D160" s="25" t="s">
        <v>2576</v>
      </c>
      <c r="E160" s="25" t="s">
        <v>1337</v>
      </c>
      <c r="F160" s="25" t="s">
        <v>1840</v>
      </c>
      <c r="G160" s="25" t="s">
        <v>2577</v>
      </c>
      <c r="I160" s="25" t="s">
        <v>2578</v>
      </c>
      <c r="J160" s="25" t="s">
        <v>2579</v>
      </c>
      <c r="K160" s="25" t="s">
        <v>225</v>
      </c>
      <c r="L160" s="25" t="s">
        <v>2580</v>
      </c>
      <c r="M160" s="25" t="s">
        <v>2575</v>
      </c>
      <c r="N160" s="25" t="s">
        <v>1233</v>
      </c>
      <c r="P160" s="25" t="s">
        <v>2292</v>
      </c>
      <c r="Q160" s="25" t="s">
        <v>1233</v>
      </c>
      <c r="S160" s="25" t="s">
        <v>2581</v>
      </c>
      <c r="T160" s="25" t="s">
        <v>2582</v>
      </c>
      <c r="V160" s="25" t="str">
        <f>VLOOKUP(J160,'records (2)'!$A:$Z,16,FALSE)</f>
        <v>m.lagarrigue@crustac.fr</v>
      </c>
    </row>
    <row r="161" spans="1:22" hidden="1">
      <c r="A161" s="25" t="s">
        <v>542</v>
      </c>
      <c r="B161" s="25" t="s">
        <v>541</v>
      </c>
      <c r="C161" s="25" t="s">
        <v>2583</v>
      </c>
      <c r="D161" s="25" t="s">
        <v>2584</v>
      </c>
      <c r="E161" s="25" t="s">
        <v>1337</v>
      </c>
      <c r="G161" s="25" t="s">
        <v>1517</v>
      </c>
      <c r="I161" s="25" t="s">
        <v>2585</v>
      </c>
      <c r="J161" s="25" t="s">
        <v>2586</v>
      </c>
      <c r="K161" s="25" t="s">
        <v>539</v>
      </c>
      <c r="L161" s="25" t="s">
        <v>2587</v>
      </c>
      <c r="M161" s="25" t="s">
        <v>2583</v>
      </c>
      <c r="N161" s="25" t="s">
        <v>1233</v>
      </c>
      <c r="P161" s="25" t="s">
        <v>1226</v>
      </c>
      <c r="Q161" s="25" t="s">
        <v>1233</v>
      </c>
      <c r="S161" s="25" t="s">
        <v>2588</v>
      </c>
      <c r="T161" s="25" t="s">
        <v>2589</v>
      </c>
      <c r="V161" s="25" t="str">
        <f>VLOOKUP(J161,'records (2)'!$A:$Z,16,FALSE)</f>
        <v>ajacquet@groupe-eda.com</v>
      </c>
    </row>
    <row r="162" spans="1:22" hidden="1">
      <c r="A162" s="25" t="s">
        <v>810</v>
      </c>
      <c r="B162" s="25" t="s">
        <v>809</v>
      </c>
      <c r="C162" s="25" t="s">
        <v>2590</v>
      </c>
      <c r="D162" s="25" t="s">
        <v>2591</v>
      </c>
      <c r="E162" s="25" t="s">
        <v>1337</v>
      </c>
      <c r="F162" s="25" t="s">
        <v>2592</v>
      </c>
      <c r="G162" s="25" t="s">
        <v>2593</v>
      </c>
      <c r="I162" s="25" t="s">
        <v>2594</v>
      </c>
      <c r="J162" s="25" t="s">
        <v>2595</v>
      </c>
      <c r="K162" s="25" t="s">
        <v>808</v>
      </c>
      <c r="L162" s="25" t="s">
        <v>2596</v>
      </c>
      <c r="M162" s="25" t="s">
        <v>809</v>
      </c>
      <c r="N162" s="25" t="s">
        <v>2597</v>
      </c>
      <c r="O162" s="25" t="s">
        <v>1337</v>
      </c>
      <c r="Q162" s="25" t="s">
        <v>2598</v>
      </c>
      <c r="S162" s="25" t="s">
        <v>2599</v>
      </c>
      <c r="T162" s="25" t="s">
        <v>2600</v>
      </c>
      <c r="V162" s="25" t="str">
        <f>VLOOKUP(J162,'records (2)'!$A:$Z,16,FALSE)</f>
        <v>clara.archer@saint-gobain.com</v>
      </c>
    </row>
    <row r="163" spans="1:22" hidden="1">
      <c r="A163" s="25" t="s">
        <v>1036</v>
      </c>
      <c r="B163" s="25" t="s">
        <v>1035</v>
      </c>
      <c r="C163" s="25" t="s">
        <v>2601</v>
      </c>
      <c r="D163" s="25" t="s">
        <v>2602</v>
      </c>
      <c r="E163" s="25" t="s">
        <v>1337</v>
      </c>
      <c r="G163" s="25" t="s">
        <v>2603</v>
      </c>
      <c r="I163" s="25" t="s">
        <v>2604</v>
      </c>
      <c r="J163" s="25" t="s">
        <v>1308</v>
      </c>
      <c r="K163" s="25" t="s">
        <v>1033</v>
      </c>
      <c r="L163" s="25" t="s">
        <v>2605</v>
      </c>
      <c r="M163" s="25" t="s">
        <v>2601</v>
      </c>
      <c r="N163" s="25" t="s">
        <v>1233</v>
      </c>
      <c r="P163" s="25" t="s">
        <v>1226</v>
      </c>
      <c r="Q163" s="25" t="s">
        <v>1233</v>
      </c>
      <c r="S163" s="25" t="s">
        <v>2606</v>
      </c>
      <c r="T163" s="25" t="s">
        <v>2607</v>
      </c>
      <c r="V163" s="25" t="str">
        <f>VLOOKUP(J163,'records (2)'!$A:$Z,16,FALSE)</f>
        <v>facturesfrs.france@akwel-automotive.com</v>
      </c>
    </row>
    <row r="164" spans="1:22" hidden="1">
      <c r="A164" s="25" t="s">
        <v>636</v>
      </c>
      <c r="B164" s="25" t="s">
        <v>635</v>
      </c>
      <c r="C164" s="25" t="s">
        <v>2608</v>
      </c>
      <c r="D164" s="25" t="s">
        <v>2609</v>
      </c>
      <c r="E164" s="25" t="s">
        <v>1337</v>
      </c>
      <c r="F164" s="25" t="s">
        <v>2610</v>
      </c>
      <c r="G164" s="25" t="s">
        <v>2611</v>
      </c>
      <c r="I164" s="25" t="s">
        <v>2612</v>
      </c>
      <c r="J164" s="25" t="s">
        <v>1295</v>
      </c>
      <c r="K164" s="25" t="s">
        <v>633</v>
      </c>
      <c r="L164" s="25" t="s">
        <v>2613</v>
      </c>
      <c r="M164" s="25" t="s">
        <v>2608</v>
      </c>
      <c r="N164" s="25" t="s">
        <v>1233</v>
      </c>
      <c r="P164" s="25" t="s">
        <v>1226</v>
      </c>
      <c r="Q164" s="25" t="s">
        <v>1233</v>
      </c>
      <c r="S164" s="25" t="s">
        <v>2614</v>
      </c>
      <c r="T164" s="25" t="s">
        <v>2615</v>
      </c>
      <c r="V164" s="25" t="str">
        <f>VLOOKUP(J164,'records (2)'!$A:$Z,16,FALSE)</f>
        <v>christine.rousset@gerflor.com</v>
      </c>
    </row>
    <row r="165" spans="1:22" hidden="1">
      <c r="A165" s="25" t="s">
        <v>1017</v>
      </c>
      <c r="B165" s="25" t="s">
        <v>1016</v>
      </c>
      <c r="C165" s="25" t="s">
        <v>2616</v>
      </c>
      <c r="D165" s="25" t="s">
        <v>2617</v>
      </c>
      <c r="E165" s="25" t="s">
        <v>1337</v>
      </c>
      <c r="G165" s="25" t="s">
        <v>2618</v>
      </c>
      <c r="I165" s="25" t="s">
        <v>2619</v>
      </c>
      <c r="J165" s="25" t="s">
        <v>2620</v>
      </c>
      <c r="K165" s="25" t="s">
        <v>1014</v>
      </c>
      <c r="L165" s="25" t="s">
        <v>2621</v>
      </c>
      <c r="M165" s="25" t="s">
        <v>2616</v>
      </c>
      <c r="N165" s="25" t="s">
        <v>1233</v>
      </c>
      <c r="P165" s="25" t="s">
        <v>1226</v>
      </c>
      <c r="Q165" s="25" t="s">
        <v>1233</v>
      </c>
      <c r="S165" s="25" t="s">
        <v>2622</v>
      </c>
      <c r="T165" s="25" t="s">
        <v>2623</v>
      </c>
      <c r="V165" s="25" t="str">
        <f>VLOOKUP(J165,'records (2)'!$A:$Z,16,FALSE)</f>
        <v>helene.cueff@fivesgroup.com</v>
      </c>
    </row>
    <row r="166" spans="1:22" hidden="1">
      <c r="A166" s="25" t="s">
        <v>534</v>
      </c>
      <c r="B166" s="25" t="s">
        <v>533</v>
      </c>
      <c r="C166" s="25" t="s">
        <v>2624</v>
      </c>
      <c r="D166" s="25" t="s">
        <v>2625</v>
      </c>
      <c r="E166" s="25" t="s">
        <v>1337</v>
      </c>
      <c r="G166" s="25" t="s">
        <v>2626</v>
      </c>
      <c r="I166" s="25" t="s">
        <v>2627</v>
      </c>
      <c r="J166" s="25" t="s">
        <v>2628</v>
      </c>
      <c r="K166" s="25" t="s">
        <v>532</v>
      </c>
      <c r="L166" s="25" t="s">
        <v>2629</v>
      </c>
      <c r="M166" s="25" t="s">
        <v>2630</v>
      </c>
      <c r="N166" s="25" t="s">
        <v>1233</v>
      </c>
      <c r="P166" s="25" t="s">
        <v>1226</v>
      </c>
      <c r="Q166" s="25" t="s">
        <v>1233</v>
      </c>
      <c r="S166" s="25" t="s">
        <v>2631</v>
      </c>
      <c r="T166" s="25" t="s">
        <v>2632</v>
      </c>
      <c r="V166" s="25" t="str">
        <f>VLOOKUP(J166,'records (2)'!$A:$Z,16,FALSE)</f>
        <v>fgfin@dimotrans-group.com</v>
      </c>
    </row>
    <row r="167" spans="1:22" hidden="1">
      <c r="A167" s="25" t="s">
        <v>596</v>
      </c>
      <c r="B167" s="25" t="s">
        <v>595</v>
      </c>
      <c r="C167" s="25" t="s">
        <v>2633</v>
      </c>
      <c r="D167" s="25" t="s">
        <v>2634</v>
      </c>
      <c r="E167" s="25" t="s">
        <v>1337</v>
      </c>
      <c r="G167" s="25" t="s">
        <v>2635</v>
      </c>
      <c r="I167" s="25" t="s">
        <v>2636</v>
      </c>
      <c r="J167" s="25" t="s">
        <v>2637</v>
      </c>
      <c r="K167" s="25" t="s">
        <v>594</v>
      </c>
      <c r="L167" s="25" t="s">
        <v>2638</v>
      </c>
      <c r="M167" s="25" t="s">
        <v>2633</v>
      </c>
      <c r="N167" s="25" t="s">
        <v>1233</v>
      </c>
      <c r="P167" s="25" t="s">
        <v>1226</v>
      </c>
      <c r="Q167" s="25" t="s">
        <v>1233</v>
      </c>
      <c r="S167" s="25" t="s">
        <v>2639</v>
      </c>
      <c r="T167" s="25" t="s">
        <v>2640</v>
      </c>
      <c r="V167" s="25" t="str">
        <f>VLOOKUP(J167,'records (2)'!$A:$Z,16,FALSE)</f>
        <v>finance.farmea@fareva.com</v>
      </c>
    </row>
    <row r="168" spans="1:22" hidden="1">
      <c r="A168" s="25" t="s">
        <v>648</v>
      </c>
      <c r="B168" s="25" t="s">
        <v>647</v>
      </c>
      <c r="C168" s="25" t="s">
        <v>2641</v>
      </c>
      <c r="D168" s="25" t="s">
        <v>2642</v>
      </c>
      <c r="E168" s="25" t="s">
        <v>1337</v>
      </c>
      <c r="G168" s="25" t="s">
        <v>2643</v>
      </c>
      <c r="I168" s="25" t="s">
        <v>2644</v>
      </c>
      <c r="J168" s="25" t="s">
        <v>2645</v>
      </c>
      <c r="K168" s="25" t="s">
        <v>645</v>
      </c>
      <c r="L168" s="25" t="s">
        <v>2646</v>
      </c>
      <c r="M168" s="25" t="s">
        <v>2641</v>
      </c>
      <c r="N168" s="25" t="s">
        <v>1233</v>
      </c>
      <c r="P168" s="25" t="s">
        <v>1226</v>
      </c>
      <c r="Q168" s="25" t="s">
        <v>1233</v>
      </c>
      <c r="S168" s="25" t="s">
        <v>2647</v>
      </c>
      <c r="T168" s="25" t="s">
        <v>2648</v>
      </c>
      <c r="V168" s="25" t="str">
        <f>VLOOKUP(J168,'records (2)'!$A:$Z,16,FALSE)</f>
        <v>camille.niquet@grandvision.fr</v>
      </c>
    </row>
    <row r="169" spans="1:22" hidden="1">
      <c r="A169" s="25" t="s">
        <v>954</v>
      </c>
      <c r="B169" s="25" t="s">
        <v>953</v>
      </c>
      <c r="C169" s="25" t="s">
        <v>2649</v>
      </c>
      <c r="D169" s="25" t="s">
        <v>2650</v>
      </c>
      <c r="E169" s="25" t="s">
        <v>1337</v>
      </c>
      <c r="G169" s="25" t="s">
        <v>2651</v>
      </c>
      <c r="I169" s="25" t="s">
        <v>2652</v>
      </c>
      <c r="J169" s="25" t="s">
        <v>1290</v>
      </c>
      <c r="K169" s="25" t="s">
        <v>952</v>
      </c>
      <c r="L169" s="25" t="s">
        <v>2653</v>
      </c>
      <c r="M169" s="25" t="s">
        <v>2649</v>
      </c>
      <c r="N169" s="25" t="s">
        <v>1233</v>
      </c>
      <c r="P169" s="25" t="s">
        <v>1226</v>
      </c>
      <c r="Q169" s="25" t="s">
        <v>1233</v>
      </c>
      <c r="S169" s="25" t="s">
        <v>2654</v>
      </c>
      <c r="T169" s="25" t="s">
        <v>2655</v>
      </c>
      <c r="V169" s="25" t="str">
        <f>VLOOKUP(J169,'records (2)'!$A:$Z,16,FALSE)</f>
        <v>beatrice.vernisse@orbia.com</v>
      </c>
    </row>
    <row r="170" spans="1:22" hidden="1">
      <c r="A170" s="25" t="s">
        <v>131</v>
      </c>
      <c r="B170" s="25" t="s">
        <v>130</v>
      </c>
      <c r="C170" s="25" t="s">
        <v>130</v>
      </c>
      <c r="D170" s="25" t="s">
        <v>2656</v>
      </c>
      <c r="E170" s="25" t="s">
        <v>1337</v>
      </c>
      <c r="G170" s="25" t="s">
        <v>2657</v>
      </c>
      <c r="I170" s="25" t="s">
        <v>2658</v>
      </c>
      <c r="J170" s="25" t="s">
        <v>1285</v>
      </c>
      <c r="K170" s="25" t="s">
        <v>128</v>
      </c>
      <c r="L170" s="25" t="s">
        <v>2659</v>
      </c>
      <c r="M170" s="25" t="s">
        <v>130</v>
      </c>
      <c r="N170" s="25" t="s">
        <v>1233</v>
      </c>
      <c r="P170" s="25" t="s">
        <v>1226</v>
      </c>
      <c r="Q170" s="25" t="s">
        <v>1233</v>
      </c>
      <c r="S170" s="25" t="s">
        <v>2660</v>
      </c>
      <c r="T170" s="25" t="s">
        <v>2661</v>
      </c>
      <c r="V170" s="25" t="str">
        <f>VLOOKUP(J170,'records (2)'!$A:$Z,16,FALSE)</f>
        <v>sabine.uhlmann@csmingredients.com</v>
      </c>
    </row>
    <row r="171" spans="1:22" hidden="1">
      <c r="A171" s="25" t="s">
        <v>618</v>
      </c>
      <c r="B171" s="25" t="s">
        <v>1176</v>
      </c>
      <c r="C171" s="25" t="s">
        <v>2662</v>
      </c>
      <c r="D171" s="25" t="s">
        <v>2663</v>
      </c>
      <c r="E171" s="25" t="s">
        <v>1337</v>
      </c>
      <c r="F171" s="25" t="s">
        <v>2664</v>
      </c>
      <c r="G171" s="25" t="s">
        <v>2665</v>
      </c>
      <c r="I171" s="25" t="s">
        <v>2666</v>
      </c>
      <c r="J171" s="25" t="s">
        <v>2667</v>
      </c>
      <c r="K171" s="25" t="s">
        <v>616</v>
      </c>
      <c r="L171" s="25" t="s">
        <v>2668</v>
      </c>
      <c r="M171" s="25" t="s">
        <v>2662</v>
      </c>
      <c r="O171" s="25" t="s">
        <v>1337</v>
      </c>
      <c r="P171" s="25" t="s">
        <v>1226</v>
      </c>
      <c r="S171" s="25" t="s">
        <v>2669</v>
      </c>
      <c r="T171" s="25" t="s">
        <v>2670</v>
      </c>
      <c r="V171" s="25" t="str">
        <f>VLOOKUP(J171,'records (2)'!$A:$Z,16,FALSE)</f>
        <v>accounts_payable_fkfr@fresenius-kabi.com</v>
      </c>
    </row>
    <row r="172" spans="1:22" hidden="1">
      <c r="A172" s="25" t="s">
        <v>168</v>
      </c>
      <c r="B172" s="25" t="s">
        <v>167</v>
      </c>
      <c r="C172" s="25" t="s">
        <v>2671</v>
      </c>
      <c r="D172" s="25" t="s">
        <v>2672</v>
      </c>
      <c r="E172" s="25" t="s">
        <v>1337</v>
      </c>
      <c r="G172" s="25" t="s">
        <v>2673</v>
      </c>
      <c r="I172" s="25" t="s">
        <v>2674</v>
      </c>
      <c r="J172" s="25" t="s">
        <v>2675</v>
      </c>
      <c r="K172" s="25" t="s">
        <v>165</v>
      </c>
      <c r="L172" s="25" t="s">
        <v>2676</v>
      </c>
      <c r="M172" s="25" t="s">
        <v>2671</v>
      </c>
      <c r="N172" s="25" t="s">
        <v>1233</v>
      </c>
      <c r="P172" s="25" t="s">
        <v>1226</v>
      </c>
      <c r="Q172" s="25" t="s">
        <v>1233</v>
      </c>
      <c r="S172" s="25" t="s">
        <v>2677</v>
      </c>
      <c r="T172" s="25" t="s">
        <v>2678</v>
      </c>
      <c r="V172" s="25" t="str">
        <f>VLOOKUP(J172,'records (2)'!$A:$Z,16,FALSE)</f>
        <v>anne.mugnier@fmc.com</v>
      </c>
    </row>
    <row r="173" spans="1:22" hidden="1">
      <c r="A173" s="25" t="s">
        <v>600</v>
      </c>
      <c r="B173" s="25" t="s">
        <v>599</v>
      </c>
      <c r="C173" s="25" t="s">
        <v>2679</v>
      </c>
      <c r="D173" s="25" t="s">
        <v>2680</v>
      </c>
      <c r="E173" s="25" t="s">
        <v>1337</v>
      </c>
      <c r="G173" s="25" t="s">
        <v>2681</v>
      </c>
      <c r="I173" s="25" t="s">
        <v>2682</v>
      </c>
      <c r="J173" s="25" t="s">
        <v>2683</v>
      </c>
      <c r="K173" s="25" t="s">
        <v>597</v>
      </c>
      <c r="L173" s="25" t="s">
        <v>2684</v>
      </c>
      <c r="M173" s="25" t="s">
        <v>2679</v>
      </c>
      <c r="N173" s="25" t="s">
        <v>1233</v>
      </c>
      <c r="P173" s="25" t="s">
        <v>1226</v>
      </c>
      <c r="Q173" s="25" t="s">
        <v>1233</v>
      </c>
      <c r="S173" s="25" t="s">
        <v>2685</v>
      </c>
      <c r="T173" s="25" t="s">
        <v>2686</v>
      </c>
      <c r="V173" s="25" t="str">
        <f>VLOOKUP(J173,'records (2)'!$A:$Z,16,FALSE)</f>
        <v>beatrice.malet@tenneco.com</v>
      </c>
    </row>
    <row r="174" spans="1:22" hidden="1">
      <c r="A174" s="25" t="s">
        <v>453</v>
      </c>
      <c r="B174" s="25" t="s">
        <v>452</v>
      </c>
      <c r="C174" s="25" t="s">
        <v>2687</v>
      </c>
      <c r="D174" s="25" t="s">
        <v>2688</v>
      </c>
      <c r="E174" s="25" t="s">
        <v>1337</v>
      </c>
      <c r="F174" s="25" t="s">
        <v>2689</v>
      </c>
      <c r="G174" s="25" t="s">
        <v>2690</v>
      </c>
      <c r="I174" s="25" t="s">
        <v>2691</v>
      </c>
      <c r="J174" s="25" t="s">
        <v>2692</v>
      </c>
      <c r="K174" s="25" t="s">
        <v>450</v>
      </c>
      <c r="L174" s="25" t="s">
        <v>2693</v>
      </c>
      <c r="M174" s="25" t="s">
        <v>2687</v>
      </c>
      <c r="N174" s="25" t="s">
        <v>1233</v>
      </c>
      <c r="P174" s="25" t="s">
        <v>1226</v>
      </c>
      <c r="Q174" s="25" t="s">
        <v>1233</v>
      </c>
      <c r="S174" s="25" t="s">
        <v>2694</v>
      </c>
      <c r="T174" s="25" t="s">
        <v>2695</v>
      </c>
      <c r="V174" s="25" t="str">
        <f>VLOOKUP(J174,'records (2)'!$A:$Z,16,FALSE)</f>
        <v>a.francescatti@monbtpellier-bs.com</v>
      </c>
    </row>
    <row r="175" spans="1:22" hidden="1">
      <c r="A175" s="25" t="s">
        <v>60</v>
      </c>
      <c r="B175" s="25" t="s">
        <v>59</v>
      </c>
      <c r="C175" s="25" t="s">
        <v>2696</v>
      </c>
      <c r="D175" s="25" t="s">
        <v>2576</v>
      </c>
      <c r="E175" s="25" t="s">
        <v>1337</v>
      </c>
      <c r="F175" s="25" t="s">
        <v>1840</v>
      </c>
      <c r="G175" s="25" t="s">
        <v>2577</v>
      </c>
      <c r="I175" s="25" t="s">
        <v>2697</v>
      </c>
      <c r="J175" s="25" t="s">
        <v>2698</v>
      </c>
      <c r="K175" s="25" t="s">
        <v>58</v>
      </c>
      <c r="L175" s="25" t="s">
        <v>2699</v>
      </c>
      <c r="M175" s="25" t="s">
        <v>2696</v>
      </c>
      <c r="N175" s="25" t="s">
        <v>1233</v>
      </c>
      <c r="P175" s="25" t="s">
        <v>1226</v>
      </c>
      <c r="Q175" s="25" t="s">
        <v>1233</v>
      </c>
      <c r="S175" s="25" t="s">
        <v>2700</v>
      </c>
      <c r="T175" s="25" t="s">
        <v>2701</v>
      </c>
      <c r="V175" s="25" t="str">
        <f>VLOOKUP(J175,'records (2)'!$A:$Z,16,FALSE)</f>
        <v>fournisseurs@abrisud.fr</v>
      </c>
    </row>
    <row r="176" spans="1:22" hidden="1">
      <c r="A176" s="25" t="s">
        <v>268</v>
      </c>
      <c r="B176" s="25" t="s">
        <v>267</v>
      </c>
      <c r="C176" s="25" t="s">
        <v>2702</v>
      </c>
      <c r="D176" s="25" t="s">
        <v>2703</v>
      </c>
      <c r="E176" s="25" t="s">
        <v>1337</v>
      </c>
      <c r="G176" s="25" t="s">
        <v>2704</v>
      </c>
      <c r="I176" s="25" t="s">
        <v>2705</v>
      </c>
      <c r="J176" s="25" t="s">
        <v>2706</v>
      </c>
      <c r="K176" s="25" t="s">
        <v>265</v>
      </c>
      <c r="L176" s="25" t="s">
        <v>2707</v>
      </c>
      <c r="M176" s="25" t="s">
        <v>2702</v>
      </c>
      <c r="N176" s="25" t="s">
        <v>1233</v>
      </c>
      <c r="P176" s="25" t="s">
        <v>1226</v>
      </c>
      <c r="Q176" s="25" t="s">
        <v>1233</v>
      </c>
      <c r="S176" s="25" t="s">
        <v>2708</v>
      </c>
      <c r="T176" s="25" t="s">
        <v>2709</v>
      </c>
      <c r="V176" s="25" t="str">
        <f>VLOOKUP(J176,'records (2)'!$A:$Z,16,FALSE)</f>
        <v>s.anger@locmaria.fr</v>
      </c>
    </row>
    <row r="177" spans="1:22" hidden="1">
      <c r="A177" s="25" t="s">
        <v>394</v>
      </c>
      <c r="B177" s="25" t="s">
        <v>393</v>
      </c>
      <c r="C177" s="25" t="s">
        <v>2710</v>
      </c>
      <c r="D177" s="25" t="s">
        <v>2711</v>
      </c>
      <c r="E177" s="25" t="s">
        <v>1337</v>
      </c>
      <c r="G177" s="25" t="s">
        <v>2712</v>
      </c>
      <c r="I177" s="25" t="s">
        <v>2713</v>
      </c>
      <c r="J177" s="25" t="s">
        <v>2714</v>
      </c>
      <c r="K177" s="25" t="s">
        <v>391</v>
      </c>
      <c r="L177" s="25" t="s">
        <v>2715</v>
      </c>
      <c r="M177" s="25" t="s">
        <v>2710</v>
      </c>
      <c r="N177" s="25" t="s">
        <v>1233</v>
      </c>
      <c r="P177" s="25" t="s">
        <v>1226</v>
      </c>
      <c r="Q177" s="25" t="s">
        <v>1233</v>
      </c>
      <c r="S177" s="25" t="s">
        <v>2716</v>
      </c>
      <c r="T177" s="25" t="s">
        <v>2717</v>
      </c>
      <c r="V177" s="25" t="str">
        <f>VLOOKUP(J177,'records (2)'!$A:$Z,16,FALSE)</f>
        <v>comptabilite@uco.fr</v>
      </c>
    </row>
    <row r="178" spans="1:22" hidden="1">
      <c r="A178" s="25" t="s">
        <v>1070</v>
      </c>
      <c r="B178" s="25" t="s">
        <v>1069</v>
      </c>
      <c r="C178" s="25" t="s">
        <v>2718</v>
      </c>
      <c r="D178" s="25" t="s">
        <v>2719</v>
      </c>
      <c r="E178" s="25" t="s">
        <v>1337</v>
      </c>
      <c r="G178" s="25" t="s">
        <v>2720</v>
      </c>
      <c r="I178" s="25" t="s">
        <v>2721</v>
      </c>
      <c r="J178" s="25" t="s">
        <v>2722</v>
      </c>
      <c r="K178" s="25" t="s">
        <v>1067</v>
      </c>
      <c r="L178" s="25" t="s">
        <v>2723</v>
      </c>
      <c r="M178" s="25" t="s">
        <v>2718</v>
      </c>
      <c r="N178" s="25" t="s">
        <v>1233</v>
      </c>
      <c r="P178" s="25" t="s">
        <v>1226</v>
      </c>
      <c r="Q178" s="25" t="s">
        <v>1233</v>
      </c>
      <c r="S178" s="25" t="s">
        <v>2724</v>
      </c>
      <c r="T178" s="25" t="s">
        <v>2725</v>
      </c>
      <c r="V178" s="25" t="str">
        <f>VLOOKUP(J178,'records (2)'!$A:$Z,16,FALSE)</f>
        <v>frap@parker.com</v>
      </c>
    </row>
    <row r="179" spans="1:22" hidden="1">
      <c r="A179" s="25" t="s">
        <v>706</v>
      </c>
      <c r="B179" s="25" t="s">
        <v>705</v>
      </c>
      <c r="C179" s="25" t="s">
        <v>2726</v>
      </c>
      <c r="D179" s="25" t="s">
        <v>2727</v>
      </c>
      <c r="E179" s="25" t="s">
        <v>1337</v>
      </c>
      <c r="G179" s="25" t="s">
        <v>2728</v>
      </c>
      <c r="I179" s="25" t="s">
        <v>2729</v>
      </c>
      <c r="J179" s="25" t="s">
        <v>2730</v>
      </c>
      <c r="K179" s="25" t="s">
        <v>703</v>
      </c>
      <c r="L179" s="25" t="s">
        <v>2731</v>
      </c>
      <c r="M179" s="25" t="s">
        <v>2726</v>
      </c>
      <c r="N179" s="25" t="s">
        <v>2732</v>
      </c>
      <c r="O179" s="25" t="s">
        <v>2733</v>
      </c>
      <c r="Q179" s="25" t="s">
        <v>1255</v>
      </c>
      <c r="S179" s="25" t="s">
        <v>2734</v>
      </c>
      <c r="T179" s="25" t="s">
        <v>2735</v>
      </c>
      <c r="V179" s="25" t="str">
        <f>VLOOKUP(J179,'records (2)'!$A:$Z,16,FALSE)</f>
        <v>brigitte.couriaud@itron.com</v>
      </c>
    </row>
    <row r="180" spans="1:22" hidden="1">
      <c r="A180" s="25" t="s">
        <v>15</v>
      </c>
      <c r="B180" s="25" t="s">
        <v>14</v>
      </c>
      <c r="C180" s="25" t="s">
        <v>2736</v>
      </c>
      <c r="D180" s="25" t="s">
        <v>1454</v>
      </c>
      <c r="E180" s="25" t="s">
        <v>1337</v>
      </c>
      <c r="G180" s="25" t="s">
        <v>1455</v>
      </c>
      <c r="I180" s="25" t="s">
        <v>1456</v>
      </c>
      <c r="J180" s="25" t="s">
        <v>2737</v>
      </c>
      <c r="K180" s="25" t="s">
        <v>12</v>
      </c>
      <c r="L180" s="25" t="s">
        <v>2738</v>
      </c>
      <c r="M180" s="25" t="s">
        <v>2736</v>
      </c>
      <c r="N180" s="25" t="s">
        <v>1233</v>
      </c>
      <c r="P180" s="25" t="s">
        <v>1226</v>
      </c>
      <c r="Q180" s="25" t="s">
        <v>1233</v>
      </c>
      <c r="S180" s="25" t="s">
        <v>2739</v>
      </c>
      <c r="T180" s="25" t="s">
        <v>2740</v>
      </c>
      <c r="V180" s="25" t="str">
        <f>VLOOKUP(J180,'records (2)'!$A:$Z,16,FALSE)</f>
        <v>stephanie.pascal@kuraray.com</v>
      </c>
    </row>
    <row r="181" spans="1:22" hidden="1">
      <c r="A181" s="25" t="s">
        <v>1054</v>
      </c>
      <c r="B181" s="25" t="s">
        <v>1053</v>
      </c>
      <c r="C181" s="25" t="s">
        <v>2741</v>
      </c>
      <c r="D181" s="25" t="s">
        <v>2742</v>
      </c>
      <c r="E181" s="25" t="s">
        <v>1337</v>
      </c>
      <c r="G181" s="25" t="s">
        <v>2743</v>
      </c>
      <c r="I181" s="25" t="s">
        <v>2744</v>
      </c>
      <c r="J181" s="25" t="s">
        <v>2745</v>
      </c>
      <c r="K181" s="25" t="s">
        <v>1051</v>
      </c>
      <c r="L181" s="25" t="s">
        <v>2746</v>
      </c>
      <c r="M181" s="25" t="s">
        <v>2741</v>
      </c>
      <c r="N181" s="25" t="s">
        <v>1233</v>
      </c>
      <c r="P181" s="25" t="s">
        <v>1226</v>
      </c>
      <c r="Q181" s="25" t="s">
        <v>1233</v>
      </c>
      <c r="S181" s="25" t="s">
        <v>2747</v>
      </c>
      <c r="T181" s="25" t="s">
        <v>2748</v>
      </c>
      <c r="V181" s="25" t="str">
        <f>VLOOKUP(J181,'records (2)'!$A:$Z,16,FALSE)</f>
        <v>frsapservices@columbia.com</v>
      </c>
    </row>
    <row r="182" spans="1:22" hidden="1">
      <c r="A182" s="25" t="s">
        <v>919</v>
      </c>
      <c r="B182" s="25" t="s">
        <v>918</v>
      </c>
      <c r="C182" s="25" t="s">
        <v>2749</v>
      </c>
      <c r="D182" s="25" t="s">
        <v>2750</v>
      </c>
      <c r="E182" s="25" t="s">
        <v>1337</v>
      </c>
      <c r="F182" s="25" t="s">
        <v>2751</v>
      </c>
      <c r="G182" s="25" t="s">
        <v>2752</v>
      </c>
      <c r="I182" s="25" t="s">
        <v>2753</v>
      </c>
      <c r="J182" s="25" t="s">
        <v>2754</v>
      </c>
      <c r="K182" s="25" t="s">
        <v>917</v>
      </c>
      <c r="L182" s="25" t="s">
        <v>2755</v>
      </c>
      <c r="M182" s="25" t="s">
        <v>2749</v>
      </c>
      <c r="N182" s="25" t="s">
        <v>1233</v>
      </c>
      <c r="P182" s="25" t="s">
        <v>1226</v>
      </c>
      <c r="Q182" s="25" t="s">
        <v>1233</v>
      </c>
      <c r="S182" s="25" t="s">
        <v>2756</v>
      </c>
      <c r="T182" s="25" t="s">
        <v>2757</v>
      </c>
      <c r="V182" s="25" t="str">
        <f>VLOOKUP(J182,'records (2)'!$A:$Z,16,FALSE)</f>
        <v>frsu.compta.fournisseurs@swisskrono.com</v>
      </c>
    </row>
    <row r="183" spans="1:22" hidden="1">
      <c r="A183" s="25" t="s">
        <v>250</v>
      </c>
      <c r="B183" s="25" t="s">
        <v>249</v>
      </c>
      <c r="C183" s="25" t="s">
        <v>2758</v>
      </c>
      <c r="D183" s="25" t="s">
        <v>2759</v>
      </c>
      <c r="E183" s="25" t="s">
        <v>1337</v>
      </c>
      <c r="G183" s="25" t="s">
        <v>2760</v>
      </c>
      <c r="I183" s="25" t="s">
        <v>2761</v>
      </c>
      <c r="J183" s="25" t="s">
        <v>2762</v>
      </c>
      <c r="K183" s="25" t="s">
        <v>247</v>
      </c>
      <c r="L183" s="25" t="s">
        <v>2763</v>
      </c>
      <c r="M183" s="25" t="s">
        <v>2758</v>
      </c>
      <c r="N183" s="25" t="s">
        <v>1233</v>
      </c>
      <c r="P183" s="25" t="s">
        <v>1226</v>
      </c>
      <c r="Q183" s="25" t="s">
        <v>1233</v>
      </c>
      <c r="S183" s="25" t="s">
        <v>2764</v>
      </c>
      <c r="T183" s="25" t="s">
        <v>2765</v>
      </c>
      <c r="V183" s="25" t="str">
        <f>VLOOKUP(J183,'records (2)'!$A:$Z,16,FALSE)</f>
        <v>factures@groupe-telegramme-services.fr</v>
      </c>
    </row>
    <row r="184" spans="1:22" hidden="1">
      <c r="A184" s="25" t="s">
        <v>744</v>
      </c>
      <c r="B184" s="25" t="s">
        <v>743</v>
      </c>
      <c r="C184" s="25" t="s">
        <v>2766</v>
      </c>
      <c r="D184" s="25" t="s">
        <v>2767</v>
      </c>
      <c r="E184" s="25" t="s">
        <v>1337</v>
      </c>
      <c r="G184" s="25" t="s">
        <v>2768</v>
      </c>
      <c r="I184" s="25" t="s">
        <v>2769</v>
      </c>
      <c r="J184" s="25" t="s">
        <v>2770</v>
      </c>
      <c r="K184" s="25" t="s">
        <v>741</v>
      </c>
      <c r="L184" s="25" t="s">
        <v>2771</v>
      </c>
      <c r="M184" s="25" t="s">
        <v>2766</v>
      </c>
      <c r="N184" s="25" t="s">
        <v>1233</v>
      </c>
      <c r="P184" s="25" t="s">
        <v>1226</v>
      </c>
      <c r="Q184" s="25" t="s">
        <v>1233</v>
      </c>
      <c r="S184" s="25" t="s">
        <v>2772</v>
      </c>
      <c r="T184" s="25" t="s">
        <v>2773</v>
      </c>
      <c r="V184" s="25" t="str">
        <f>VLOOKUP(J184,'records (2)'!$A:$Z,16,FALSE)</f>
        <v>sonia.ludovico@lindalgroup.com</v>
      </c>
    </row>
    <row r="185" spans="1:22" hidden="1">
      <c r="A185" s="25" t="s">
        <v>1046</v>
      </c>
      <c r="B185" s="25" t="s">
        <v>1045</v>
      </c>
      <c r="C185" s="25" t="s">
        <v>2774</v>
      </c>
      <c r="D185" s="25" t="s">
        <v>2775</v>
      </c>
      <c r="E185" s="25" t="s">
        <v>1337</v>
      </c>
      <c r="G185" s="25" t="s">
        <v>2776</v>
      </c>
      <c r="I185" s="25" t="s">
        <v>2777</v>
      </c>
      <c r="J185" s="25" t="s">
        <v>2778</v>
      </c>
      <c r="K185" s="25" t="s">
        <v>1043</v>
      </c>
      <c r="L185" s="25" t="s">
        <v>2779</v>
      </c>
      <c r="M185" s="25" t="s">
        <v>2774</v>
      </c>
      <c r="N185" s="25" t="s">
        <v>1233</v>
      </c>
      <c r="P185" s="25" t="s">
        <v>1226</v>
      </c>
      <c r="Q185" s="25" t="s">
        <v>1233</v>
      </c>
      <c r="S185" s="25" t="s">
        <v>2780</v>
      </c>
      <c r="T185" s="25" t="s">
        <v>2781</v>
      </c>
      <c r="V185" s="25" t="str">
        <f>VLOOKUP(J185,'records (2)'!$A:$Z,16,FALSE)</f>
        <v>gabriel.dalin@ball.com</v>
      </c>
    </row>
    <row r="186" spans="1:22" hidden="1">
      <c r="A186" s="25" t="s">
        <v>855</v>
      </c>
      <c r="B186" s="25" t="s">
        <v>854</v>
      </c>
      <c r="C186" s="25" t="s">
        <v>2782</v>
      </c>
      <c r="D186" s="25" t="s">
        <v>2783</v>
      </c>
      <c r="E186" s="25" t="s">
        <v>1337</v>
      </c>
      <c r="G186" s="25" t="s">
        <v>2784</v>
      </c>
      <c r="I186" s="25" t="s">
        <v>2785</v>
      </c>
      <c r="J186" s="25" t="s">
        <v>2786</v>
      </c>
      <c r="K186" s="25" t="s">
        <v>853</v>
      </c>
      <c r="L186" s="25" t="s">
        <v>2787</v>
      </c>
      <c r="M186" s="25" t="s">
        <v>2782</v>
      </c>
      <c r="N186" s="25" t="s">
        <v>1233</v>
      </c>
      <c r="P186" s="25" t="s">
        <v>1226</v>
      </c>
      <c r="Q186" s="25" t="s">
        <v>1233</v>
      </c>
      <c r="S186" s="25" t="s">
        <v>2788</v>
      </c>
      <c r="T186" s="25" t="s">
        <v>2789</v>
      </c>
      <c r="V186" s="25" t="str">
        <f>VLOOKUP(J186,'records (2)'!$A:$Z,16,FALSE)</f>
        <v>gaelle.demeule@st-ji.com</v>
      </c>
    </row>
    <row r="187" spans="1:22" hidden="1">
      <c r="A187" s="25" t="s">
        <v>522</v>
      </c>
      <c r="B187" s="25" t="s">
        <v>521</v>
      </c>
      <c r="C187" s="25" t="s">
        <v>2790</v>
      </c>
      <c r="D187" s="25" t="s">
        <v>2791</v>
      </c>
      <c r="E187" s="25" t="s">
        <v>1337</v>
      </c>
      <c r="G187" s="25" t="s">
        <v>2792</v>
      </c>
      <c r="I187" s="25" t="s">
        <v>2793</v>
      </c>
      <c r="J187" s="25" t="s">
        <v>2794</v>
      </c>
      <c r="K187" s="25" t="s">
        <v>519</v>
      </c>
      <c r="L187" s="25" t="s">
        <v>2795</v>
      </c>
      <c r="M187" s="25" t="s">
        <v>2790</v>
      </c>
      <c r="N187" s="25" t="s">
        <v>1233</v>
      </c>
      <c r="P187" s="25" t="s">
        <v>1226</v>
      </c>
      <c r="Q187" s="25" t="s">
        <v>1233</v>
      </c>
      <c r="S187" s="25" t="s">
        <v>2796</v>
      </c>
      <c r="T187" s="25" t="s">
        <v>2797</v>
      </c>
      <c r="V187" s="25" t="str">
        <f>VLOOKUP(J187,'records (2)'!$A:$Z,16,FALSE)</f>
        <v>virginie.jouve@eur.crowncork.com</v>
      </c>
    </row>
    <row r="188" spans="1:22" hidden="1">
      <c r="A188" s="25" t="s">
        <v>112</v>
      </c>
      <c r="B188" s="25" t="s">
        <v>111</v>
      </c>
      <c r="C188" s="25" t="s">
        <v>111</v>
      </c>
      <c r="D188" s="25" t="s">
        <v>2798</v>
      </c>
      <c r="E188" s="25" t="s">
        <v>1337</v>
      </c>
      <c r="G188" s="25" t="s">
        <v>2799</v>
      </c>
      <c r="I188" s="25" t="s">
        <v>2800</v>
      </c>
      <c r="J188" s="25" t="s">
        <v>1266</v>
      </c>
      <c r="K188" s="25" t="s">
        <v>109</v>
      </c>
      <c r="L188" s="25" t="s">
        <v>2801</v>
      </c>
      <c r="M188" s="25" t="s">
        <v>111</v>
      </c>
      <c r="N188" s="25" t="s">
        <v>1233</v>
      </c>
      <c r="P188" s="25" t="s">
        <v>1226</v>
      </c>
      <c r="Q188" s="25" t="s">
        <v>1233</v>
      </c>
      <c r="S188" s="25" t="s">
        <v>2802</v>
      </c>
      <c r="T188" s="25" t="s">
        <v>2803</v>
      </c>
      <c r="V188" s="25" t="str">
        <f>VLOOKUP(J188,'records (2)'!$A:$Z,16,FALSE)</f>
        <v>gfaucher@littelfuse.com</v>
      </c>
    </row>
    <row r="189" spans="1:22" hidden="1">
      <c r="A189" s="25" t="s">
        <v>564</v>
      </c>
      <c r="B189" s="25" t="s">
        <v>563</v>
      </c>
      <c r="C189" s="25" t="s">
        <v>2804</v>
      </c>
      <c r="D189" s="25" t="s">
        <v>2805</v>
      </c>
      <c r="E189" s="25" t="s">
        <v>1337</v>
      </c>
      <c r="F189" s="25" t="s">
        <v>2333</v>
      </c>
      <c r="G189" s="25" t="s">
        <v>2806</v>
      </c>
      <c r="I189" s="25" t="s">
        <v>2807</v>
      </c>
      <c r="J189" s="25" t="s">
        <v>2808</v>
      </c>
      <c r="K189" s="25" t="s">
        <v>561</v>
      </c>
      <c r="L189" s="25" t="s">
        <v>2809</v>
      </c>
      <c r="M189" s="25" t="s">
        <v>2804</v>
      </c>
      <c r="N189" s="25" t="s">
        <v>1233</v>
      </c>
      <c r="P189" s="25" t="s">
        <v>1226</v>
      </c>
      <c r="Q189" s="25" t="s">
        <v>1233</v>
      </c>
      <c r="S189" s="25" t="s">
        <v>2810</v>
      </c>
      <c r="T189" s="25" t="s">
        <v>2811</v>
      </c>
      <c r="V189" s="25" t="str">
        <f>VLOOKUP(J189,'records (2)'!$A:$Z,16,FALSE)</f>
        <v>helene.valaize@estivin.fr</v>
      </c>
    </row>
    <row r="190" spans="1:22" hidden="1">
      <c r="A190" s="25" t="s">
        <v>702</v>
      </c>
      <c r="B190" s="25" t="s">
        <v>701</v>
      </c>
      <c r="C190" s="25" t="s">
        <v>2812</v>
      </c>
      <c r="D190" s="25" t="s">
        <v>2813</v>
      </c>
      <c r="E190" s="25" t="s">
        <v>1337</v>
      </c>
      <c r="G190" s="25" t="s">
        <v>2814</v>
      </c>
      <c r="I190" s="25" t="s">
        <v>2815</v>
      </c>
      <c r="J190" s="25" t="s">
        <v>2816</v>
      </c>
      <c r="K190" s="25" t="s">
        <v>699</v>
      </c>
      <c r="L190" s="25" t="s">
        <v>2817</v>
      </c>
      <c r="M190" s="25" t="s">
        <v>2812</v>
      </c>
      <c r="N190" s="25" t="s">
        <v>1233</v>
      </c>
      <c r="P190" s="25" t="s">
        <v>1226</v>
      </c>
      <c r="Q190" s="25" t="s">
        <v>1233</v>
      </c>
      <c r="S190" s="25" t="s">
        <v>2818</v>
      </c>
      <c r="T190" s="25" t="s">
        <v>2819</v>
      </c>
      <c r="V190" s="25" t="str">
        <f>VLOOKUP(J190,'records (2)'!$A:$Z,16,FALSE)</f>
        <v>hmcinvoices@hmclause.com</v>
      </c>
    </row>
    <row r="191" spans="1:22" hidden="1">
      <c r="A191" s="25" t="s">
        <v>876</v>
      </c>
      <c r="B191" s="25" t="s">
        <v>875</v>
      </c>
      <c r="C191" s="25" t="s">
        <v>2820</v>
      </c>
      <c r="D191" s="25" t="s">
        <v>2821</v>
      </c>
      <c r="E191" s="25" t="s">
        <v>1337</v>
      </c>
      <c r="F191" s="25" t="s">
        <v>1847</v>
      </c>
      <c r="G191" s="25" t="s">
        <v>2822</v>
      </c>
      <c r="I191" s="25" t="s">
        <v>2823</v>
      </c>
      <c r="J191" s="25" t="s">
        <v>2824</v>
      </c>
      <c r="K191" s="25" t="s">
        <v>874</v>
      </c>
      <c r="L191" s="25" t="s">
        <v>2825</v>
      </c>
      <c r="M191" s="25" t="s">
        <v>2820</v>
      </c>
      <c r="N191" s="25" t="s">
        <v>1233</v>
      </c>
      <c r="P191" s="25" t="s">
        <v>1226</v>
      </c>
      <c r="Q191" s="25" t="s">
        <v>1233</v>
      </c>
      <c r="S191" s="25" t="s">
        <v>2826</v>
      </c>
      <c r="T191" s="25" t="s">
        <v>2827</v>
      </c>
      <c r="V191" s="25" t="str">
        <f>VLOOKUP(J191,'records (2)'!$A:$Z,16,FALSE)</f>
        <v>i.leroy@sarrel.com</v>
      </c>
    </row>
    <row r="192" spans="1:22" hidden="1">
      <c r="A192" s="25" t="s">
        <v>92</v>
      </c>
      <c r="B192" s="25" t="s">
        <v>91</v>
      </c>
      <c r="C192" s="25" t="s">
        <v>2828</v>
      </c>
      <c r="D192" s="25" t="s">
        <v>2829</v>
      </c>
      <c r="E192" s="25" t="s">
        <v>1337</v>
      </c>
      <c r="G192" s="25" t="s">
        <v>2305</v>
      </c>
      <c r="I192" s="25" t="s">
        <v>2830</v>
      </c>
      <c r="J192" s="25" t="s">
        <v>1264</v>
      </c>
      <c r="K192" s="25" t="s">
        <v>89</v>
      </c>
      <c r="L192" s="25" t="s">
        <v>2831</v>
      </c>
      <c r="M192" s="25" t="s">
        <v>2828</v>
      </c>
      <c r="N192" s="25" t="s">
        <v>1233</v>
      </c>
      <c r="P192" s="25" t="s">
        <v>1226</v>
      </c>
      <c r="Q192" s="25" t="s">
        <v>1233</v>
      </c>
      <c r="S192" s="25" t="s">
        <v>2832</v>
      </c>
      <c r="T192" s="25" t="s">
        <v>2833</v>
      </c>
      <c r="V192" s="25" t="str">
        <f>VLOOKUP(J192,'records (2)'!$A:$Z,16,FALSE)</f>
        <v>charlene.lebailly@basf.com</v>
      </c>
    </row>
    <row r="193" spans="1:22" hidden="1">
      <c r="A193" s="25" t="s">
        <v>501</v>
      </c>
      <c r="B193" s="25" t="s">
        <v>500</v>
      </c>
      <c r="C193" s="25" t="s">
        <v>2834</v>
      </c>
      <c r="D193" s="25" t="s">
        <v>2835</v>
      </c>
      <c r="E193" s="25" t="s">
        <v>1337</v>
      </c>
      <c r="G193" s="25" t="s">
        <v>2836</v>
      </c>
      <c r="I193" s="25" t="s">
        <v>2837</v>
      </c>
      <c r="J193" s="25" t="s">
        <v>2838</v>
      </c>
      <c r="K193" s="25" t="s">
        <v>498</v>
      </c>
      <c r="L193" s="25" t="s">
        <v>2839</v>
      </c>
      <c r="M193" s="25" t="s">
        <v>2834</v>
      </c>
      <c r="N193" s="25" t="s">
        <v>1233</v>
      </c>
      <c r="P193" s="25" t="s">
        <v>1226</v>
      </c>
      <c r="Q193" s="25" t="s">
        <v>1233</v>
      </c>
      <c r="S193" s="25" t="s">
        <v>2840</v>
      </c>
      <c r="T193" s="25" t="s">
        <v>2841</v>
      </c>
      <c r="V193" s="25" t="str">
        <f>VLOOKUP(J193,'records (2)'!$A:$Z,16,FALSE)</f>
        <v>atakorah.olivia@cofel.biz</v>
      </c>
    </row>
    <row r="194" spans="1:22" hidden="1">
      <c r="A194" s="25" t="s">
        <v>770</v>
      </c>
      <c r="B194" s="25" t="s">
        <v>769</v>
      </c>
      <c r="C194" s="25" t="s">
        <v>2842</v>
      </c>
      <c r="D194" s="25" t="s">
        <v>2843</v>
      </c>
      <c r="E194" s="25" t="s">
        <v>1337</v>
      </c>
      <c r="G194" s="25" t="s">
        <v>2844</v>
      </c>
      <c r="I194" s="25" t="s">
        <v>2845</v>
      </c>
      <c r="J194" s="25" t="s">
        <v>2846</v>
      </c>
      <c r="K194" s="25" t="s">
        <v>767</v>
      </c>
      <c r="L194" s="25" t="s">
        <v>2847</v>
      </c>
      <c r="M194" s="25" t="s">
        <v>2842</v>
      </c>
      <c r="N194" s="25" t="s">
        <v>1233</v>
      </c>
      <c r="P194" s="25" t="s">
        <v>1226</v>
      </c>
      <c r="Q194" s="25" t="s">
        <v>1233</v>
      </c>
      <c r="S194" s="25" t="s">
        <v>2848</v>
      </c>
      <c r="T194" s="25" t="s">
        <v>2849</v>
      </c>
      <c r="V194" s="25" t="str">
        <f>VLOOKUP(J194,'records (2)'!$A:$Z,16,FALSE)</f>
        <v>arnaud.raulet@mewa.fr</v>
      </c>
    </row>
    <row r="195" spans="1:22" hidden="1">
      <c r="A195" s="25" t="s">
        <v>272</v>
      </c>
      <c r="B195" s="25" t="s">
        <v>271</v>
      </c>
      <c r="C195" s="25" t="s">
        <v>2850</v>
      </c>
      <c r="D195" s="25" t="s">
        <v>2851</v>
      </c>
      <c r="E195" s="25" t="s">
        <v>1337</v>
      </c>
      <c r="G195" s="25" t="s">
        <v>2852</v>
      </c>
      <c r="I195" s="25" t="s">
        <v>2853</v>
      </c>
      <c r="J195" s="25" t="s">
        <v>2854</v>
      </c>
      <c r="K195" s="25" t="s">
        <v>269</v>
      </c>
      <c r="L195" s="25" t="s">
        <v>2855</v>
      </c>
      <c r="M195" s="25" t="s">
        <v>2850</v>
      </c>
      <c r="N195" s="25" t="s">
        <v>1233</v>
      </c>
      <c r="P195" s="25" t="s">
        <v>1226</v>
      </c>
      <c r="Q195" s="25" t="s">
        <v>1233</v>
      </c>
      <c r="S195" s="25" t="s">
        <v>2856</v>
      </c>
      <c r="T195" s="25" t="s">
        <v>2857</v>
      </c>
      <c r="V195" s="25" t="str">
        <f>VLOOKUP(J195,'records (2)'!$A:$Z,16,FALSE)</f>
        <v>invoice@mavic.com</v>
      </c>
    </row>
    <row r="196" spans="1:22" hidden="1">
      <c r="A196" s="25" t="s">
        <v>1066</v>
      </c>
      <c r="B196" s="25" t="s">
        <v>1065</v>
      </c>
      <c r="C196" s="25" t="s">
        <v>2858</v>
      </c>
      <c r="D196" s="25" t="s">
        <v>2859</v>
      </c>
      <c r="E196" s="25" t="s">
        <v>1337</v>
      </c>
      <c r="G196" s="25" t="s">
        <v>2860</v>
      </c>
      <c r="I196" s="25" t="s">
        <v>2861</v>
      </c>
      <c r="J196" s="25" t="s">
        <v>1313</v>
      </c>
      <c r="K196" s="25" t="s">
        <v>1064</v>
      </c>
      <c r="L196" s="25" t="s">
        <v>2862</v>
      </c>
      <c r="M196" s="25" t="s">
        <v>2858</v>
      </c>
      <c r="N196" s="25" t="s">
        <v>1233</v>
      </c>
      <c r="P196" s="25" t="s">
        <v>1226</v>
      </c>
      <c r="Q196" s="25" t="s">
        <v>1233</v>
      </c>
      <c r="S196" s="25" t="s">
        <v>2863</v>
      </c>
      <c r="T196" s="25" t="s">
        <v>2864</v>
      </c>
      <c r="V196" s="25" t="str">
        <f>VLOOKUP(J196,'records (2)'!$A:$Z,16,FALSE)</f>
        <v>am.hund@minitubes.com</v>
      </c>
    </row>
    <row r="197" spans="1:22" hidden="1">
      <c r="A197" s="25" t="s">
        <v>51</v>
      </c>
      <c r="B197" s="25" t="s">
        <v>50</v>
      </c>
      <c r="C197" s="25" t="s">
        <v>2865</v>
      </c>
      <c r="D197" s="25" t="s">
        <v>2866</v>
      </c>
      <c r="E197" s="25" t="s">
        <v>1337</v>
      </c>
      <c r="G197" s="25" t="s">
        <v>2867</v>
      </c>
      <c r="I197" s="25" t="s">
        <v>2868</v>
      </c>
      <c r="J197" s="25" t="s">
        <v>2869</v>
      </c>
      <c r="K197" s="25" t="s">
        <v>49</v>
      </c>
      <c r="L197" s="25" t="s">
        <v>2870</v>
      </c>
      <c r="M197" s="25" t="s">
        <v>2865</v>
      </c>
      <c r="N197" s="25" t="s">
        <v>1233</v>
      </c>
      <c r="P197" s="25" t="s">
        <v>2871</v>
      </c>
      <c r="Q197" s="25" t="s">
        <v>1233</v>
      </c>
      <c r="S197" s="25" t="s">
        <v>2872</v>
      </c>
      <c r="T197" s="25" t="s">
        <v>2873</v>
      </c>
      <c r="V197" s="25" t="str">
        <f>VLOOKUP(J197,'records (2)'!$A:$Z,16,FALSE)</f>
        <v>sabrina.gonnaud@ipaper.com</v>
      </c>
    </row>
    <row r="198" spans="1:22" hidden="1">
      <c r="A198" s="25" t="s">
        <v>848</v>
      </c>
      <c r="B198" s="25" t="s">
        <v>847</v>
      </c>
      <c r="C198" s="25" t="s">
        <v>2874</v>
      </c>
      <c r="D198" s="25" t="s">
        <v>2875</v>
      </c>
      <c r="E198" s="25" t="s">
        <v>1337</v>
      </c>
      <c r="F198" s="25" t="s">
        <v>2876</v>
      </c>
      <c r="G198" s="25" t="s">
        <v>2877</v>
      </c>
      <c r="I198" s="25" t="s">
        <v>2878</v>
      </c>
      <c r="J198" s="25" t="s">
        <v>2879</v>
      </c>
      <c r="K198" s="25" t="s">
        <v>846</v>
      </c>
      <c r="L198" s="25" t="s">
        <v>2880</v>
      </c>
      <c r="M198" s="25" t="s">
        <v>2874</v>
      </c>
      <c r="N198" s="25" t="s">
        <v>1233</v>
      </c>
      <c r="P198" s="25" t="s">
        <v>1226</v>
      </c>
      <c r="Q198" s="25" t="s">
        <v>1233</v>
      </c>
      <c r="S198" s="25" t="s">
        <v>2881</v>
      </c>
      <c r="T198" s="25" t="s">
        <v>2882</v>
      </c>
      <c r="V198" s="25" t="str">
        <f>VLOOKUP(J198,'records (2)'!$A:$Z,16,FALSE)</f>
        <v>charline.pescatori@sacmi.fr</v>
      </c>
    </row>
    <row r="199" spans="1:22" hidden="1">
      <c r="A199" s="25" t="s">
        <v>135</v>
      </c>
      <c r="B199" s="25" t="s">
        <v>134</v>
      </c>
      <c r="C199" s="25" t="s">
        <v>134</v>
      </c>
      <c r="D199" s="25" t="s">
        <v>2883</v>
      </c>
      <c r="E199" s="25" t="s">
        <v>1337</v>
      </c>
      <c r="G199" s="25" t="s">
        <v>2884</v>
      </c>
      <c r="I199" s="25" t="s">
        <v>2885</v>
      </c>
      <c r="J199" s="25" t="s">
        <v>2886</v>
      </c>
      <c r="K199" s="25" t="s">
        <v>132</v>
      </c>
      <c r="L199" s="25" t="s">
        <v>2887</v>
      </c>
      <c r="M199" s="25" t="s">
        <v>134</v>
      </c>
      <c r="N199" s="25" t="s">
        <v>1233</v>
      </c>
      <c r="P199" s="25" t="s">
        <v>1226</v>
      </c>
      <c r="Q199" s="25" t="s">
        <v>1233</v>
      </c>
      <c r="S199" s="25" t="s">
        <v>2888</v>
      </c>
      <c r="T199" s="25" t="s">
        <v>2889</v>
      </c>
      <c r="V199" s="25" t="str">
        <f>VLOOKUP(J199,'records (2)'!$A:$Z,16,FALSE)</f>
        <v>elodie.henriot@daregal.fr</v>
      </c>
    </row>
    <row r="200" spans="1:22" hidden="1">
      <c r="A200" s="25" t="s">
        <v>691</v>
      </c>
      <c r="B200" s="25" t="s">
        <v>690</v>
      </c>
      <c r="C200" s="25" t="s">
        <v>2890</v>
      </c>
      <c r="D200" s="25" t="s">
        <v>2891</v>
      </c>
      <c r="E200" s="25" t="s">
        <v>1337</v>
      </c>
      <c r="G200" s="25" t="s">
        <v>2892</v>
      </c>
      <c r="I200" s="25" t="s">
        <v>2893</v>
      </c>
      <c r="J200" s="25" t="s">
        <v>2894</v>
      </c>
      <c r="K200" s="25" t="s">
        <v>688</v>
      </c>
      <c r="L200" s="25" t="s">
        <v>2895</v>
      </c>
      <c r="M200" s="25" t="s">
        <v>2890</v>
      </c>
      <c r="N200" s="25" t="s">
        <v>1233</v>
      </c>
      <c r="P200" s="25" t="s">
        <v>1226</v>
      </c>
      <c r="Q200" s="25" t="s">
        <v>1233</v>
      </c>
      <c r="S200" s="25" t="s">
        <v>2896</v>
      </c>
      <c r="T200" s="25" t="s">
        <v>2897</v>
      </c>
      <c r="V200" s="25" t="str">
        <f>VLOOKUP(J200,'records (2)'!$A:$Z,16,FALSE)</f>
        <v>invoice-fr@haribo.com</v>
      </c>
    </row>
    <row r="201" spans="1:22" hidden="1">
      <c r="A201" s="25" t="s">
        <v>748</v>
      </c>
      <c r="B201" s="25" t="s">
        <v>747</v>
      </c>
      <c r="C201" s="25" t="s">
        <v>2898</v>
      </c>
      <c r="D201" s="25" t="s">
        <v>1454</v>
      </c>
      <c r="E201" s="25" t="s">
        <v>1337</v>
      </c>
      <c r="G201" s="25" t="s">
        <v>2899</v>
      </c>
      <c r="I201" s="25" t="s">
        <v>2900</v>
      </c>
      <c r="J201" s="25" t="s">
        <v>2901</v>
      </c>
      <c r="K201" s="25" t="s">
        <v>745</v>
      </c>
      <c r="L201" s="25" t="s">
        <v>2902</v>
      </c>
      <c r="M201" s="25" t="s">
        <v>2898</v>
      </c>
      <c r="N201" s="25" t="s">
        <v>1233</v>
      </c>
      <c r="P201" s="25" t="s">
        <v>1226</v>
      </c>
      <c r="Q201" s="25" t="s">
        <v>1233</v>
      </c>
      <c r="S201" s="25" t="s">
        <v>2903</v>
      </c>
      <c r="T201" s="25" t="s">
        <v>2904</v>
      </c>
      <c r="V201" s="25" t="str">
        <f>VLOOKUP(J201,'records (2)'!$A:$Z,16,FALSE)</f>
        <v>ifalhun@lindt.com</v>
      </c>
    </row>
    <row r="202" spans="1:22" hidden="1">
      <c r="A202" s="25" t="s">
        <v>287</v>
      </c>
      <c r="B202" s="25" t="s">
        <v>286</v>
      </c>
      <c r="C202" s="25" t="s">
        <v>2905</v>
      </c>
      <c r="D202" s="25" t="s">
        <v>2906</v>
      </c>
      <c r="E202" s="25" t="s">
        <v>1337</v>
      </c>
      <c r="G202" s="25" t="s">
        <v>2907</v>
      </c>
      <c r="I202" s="25" t="s">
        <v>2908</v>
      </c>
      <c r="J202" s="25" t="s">
        <v>2909</v>
      </c>
      <c r="K202" s="25" t="s">
        <v>285</v>
      </c>
      <c r="L202" s="25" t="s">
        <v>2910</v>
      </c>
      <c r="M202" s="25" t="s">
        <v>2905</v>
      </c>
      <c r="P202" s="25" t="s">
        <v>1226</v>
      </c>
      <c r="Q202" s="25" t="s">
        <v>1233</v>
      </c>
      <c r="S202" s="25" t="s">
        <v>2911</v>
      </c>
      <c r="T202" s="25" t="s">
        <v>2912</v>
      </c>
      <c r="V202" s="25" t="str">
        <f>VLOOKUP(J202,'records (2)'!$A:$Z,16,FALSE)</f>
        <v>ap.courville@metalor.com</v>
      </c>
    </row>
    <row r="203" spans="1:22" hidden="1">
      <c r="A203" s="25" t="s">
        <v>284</v>
      </c>
      <c r="B203" s="25" t="s">
        <v>283</v>
      </c>
      <c r="C203" s="25" t="s">
        <v>2913</v>
      </c>
      <c r="D203" s="25" t="s">
        <v>1944</v>
      </c>
      <c r="E203" s="25" t="s">
        <v>1337</v>
      </c>
      <c r="G203" s="25" t="s">
        <v>1945</v>
      </c>
      <c r="I203" s="25" t="s">
        <v>2914</v>
      </c>
      <c r="J203" s="25" t="s">
        <v>2915</v>
      </c>
      <c r="K203" s="25" t="s">
        <v>281</v>
      </c>
      <c r="L203" s="25" t="s">
        <v>2916</v>
      </c>
      <c r="M203" s="25" t="s">
        <v>2913</v>
      </c>
      <c r="N203" s="25" t="s">
        <v>1233</v>
      </c>
      <c r="P203" s="25" t="s">
        <v>1226</v>
      </c>
      <c r="Q203" s="25" t="s">
        <v>1233</v>
      </c>
      <c r="S203" s="25" t="s">
        <v>2917</v>
      </c>
      <c r="T203" s="25" t="s">
        <v>2918</v>
      </c>
      <c r="V203" s="25" t="str">
        <f>VLOOKUP(J203,'records (2)'!$A:$Z,16,FALSE)</f>
        <v>luna.dasilvamarques@mersen.com</v>
      </c>
    </row>
    <row r="204" spans="1:22" hidden="1">
      <c r="A204" s="25" t="s">
        <v>398</v>
      </c>
      <c r="B204" s="25" t="s">
        <v>397</v>
      </c>
      <c r="C204" s="25" t="s">
        <v>2919</v>
      </c>
      <c r="D204" s="25" t="s">
        <v>2434</v>
      </c>
      <c r="E204" s="25" t="s">
        <v>1337</v>
      </c>
      <c r="G204" s="25" t="s">
        <v>2435</v>
      </c>
      <c r="I204" s="25" t="s">
        <v>2920</v>
      </c>
      <c r="J204" s="25" t="s">
        <v>1274</v>
      </c>
      <c r="K204" s="25" t="s">
        <v>395</v>
      </c>
      <c r="L204" s="25" t="s">
        <v>2921</v>
      </c>
      <c r="M204" s="25" t="s">
        <v>2919</v>
      </c>
      <c r="N204" s="25" t="s">
        <v>1233</v>
      </c>
      <c r="P204" s="25" t="s">
        <v>1226</v>
      </c>
      <c r="Q204" s="25" t="s">
        <v>1233</v>
      </c>
      <c r="S204" s="25" t="s">
        <v>2922</v>
      </c>
      <c r="T204" s="25" t="s">
        <v>2923</v>
      </c>
      <c r="V204" s="25" t="str">
        <f>VLOOKUP(J204,'records (2)'!$A:$Z,16,FALSE)</f>
        <v>invoices.upsa.fr@upsa-ph.com</v>
      </c>
    </row>
    <row r="205" spans="1:22" hidden="1">
      <c r="A205" s="25" t="s">
        <v>157</v>
      </c>
      <c r="B205" s="25" t="s">
        <v>156</v>
      </c>
      <c r="C205" s="25" t="s">
        <v>2924</v>
      </c>
      <c r="D205" s="25" t="s">
        <v>2925</v>
      </c>
      <c r="E205" s="25" t="s">
        <v>1337</v>
      </c>
      <c r="G205" s="25" t="s">
        <v>2926</v>
      </c>
      <c r="I205" s="25" t="s">
        <v>2927</v>
      </c>
      <c r="J205" s="25" t="s">
        <v>2928</v>
      </c>
      <c r="K205" s="25" t="s">
        <v>154</v>
      </c>
      <c r="L205" s="25" t="s">
        <v>2929</v>
      </c>
      <c r="M205" s="25" t="s">
        <v>2924</v>
      </c>
      <c r="N205" s="25" t="s">
        <v>1233</v>
      </c>
      <c r="P205" s="25" t="s">
        <v>1226</v>
      </c>
      <c r="Q205" s="25" t="s">
        <v>1233</v>
      </c>
      <c r="S205" s="25" t="s">
        <v>2930</v>
      </c>
      <c r="T205" s="25" t="s">
        <v>2931</v>
      </c>
      <c r="V205" s="25" t="str">
        <f>VLOOKUP(J205,'records (2)'!$A:$Z,16,FALSE)</f>
        <v>invoices@fieldturftarkett.com</v>
      </c>
    </row>
    <row r="206" spans="1:22" hidden="1">
      <c r="A206" s="25" t="s">
        <v>243</v>
      </c>
      <c r="B206" s="25" t="s">
        <v>242</v>
      </c>
      <c r="C206" s="25" t="s">
        <v>2932</v>
      </c>
      <c r="D206" s="25" t="s">
        <v>2933</v>
      </c>
      <c r="E206" s="25" t="s">
        <v>1337</v>
      </c>
      <c r="F206" s="25" t="s">
        <v>2934</v>
      </c>
      <c r="G206" s="25" t="s">
        <v>2935</v>
      </c>
      <c r="I206" s="25" t="s">
        <v>2936</v>
      </c>
      <c r="J206" s="25" t="s">
        <v>2937</v>
      </c>
      <c r="K206" s="25" t="s">
        <v>241</v>
      </c>
      <c r="L206" s="25" t="s">
        <v>2938</v>
      </c>
      <c r="M206" s="25" t="s">
        <v>2932</v>
      </c>
      <c r="N206" s="25" t="s">
        <v>1233</v>
      </c>
      <c r="P206" s="25" t="s">
        <v>1226</v>
      </c>
      <c r="Q206" s="25" t="s">
        <v>1233</v>
      </c>
      <c r="S206" s="25" t="s">
        <v>2939</v>
      </c>
      <c r="T206" s="25" t="s">
        <v>2940</v>
      </c>
      <c r="V206" s="25" t="str">
        <f>VLOOKUP(J206,'records (2)'!$A:$Z,16,FALSE)</f>
        <v>invoices@redoute.com</v>
      </c>
    </row>
    <row r="207" spans="1:22" hidden="1">
      <c r="A207" s="25" t="s">
        <v>213</v>
      </c>
      <c r="B207" s="25" t="s">
        <v>212</v>
      </c>
      <c r="C207" s="25" t="s">
        <v>212</v>
      </c>
      <c r="D207" s="25" t="s">
        <v>1454</v>
      </c>
      <c r="E207" s="25" t="s">
        <v>1337</v>
      </c>
      <c r="G207" s="25" t="s">
        <v>2941</v>
      </c>
      <c r="I207" s="25" t="s">
        <v>2942</v>
      </c>
      <c r="J207" s="25" t="s">
        <v>1279</v>
      </c>
      <c r="K207" s="25" t="s">
        <v>210</v>
      </c>
      <c r="L207" s="25" t="s">
        <v>2943</v>
      </c>
      <c r="M207" s="25" t="s">
        <v>212</v>
      </c>
      <c r="N207" s="25" t="s">
        <v>1233</v>
      </c>
      <c r="P207" s="25" t="s">
        <v>1226</v>
      </c>
      <c r="Q207" s="25" t="s">
        <v>1233</v>
      </c>
      <c r="S207" s="25" t="s">
        <v>2944</v>
      </c>
      <c r="T207" s="25" t="s">
        <v>2945</v>
      </c>
      <c r="V207" s="25" t="str">
        <f>VLOOKUP(J207,'records (2)'!$A:$Z,16,FALSE)</f>
        <v>sophie.planas@imerys.com</v>
      </c>
    </row>
    <row r="208" spans="1:22" hidden="1">
      <c r="A208" s="25" t="s">
        <v>821</v>
      </c>
      <c r="B208" s="25" t="s">
        <v>820</v>
      </c>
      <c r="C208" s="25" t="s">
        <v>2946</v>
      </c>
      <c r="D208" s="25" t="s">
        <v>2947</v>
      </c>
      <c r="E208" s="25" t="s">
        <v>1337</v>
      </c>
      <c r="G208" s="25" t="s">
        <v>2435</v>
      </c>
      <c r="I208" s="25" t="s">
        <v>2948</v>
      </c>
      <c r="J208" s="25" t="s">
        <v>2949</v>
      </c>
      <c r="K208" s="25" t="s">
        <v>818</v>
      </c>
      <c r="L208" s="25" t="s">
        <v>2950</v>
      </c>
      <c r="M208" s="25" t="s">
        <v>2946</v>
      </c>
      <c r="N208" s="25" t="s">
        <v>1233</v>
      </c>
      <c r="P208" s="25" t="s">
        <v>1226</v>
      </c>
      <c r="Q208" s="25" t="s">
        <v>1233</v>
      </c>
      <c r="S208" s="25" t="s">
        <v>2951</v>
      </c>
      <c r="T208" s="25" t="s">
        <v>2952</v>
      </c>
      <c r="V208" s="25">
        <f>VLOOKUP(J208,'records (2)'!$A:$Z,16,FALSE)</f>
        <v>0</v>
      </c>
    </row>
    <row r="209" spans="1:22" hidden="1">
      <c r="A209" s="25" t="s">
        <v>644</v>
      </c>
      <c r="B209" s="25" t="s">
        <v>643</v>
      </c>
      <c r="C209" s="25" t="s">
        <v>2953</v>
      </c>
      <c r="D209" s="25" t="s">
        <v>2954</v>
      </c>
      <c r="E209" s="25" t="s">
        <v>1337</v>
      </c>
      <c r="G209" s="25" t="s">
        <v>2955</v>
      </c>
      <c r="I209" s="25" t="s">
        <v>2956</v>
      </c>
      <c r="J209" s="25" t="s">
        <v>2957</v>
      </c>
      <c r="K209" s="25" t="s">
        <v>641</v>
      </c>
      <c r="L209" s="25" t="s">
        <v>2958</v>
      </c>
      <c r="M209" s="25" t="s">
        <v>2953</v>
      </c>
      <c r="N209" s="25" t="s">
        <v>1233</v>
      </c>
      <c r="P209" s="25" t="s">
        <v>1226</v>
      </c>
      <c r="Q209" s="25" t="s">
        <v>1233</v>
      </c>
      <c r="S209" s="25" t="s">
        <v>2959</v>
      </c>
      <c r="T209" s="25" t="s">
        <v>2960</v>
      </c>
      <c r="V209" s="25" t="str">
        <f>VLOOKUP(J209,'records (2)'!$A:$Z,16,FALSE)</f>
        <v>contarin.m@gindre.com</v>
      </c>
    </row>
    <row r="210" spans="1:22" hidden="1">
      <c r="A210" s="25" t="s">
        <v>560</v>
      </c>
      <c r="B210" s="25" t="s">
        <v>559</v>
      </c>
      <c r="C210" s="25" t="s">
        <v>2961</v>
      </c>
      <c r="D210" s="25" t="s">
        <v>2962</v>
      </c>
      <c r="E210" s="25" t="s">
        <v>1337</v>
      </c>
      <c r="G210" s="25" t="s">
        <v>2963</v>
      </c>
      <c r="I210" s="25" t="s">
        <v>2964</v>
      </c>
      <c r="J210" s="25" t="s">
        <v>2965</v>
      </c>
      <c r="K210" s="25" t="s">
        <v>557</v>
      </c>
      <c r="L210" s="25" t="s">
        <v>2966</v>
      </c>
      <c r="M210" s="25" t="s">
        <v>2961</v>
      </c>
      <c r="N210" s="25" t="s">
        <v>1233</v>
      </c>
      <c r="P210" s="25" t="s">
        <v>1226</v>
      </c>
      <c r="Q210" s="25" t="s">
        <v>1233</v>
      </c>
      <c r="S210" s="25" t="s">
        <v>2967</v>
      </c>
      <c r="T210" s="25" t="s">
        <v>2968</v>
      </c>
      <c r="V210" s="25" t="str">
        <f>VLOOKUP(J210,'records (2)'!$A:$Z,16,FALSE)</f>
        <v>isabelle.bruneel@soflacobat.fr</v>
      </c>
    </row>
    <row r="211" spans="1:22" hidden="1">
      <c r="A211" s="25" t="s">
        <v>720</v>
      </c>
      <c r="B211" s="25" t="s">
        <v>719</v>
      </c>
      <c r="C211" s="25" t="s">
        <v>2969</v>
      </c>
      <c r="D211" s="25" t="s">
        <v>2970</v>
      </c>
      <c r="E211" s="25" t="s">
        <v>1337</v>
      </c>
      <c r="G211" s="25" t="s">
        <v>2971</v>
      </c>
      <c r="I211" s="25" t="s">
        <v>2972</v>
      </c>
      <c r="J211" s="25" t="s">
        <v>2973</v>
      </c>
      <c r="K211" s="25" t="s">
        <v>717</v>
      </c>
      <c r="L211" s="25" t="s">
        <v>2974</v>
      </c>
      <c r="M211" s="25" t="s">
        <v>2969</v>
      </c>
      <c r="N211" s="25" t="s">
        <v>1233</v>
      </c>
      <c r="P211" s="25" t="s">
        <v>1226</v>
      </c>
      <c r="Q211" s="25" t="s">
        <v>1233</v>
      </c>
      <c r="S211" s="25" t="s">
        <v>2975</v>
      </c>
      <c r="T211" s="25" t="s">
        <v>2976</v>
      </c>
      <c r="V211" s="25" t="str">
        <f>VLOOKUP(J211,'records (2)'!$A:$Z,16,FALSE)</f>
        <v>y.depasse@kelias.fr</v>
      </c>
    </row>
    <row r="212" spans="1:22" hidden="1">
      <c r="A212" s="25" t="s">
        <v>1117</v>
      </c>
      <c r="B212" s="25" t="s">
        <v>1116</v>
      </c>
      <c r="C212" s="25" t="s">
        <v>2977</v>
      </c>
      <c r="D212" s="25" t="s">
        <v>1967</v>
      </c>
      <c r="E212" s="25" t="s">
        <v>1337</v>
      </c>
      <c r="G212" s="25" t="s">
        <v>1968</v>
      </c>
      <c r="I212" s="25" t="s">
        <v>2978</v>
      </c>
      <c r="J212" s="25" t="s">
        <v>2979</v>
      </c>
      <c r="K212" s="25" t="s">
        <v>1115</v>
      </c>
      <c r="L212" s="25" t="s">
        <v>2980</v>
      </c>
      <c r="M212" s="25" t="s">
        <v>2977</v>
      </c>
      <c r="N212" s="25" t="s">
        <v>1233</v>
      </c>
      <c r="P212" s="25" t="s">
        <v>1226</v>
      </c>
      <c r="Q212" s="25" t="s">
        <v>1233</v>
      </c>
      <c r="S212" s="25" t="s">
        <v>2981</v>
      </c>
      <c r="T212" s="25" t="s">
        <v>2982</v>
      </c>
      <c r="V212" s="25" t="str">
        <f>VLOOKUP(J212,'records (2)'!$A:$Z,16,FALSE)</f>
        <v>jdagoreau@savoy-moulage.com</v>
      </c>
    </row>
    <row r="213" spans="1:22" hidden="1">
      <c r="A213" s="25" t="s">
        <v>139</v>
      </c>
      <c r="B213" s="25" t="s">
        <v>138</v>
      </c>
      <c r="C213" s="25" t="s">
        <v>2983</v>
      </c>
      <c r="D213" s="25" t="s">
        <v>2984</v>
      </c>
      <c r="E213" s="25" t="s">
        <v>1337</v>
      </c>
      <c r="G213" s="25" t="s">
        <v>2985</v>
      </c>
      <c r="I213" s="25" t="s">
        <v>2986</v>
      </c>
      <c r="J213" s="25" t="s">
        <v>2987</v>
      </c>
      <c r="K213" s="25" t="s">
        <v>136</v>
      </c>
      <c r="L213" s="25" t="s">
        <v>2988</v>
      </c>
      <c r="M213" s="25" t="s">
        <v>2983</v>
      </c>
      <c r="N213" s="25" t="s">
        <v>1233</v>
      </c>
      <c r="P213" s="25" t="s">
        <v>1226</v>
      </c>
      <c r="Q213" s="25" t="s">
        <v>1233</v>
      </c>
      <c r="S213" s="25" t="s">
        <v>2989</v>
      </c>
      <c r="T213" s="25" t="s">
        <v>2990</v>
      </c>
      <c r="V213" s="25" t="str">
        <f>VLOOKUP(J213,'records (2)'!$A:$Z,16,FALSE)</f>
        <v>jeremy.rosamond@sa-deneuville.fr</v>
      </c>
    </row>
    <row r="214" spans="1:22" hidden="1">
      <c r="A214" s="25" t="s">
        <v>824</v>
      </c>
      <c r="B214" s="25" t="s">
        <v>823</v>
      </c>
      <c r="C214" s="25" t="s">
        <v>2991</v>
      </c>
      <c r="D214" s="25" t="s">
        <v>2584</v>
      </c>
      <c r="E214" s="25" t="s">
        <v>1337</v>
      </c>
      <c r="G214" s="25" t="s">
        <v>1517</v>
      </c>
      <c r="I214" s="25" t="s">
        <v>2992</v>
      </c>
      <c r="J214" s="25" t="s">
        <v>2993</v>
      </c>
      <c r="K214" s="25" t="s">
        <v>822</v>
      </c>
      <c r="L214" s="25" t="s">
        <v>2994</v>
      </c>
      <c r="M214" s="25" t="s">
        <v>2991</v>
      </c>
      <c r="N214" s="25" t="s">
        <v>1233</v>
      </c>
      <c r="P214" s="25" t="s">
        <v>1226</v>
      </c>
      <c r="Q214" s="25" t="s">
        <v>1233</v>
      </c>
      <c r="S214" s="25" t="s">
        <v>2995</v>
      </c>
      <c r="T214" s="25" t="s">
        <v>2996</v>
      </c>
      <c r="V214" s="25" t="str">
        <f>VLOOKUP(J214,'records (2)'!$A:$Z,16,FALSE)</f>
        <v>jerome.cottereau@qualiform.pro</v>
      </c>
    </row>
    <row r="215" spans="1:22" hidden="1">
      <c r="A215" s="25" t="s">
        <v>80</v>
      </c>
      <c r="B215" s="25" t="s">
        <v>79</v>
      </c>
      <c r="C215" s="25" t="s">
        <v>2997</v>
      </c>
      <c r="D215" s="25" t="s">
        <v>2998</v>
      </c>
      <c r="E215" s="25" t="s">
        <v>1337</v>
      </c>
      <c r="F215" s="25" t="s">
        <v>2333</v>
      </c>
      <c r="G215" s="25" t="s">
        <v>1903</v>
      </c>
      <c r="I215" s="25" t="s">
        <v>2999</v>
      </c>
      <c r="J215" s="25" t="s">
        <v>3000</v>
      </c>
      <c r="K215" s="25" t="s">
        <v>78</v>
      </c>
      <c r="L215" s="25" t="s">
        <v>3001</v>
      </c>
      <c r="M215" s="25" t="s">
        <v>2997</v>
      </c>
      <c r="N215" s="25" t="s">
        <v>1233</v>
      </c>
      <c r="P215" s="25" t="s">
        <v>1226</v>
      </c>
      <c r="Q215" s="25" t="s">
        <v>1233</v>
      </c>
      <c r="S215" s="25" t="s">
        <v>3002</v>
      </c>
      <c r="T215" s="25" t="s">
        <v>3003</v>
      </c>
      <c r="V215" s="25" t="str">
        <f>VLOOKUP(J215,'records (2)'!$A:$Z,16,FALSE)</f>
        <v>julia.rioult@axe-group.com</v>
      </c>
    </row>
    <row r="216" spans="1:22" hidden="1">
      <c r="A216" s="25" t="s">
        <v>628</v>
      </c>
      <c r="B216" s="25" t="s">
        <v>627</v>
      </c>
      <c r="C216" s="25" t="s">
        <v>627</v>
      </c>
      <c r="D216" s="25" t="s">
        <v>3004</v>
      </c>
      <c r="E216" s="25" t="s">
        <v>1337</v>
      </c>
      <c r="G216" s="25" t="s">
        <v>3005</v>
      </c>
      <c r="I216" s="25" t="s">
        <v>3006</v>
      </c>
      <c r="J216" s="25" t="s">
        <v>3007</v>
      </c>
      <c r="K216" s="25" t="s">
        <v>626</v>
      </c>
      <c r="L216" s="25" t="s">
        <v>3008</v>
      </c>
      <c r="M216" s="25" t="s">
        <v>627</v>
      </c>
      <c r="N216" s="25" t="s">
        <v>1233</v>
      </c>
      <c r="P216" s="25" t="s">
        <v>1226</v>
      </c>
      <c r="Q216" s="25" t="s">
        <v>1233</v>
      </c>
      <c r="S216" s="25" t="s">
        <v>3009</v>
      </c>
      <c r="T216" s="25" t="s">
        <v>3010</v>
      </c>
      <c r="V216" s="25" t="str">
        <f>VLOOKUP(J216,'records (2)'!$A:$Z,16,FALSE)</f>
        <v>julie.jerome@gates.com</v>
      </c>
    </row>
    <row r="217" spans="1:22" hidden="1">
      <c r="A217" s="25" t="s">
        <v>1063</v>
      </c>
      <c r="B217" s="25" t="s">
        <v>1062</v>
      </c>
      <c r="C217" s="25" t="s">
        <v>3011</v>
      </c>
      <c r="D217" s="25" t="s">
        <v>3012</v>
      </c>
      <c r="E217" s="25" t="s">
        <v>1337</v>
      </c>
      <c r="G217" s="25" t="s">
        <v>3013</v>
      </c>
      <c r="I217" s="25" t="s">
        <v>3014</v>
      </c>
      <c r="J217" s="25" t="s">
        <v>3015</v>
      </c>
      <c r="K217" s="25" t="s">
        <v>1061</v>
      </c>
      <c r="L217" s="25" t="s">
        <v>3016</v>
      </c>
      <c r="M217" s="25" t="s">
        <v>3011</v>
      </c>
      <c r="N217" s="25" t="s">
        <v>1233</v>
      </c>
      <c r="P217" s="25" t="s">
        <v>1465</v>
      </c>
      <c r="Q217" s="25" t="s">
        <v>1233</v>
      </c>
      <c r="S217" s="25" t="s">
        <v>3017</v>
      </c>
      <c r="T217" s="25" t="s">
        <v>3018</v>
      </c>
      <c r="V217" s="25" t="str">
        <f>VLOOKUP(J217,'records (2)'!$A:$Z,16,FALSE)</f>
        <v>kalistrut.accountpayable@pccairframe.com</v>
      </c>
    </row>
    <row r="218" spans="1:22" hidden="1">
      <c r="A218" s="25" t="s">
        <v>1107</v>
      </c>
      <c r="B218" s="25" t="s">
        <v>1106</v>
      </c>
      <c r="C218" s="25" t="s">
        <v>3019</v>
      </c>
      <c r="D218" s="25" t="s">
        <v>3020</v>
      </c>
      <c r="E218" s="25" t="s">
        <v>1337</v>
      </c>
      <c r="G218" s="25" t="s">
        <v>3021</v>
      </c>
      <c r="I218" s="25" t="s">
        <v>3022</v>
      </c>
      <c r="J218" s="25" t="s">
        <v>3023</v>
      </c>
      <c r="K218" s="25" t="s">
        <v>1104</v>
      </c>
      <c r="L218" s="25" t="s">
        <v>3024</v>
      </c>
      <c r="M218" s="25" t="s">
        <v>3019</v>
      </c>
      <c r="N218" s="25" t="s">
        <v>1233</v>
      </c>
      <c r="P218" s="25" t="s">
        <v>1226</v>
      </c>
      <c r="Q218" s="25" t="s">
        <v>1233</v>
      </c>
      <c r="S218" s="25" t="s">
        <v>3025</v>
      </c>
      <c r="T218" s="25" t="s">
        <v>3026</v>
      </c>
      <c r="V218" s="25" t="str">
        <f>VLOOKUP(J218,'records (2)'!$A:$Z,16,FALSE)</f>
        <v>karine.rignaux@nobelautomotive.com</v>
      </c>
    </row>
    <row r="219" spans="1:22" hidden="1">
      <c r="A219" s="25" t="s">
        <v>731</v>
      </c>
      <c r="B219" s="25" t="s">
        <v>730</v>
      </c>
      <c r="C219" s="25" t="s">
        <v>3027</v>
      </c>
      <c r="D219" s="25" t="s">
        <v>3028</v>
      </c>
      <c r="E219" s="25" t="s">
        <v>1337</v>
      </c>
      <c r="G219" s="25" t="s">
        <v>3029</v>
      </c>
      <c r="I219" s="25" t="s">
        <v>3030</v>
      </c>
      <c r="J219" s="25" t="s">
        <v>3031</v>
      </c>
      <c r="K219" s="25" t="s">
        <v>728</v>
      </c>
      <c r="L219" s="25" t="s">
        <v>3032</v>
      </c>
      <c r="M219" s="25" t="s">
        <v>3027</v>
      </c>
      <c r="N219" s="25" t="s">
        <v>1233</v>
      </c>
      <c r="P219" s="25" t="s">
        <v>1226</v>
      </c>
      <c r="Q219" s="25" t="s">
        <v>1233</v>
      </c>
      <c r="S219" s="25" t="s">
        <v>3033</v>
      </c>
      <c r="T219" s="25" t="s">
        <v>3034</v>
      </c>
      <c r="V219" s="25" t="str">
        <f>VLOOKUP(J219,'records (2)'!$A:$Z,16,FALSE)</f>
        <v>kathy.toutlemonde@bausch.com</v>
      </c>
    </row>
    <row r="220" spans="1:22" hidden="1">
      <c r="A220" s="25" t="s">
        <v>236</v>
      </c>
      <c r="B220" s="25" t="s">
        <v>235</v>
      </c>
      <c r="C220" s="25" t="s">
        <v>3035</v>
      </c>
      <c r="D220" s="25" t="s">
        <v>3036</v>
      </c>
      <c r="E220" s="25" t="s">
        <v>1337</v>
      </c>
      <c r="G220" s="25" t="s">
        <v>2250</v>
      </c>
      <c r="I220" s="25" t="s">
        <v>3037</v>
      </c>
      <c r="J220" s="25" t="s">
        <v>1275</v>
      </c>
      <c r="K220" s="25" t="s">
        <v>233</v>
      </c>
      <c r="L220" s="25" t="s">
        <v>3038</v>
      </c>
      <c r="M220" s="25" t="s">
        <v>3035</v>
      </c>
      <c r="N220" s="25" t="s">
        <v>1233</v>
      </c>
      <c r="P220" s="25" t="s">
        <v>1226</v>
      </c>
      <c r="Q220" s="25" t="s">
        <v>1233</v>
      </c>
      <c r="S220" s="25" t="s">
        <v>3039</v>
      </c>
      <c r="T220" s="25" t="s">
        <v>3040</v>
      </c>
      <c r="V220" s="25" t="str">
        <f>VLOOKUP(J220,'records (2)'!$A:$Z,16,FALSE)</f>
        <v>alain.metzger@kuhn.com</v>
      </c>
    </row>
    <row r="221" spans="1:22" hidden="1">
      <c r="A221" s="25" t="s">
        <v>879</v>
      </c>
      <c r="B221" s="25" t="s">
        <v>878</v>
      </c>
      <c r="C221" s="25" t="s">
        <v>878</v>
      </c>
      <c r="D221" s="25" t="s">
        <v>3041</v>
      </c>
      <c r="E221" s="25" t="s">
        <v>1337</v>
      </c>
      <c r="G221" s="25" t="s">
        <v>3042</v>
      </c>
      <c r="I221" s="25" t="s">
        <v>3043</v>
      </c>
      <c r="J221" s="25" t="s">
        <v>3044</v>
      </c>
      <c r="K221" s="25" t="s">
        <v>877</v>
      </c>
      <c r="L221" s="25" t="s">
        <v>3045</v>
      </c>
      <c r="M221" s="25" t="s">
        <v>878</v>
      </c>
      <c r="N221" s="25" t="s">
        <v>1233</v>
      </c>
      <c r="P221" s="25" t="s">
        <v>1226</v>
      </c>
      <c r="Q221" s="25" t="s">
        <v>1233</v>
      </c>
      <c r="S221" s="25" t="s">
        <v>3046</v>
      </c>
      <c r="T221" s="25" t="s">
        <v>3047</v>
      </c>
      <c r="V221" s="25" t="str">
        <f>VLOOKUP(J221,'records (2)'!$A:$Z,16,FALSE)</f>
        <v>laurence.zimmermann@sealedair.com</v>
      </c>
    </row>
    <row r="222" spans="1:22" hidden="1">
      <c r="A222" s="25" t="s">
        <v>961</v>
      </c>
      <c r="B222" s="25" t="s">
        <v>960</v>
      </c>
      <c r="C222" s="25" t="s">
        <v>3048</v>
      </c>
      <c r="D222" s="25" t="s">
        <v>3049</v>
      </c>
      <c r="E222" s="25" t="s">
        <v>1337</v>
      </c>
      <c r="G222" s="25" t="s">
        <v>3050</v>
      </c>
      <c r="I222" s="25" t="s">
        <v>3051</v>
      </c>
      <c r="J222" s="25" t="s">
        <v>3052</v>
      </c>
      <c r="K222" s="25" t="s">
        <v>959</v>
      </c>
      <c r="L222" s="25" t="s">
        <v>3053</v>
      </c>
      <c r="M222" s="25" t="s">
        <v>3048</v>
      </c>
      <c r="N222" s="25" t="s">
        <v>1233</v>
      </c>
      <c r="P222" s="25" t="s">
        <v>1226</v>
      </c>
      <c r="Q222" s="25" t="s">
        <v>1233</v>
      </c>
      <c r="S222" s="25" t="s">
        <v>3054</v>
      </c>
      <c r="T222" s="25" t="s">
        <v>3055</v>
      </c>
      <c r="V222" s="25" t="str">
        <f>VLOOKUP(J222,'records (2)'!$A:$Z,16,FALSE)</f>
        <v>laurent.guilmin@wkw-group.com</v>
      </c>
    </row>
    <row r="223" spans="1:22" hidden="1">
      <c r="A223" s="25" t="s">
        <v>1152</v>
      </c>
      <c r="B223" s="25" t="s">
        <v>1151</v>
      </c>
      <c r="C223" s="25" t="s">
        <v>3056</v>
      </c>
      <c r="D223" s="25" t="s">
        <v>3057</v>
      </c>
      <c r="E223" s="25" t="s">
        <v>1337</v>
      </c>
      <c r="G223" s="25" t="s">
        <v>3058</v>
      </c>
      <c r="I223" s="25" t="s">
        <v>3059</v>
      </c>
      <c r="J223" s="25" t="s">
        <v>1283</v>
      </c>
      <c r="K223" s="25" t="s">
        <v>1150</v>
      </c>
      <c r="L223" s="25" t="s">
        <v>3060</v>
      </c>
      <c r="M223" s="25" t="s">
        <v>3056</v>
      </c>
      <c r="N223" s="25" t="s">
        <v>1233</v>
      </c>
      <c r="P223" s="25" t="s">
        <v>1226</v>
      </c>
      <c r="Q223" s="25" t="s">
        <v>1233</v>
      </c>
      <c r="S223" s="25" t="s">
        <v>3061</v>
      </c>
      <c r="T223" s="25" t="s">
        <v>3062</v>
      </c>
      <c r="V223" s="25" t="str">
        <f>VLOOKUP(J223,'records (2)'!$A:$Z,16,FALSE)</f>
        <v>comptaachats-fournisseurs@lfb.fr</v>
      </c>
    </row>
    <row r="224" spans="1:22" hidden="1">
      <c r="A224" s="25" t="s">
        <v>752</v>
      </c>
      <c r="B224" s="25" t="s">
        <v>751</v>
      </c>
      <c r="C224" s="25" t="s">
        <v>3063</v>
      </c>
      <c r="D224" s="25" t="s">
        <v>3064</v>
      </c>
      <c r="E224" s="25" t="s">
        <v>1337</v>
      </c>
      <c r="F224" s="25" t="s">
        <v>3065</v>
      </c>
      <c r="G224" s="25" t="s">
        <v>3066</v>
      </c>
      <c r="I224" s="25" t="s">
        <v>3067</v>
      </c>
      <c r="J224" s="25" t="s">
        <v>3068</v>
      </c>
      <c r="K224" s="25" t="s">
        <v>749</v>
      </c>
      <c r="L224" s="25" t="s">
        <v>3069</v>
      </c>
      <c r="M224" s="25" t="s">
        <v>3063</v>
      </c>
      <c r="N224" s="25" t="s">
        <v>1233</v>
      </c>
      <c r="P224" s="25" t="s">
        <v>2871</v>
      </c>
      <c r="Q224" s="25" t="s">
        <v>1233</v>
      </c>
      <c r="S224" s="25" t="s">
        <v>3070</v>
      </c>
      <c r="T224" s="25" t="s">
        <v>3071</v>
      </c>
      <c r="V224" s="25" t="str">
        <f>VLOOKUP(J224,'records (2)'!$A:$Z,16,FALSE)</f>
        <v>mcsavaton@smlf.fr</v>
      </c>
    </row>
    <row r="225" spans="1:22" hidden="1">
      <c r="A225" s="25" t="s">
        <v>525</v>
      </c>
      <c r="B225" s="25" t="s">
        <v>524</v>
      </c>
      <c r="C225" s="25" t="s">
        <v>3072</v>
      </c>
      <c r="D225" s="25" t="s">
        <v>3073</v>
      </c>
      <c r="E225" s="25" t="s">
        <v>1337</v>
      </c>
      <c r="F225" s="25" t="s">
        <v>1832</v>
      </c>
      <c r="G225" s="25" t="s">
        <v>3074</v>
      </c>
      <c r="I225" s="25" t="s">
        <v>3075</v>
      </c>
      <c r="J225" s="25" t="s">
        <v>3076</v>
      </c>
      <c r="K225" s="25" t="s">
        <v>523</v>
      </c>
      <c r="L225" s="25" t="s">
        <v>3077</v>
      </c>
      <c r="M225" s="25" t="s">
        <v>3072</v>
      </c>
      <c r="N225" s="25" t="s">
        <v>1233</v>
      </c>
      <c r="P225" s="25" t="s">
        <v>1226</v>
      </c>
      <c r="Q225" s="25" t="s">
        <v>1233</v>
      </c>
      <c r="S225" s="25" t="s">
        <v>3078</v>
      </c>
      <c r="T225" s="25" t="s">
        <v>3079</v>
      </c>
      <c r="V225" s="25" t="str">
        <f>VLOOKUP(J225,'records (2)'!$A:$Z,16,FALSE)</f>
        <v>marc.bonnafous@lacooperativewelcoop.com</v>
      </c>
    </row>
    <row r="226" spans="1:22" hidden="1">
      <c r="A226" s="25" t="s">
        <v>762</v>
      </c>
      <c r="B226" s="25" t="s">
        <v>761</v>
      </c>
      <c r="C226" s="25" t="s">
        <v>3080</v>
      </c>
      <c r="D226" s="25" t="s">
        <v>3081</v>
      </c>
      <c r="E226" s="25" t="s">
        <v>1337</v>
      </c>
      <c r="G226" s="25" t="s">
        <v>3082</v>
      </c>
      <c r="I226" s="25" t="s">
        <v>3083</v>
      </c>
      <c r="J226" s="25" t="s">
        <v>3084</v>
      </c>
      <c r="K226" s="25" t="s">
        <v>760</v>
      </c>
      <c r="L226" s="25" t="s">
        <v>3085</v>
      </c>
      <c r="M226" s="25" t="s">
        <v>3080</v>
      </c>
      <c r="N226" s="25" t="s">
        <v>1233</v>
      </c>
      <c r="P226" s="25" t="s">
        <v>1226</v>
      </c>
      <c r="Q226" s="25" t="s">
        <v>1233</v>
      </c>
      <c r="S226" s="25" t="s">
        <v>3086</v>
      </c>
      <c r="T226" s="25" t="s">
        <v>3087</v>
      </c>
      <c r="V226" s="25" t="str">
        <f>VLOOKUP(J226,'records (2)'!$A:$Z,16,FALSE)</f>
        <v>compta.colibri@roullier.com</v>
      </c>
    </row>
    <row r="227" spans="1:22" hidden="1">
      <c r="A227" s="25" t="s">
        <v>164</v>
      </c>
      <c r="B227" s="25" t="s">
        <v>163</v>
      </c>
      <c r="C227" s="25" t="s">
        <v>3088</v>
      </c>
      <c r="D227" s="25" t="s">
        <v>3089</v>
      </c>
      <c r="E227" s="25" t="s">
        <v>1337</v>
      </c>
      <c r="G227" s="25" t="s">
        <v>3090</v>
      </c>
      <c r="I227" s="25" t="s">
        <v>3091</v>
      </c>
      <c r="J227" s="25" t="s">
        <v>3092</v>
      </c>
      <c r="K227" s="25" t="s">
        <v>161</v>
      </c>
      <c r="L227" s="25" t="s">
        <v>3093</v>
      </c>
      <c r="M227" s="25" t="s">
        <v>3088</v>
      </c>
      <c r="N227" s="25" t="s">
        <v>1233</v>
      </c>
      <c r="P227" s="25" t="s">
        <v>1226</v>
      </c>
      <c r="Q227" s="25" t="s">
        <v>1233</v>
      </c>
      <c r="S227" s="25" t="s">
        <v>3094</v>
      </c>
      <c r="T227" s="25" t="s">
        <v>3095</v>
      </c>
      <c r="V227" s="25" t="str">
        <f>VLOOKUP(J227,'records (2)'!$A:$Z,16,FALSE)</f>
        <v>mdesablin@flip.fr</v>
      </c>
    </row>
    <row r="228" spans="1:22" hidden="1">
      <c r="A228" s="25" t="s">
        <v>290</v>
      </c>
      <c r="B228" s="25" t="s">
        <v>289</v>
      </c>
      <c r="C228" s="25" t="s">
        <v>289</v>
      </c>
      <c r="D228" s="25" t="s">
        <v>3096</v>
      </c>
      <c r="E228" s="25" t="s">
        <v>1337</v>
      </c>
      <c r="F228" s="25" t="s">
        <v>1847</v>
      </c>
      <c r="G228" s="25" t="s">
        <v>3097</v>
      </c>
      <c r="I228" s="25" t="s">
        <v>3098</v>
      </c>
      <c r="J228" s="25" t="s">
        <v>1273</v>
      </c>
      <c r="K228" s="25" t="s">
        <v>288</v>
      </c>
      <c r="L228" s="25" t="s">
        <v>3099</v>
      </c>
      <c r="M228" s="25" t="s">
        <v>289</v>
      </c>
      <c r="N228" s="25" t="s">
        <v>1233</v>
      </c>
      <c r="P228" s="25" t="s">
        <v>1226</v>
      </c>
      <c r="Q228" s="25" t="s">
        <v>1233</v>
      </c>
      <c r="S228" s="25" t="s">
        <v>3100</v>
      </c>
      <c r="T228" s="25" t="s">
        <v>3101</v>
      </c>
      <c r="V228" s="25" t="str">
        <f>VLOOKUP(J228,'records (2)'!$A:$Z,16,FALSE)</f>
        <v>sabrina.lesage@metso.com</v>
      </c>
    </row>
    <row r="229" spans="1:22" hidden="1">
      <c r="A229" s="25" t="s">
        <v>119</v>
      </c>
      <c r="B229" s="25" t="s">
        <v>118</v>
      </c>
      <c r="C229" s="25" t="s">
        <v>3102</v>
      </c>
      <c r="D229" s="25" t="s">
        <v>3103</v>
      </c>
      <c r="E229" s="25" t="s">
        <v>1337</v>
      </c>
      <c r="G229" s="25" t="s">
        <v>3104</v>
      </c>
      <c r="I229" s="25" t="s">
        <v>3105</v>
      </c>
      <c r="J229" s="25" t="s">
        <v>3106</v>
      </c>
      <c r="K229" s="25" t="s">
        <v>116</v>
      </c>
      <c r="L229" s="25" t="s">
        <v>3107</v>
      </c>
      <c r="M229" s="25" t="s">
        <v>3102</v>
      </c>
      <c r="N229" s="25" t="s">
        <v>1233</v>
      </c>
      <c r="P229" s="25" t="s">
        <v>1226</v>
      </c>
      <c r="Q229" s="25" t="s">
        <v>1233</v>
      </c>
      <c r="S229" s="25" t="s">
        <v>3108</v>
      </c>
      <c r="T229" s="25" t="s">
        <v>3109</v>
      </c>
      <c r="V229" s="25" t="str">
        <f>VLOOKUP(J229,'records (2)'!$A:$Z,16,FALSE)</f>
        <v>mgrelier@cetih.eu</v>
      </c>
    </row>
    <row r="230" spans="1:22" hidden="1">
      <c r="A230" s="25" t="s">
        <v>1001</v>
      </c>
      <c r="B230" s="25" t="s">
        <v>1182</v>
      </c>
      <c r="C230" s="25" t="s">
        <v>3110</v>
      </c>
      <c r="D230" s="25" t="s">
        <v>3111</v>
      </c>
      <c r="E230" s="25" t="s">
        <v>1337</v>
      </c>
      <c r="G230" s="25" t="s">
        <v>3112</v>
      </c>
      <c r="I230" s="25" t="s">
        <v>3113</v>
      </c>
      <c r="J230" s="25" t="s">
        <v>1293</v>
      </c>
      <c r="K230" s="25" t="s">
        <v>999</v>
      </c>
      <c r="L230" s="25" t="s">
        <v>3114</v>
      </c>
      <c r="M230" s="25" t="s">
        <v>3110</v>
      </c>
      <c r="N230" s="25" t="s">
        <v>1233</v>
      </c>
      <c r="P230" s="25" t="s">
        <v>1226</v>
      </c>
      <c r="Q230" s="25" t="s">
        <v>1233</v>
      </c>
      <c r="S230" s="25" t="s">
        <v>3115</v>
      </c>
      <c r="T230" s="25" t="s">
        <v>3116</v>
      </c>
      <c r="V230" s="25" t="str">
        <f>VLOOKUP(J230,'records (2)'!$A:$Z,16,FALSE)</f>
        <v>carnaud@moethennessy.com</v>
      </c>
    </row>
    <row r="231" spans="1:22" hidden="1">
      <c r="A231" s="25" t="s">
        <v>1024</v>
      </c>
      <c r="B231" s="25" t="s">
        <v>1179</v>
      </c>
      <c r="C231" s="25" t="s">
        <v>3110</v>
      </c>
      <c r="D231" s="25" t="s">
        <v>3117</v>
      </c>
      <c r="E231" s="25" t="s">
        <v>1337</v>
      </c>
      <c r="G231" s="25" t="s">
        <v>3118</v>
      </c>
      <c r="I231" s="25" t="s">
        <v>3113</v>
      </c>
      <c r="J231" s="25" t="s">
        <v>1294</v>
      </c>
      <c r="K231" s="25" t="s">
        <v>1022</v>
      </c>
      <c r="L231" s="25" t="s">
        <v>3114</v>
      </c>
      <c r="M231" s="25" t="s">
        <v>3110</v>
      </c>
      <c r="N231" s="25" t="s">
        <v>1233</v>
      </c>
      <c r="P231" s="25" t="s">
        <v>1226</v>
      </c>
      <c r="Q231" s="25" t="s">
        <v>1233</v>
      </c>
      <c r="S231" s="25" t="s">
        <v>3115</v>
      </c>
      <c r="T231" s="25" t="s">
        <v>3116</v>
      </c>
      <c r="V231" s="25" t="str">
        <f>VLOOKUP(J231,'records (2)'!$A:$Z,16,FALSE)</f>
        <v>carnaud@moethennessy.com</v>
      </c>
    </row>
    <row r="232" spans="1:22" hidden="1">
      <c r="A232" s="25" t="s">
        <v>766</v>
      </c>
      <c r="B232" s="25" t="s">
        <v>765</v>
      </c>
      <c r="C232" s="25" t="s">
        <v>3119</v>
      </c>
      <c r="D232" s="25" t="s">
        <v>3120</v>
      </c>
      <c r="E232" s="25" t="s">
        <v>1337</v>
      </c>
      <c r="G232" s="25" t="s">
        <v>3121</v>
      </c>
      <c r="I232" s="25" t="s">
        <v>3122</v>
      </c>
      <c r="J232" s="25" t="s">
        <v>3123</v>
      </c>
      <c r="K232" s="25" t="s">
        <v>763</v>
      </c>
      <c r="L232" s="25" t="s">
        <v>3124</v>
      </c>
      <c r="M232" s="25" t="s">
        <v>3125</v>
      </c>
      <c r="N232" s="25" t="s">
        <v>1233</v>
      </c>
      <c r="P232" s="25" t="s">
        <v>1226</v>
      </c>
      <c r="Q232" s="25" t="s">
        <v>1233</v>
      </c>
      <c r="S232" s="25" t="s">
        <v>3126</v>
      </c>
      <c r="T232" s="25" t="s">
        <v>3127</v>
      </c>
      <c r="V232" s="25" t="str">
        <f>VLOOKUP(J232,'records (2)'!$A:$Z,16,FALSE)</f>
        <v>mlc-demat-frn@maitres-laitiers.fr</v>
      </c>
    </row>
    <row r="233" spans="1:22" hidden="1">
      <c r="A233" s="25" t="s">
        <v>224</v>
      </c>
      <c r="B233" s="25" t="s">
        <v>223</v>
      </c>
      <c r="C233" s="25" t="s">
        <v>3128</v>
      </c>
      <c r="D233" s="25" t="s">
        <v>3129</v>
      </c>
      <c r="E233" s="25" t="s">
        <v>1337</v>
      </c>
      <c r="G233" s="25" t="s">
        <v>3130</v>
      </c>
      <c r="I233" s="25" t="s">
        <v>3131</v>
      </c>
      <c r="J233" s="25" t="s">
        <v>3132</v>
      </c>
      <c r="K233" s="25" t="s">
        <v>222</v>
      </c>
      <c r="L233" s="25" t="s">
        <v>3133</v>
      </c>
      <c r="M233" s="25" t="s">
        <v>3128</v>
      </c>
      <c r="N233" s="25" t="s">
        <v>1233</v>
      </c>
      <c r="P233" s="25" t="s">
        <v>1226</v>
      </c>
      <c r="Q233" s="25" t="s">
        <v>1233</v>
      </c>
      <c r="S233" s="25" t="s">
        <v>3134</v>
      </c>
      <c r="T233" s="25" t="s">
        <v>3135</v>
      </c>
      <c r="V233" s="25" t="str">
        <f>VLOOKUP(J233,'records (2)'!$A:$Z,16,FALSE)</f>
        <v>compta.fournisseurs@bruneau.fr</v>
      </c>
    </row>
    <row r="234" spans="1:22" hidden="1">
      <c r="A234" s="25" t="s">
        <v>179</v>
      </c>
      <c r="B234" s="25" t="s">
        <v>178</v>
      </c>
      <c r="C234" s="25" t="s">
        <v>3136</v>
      </c>
      <c r="D234" s="25" t="s">
        <v>3137</v>
      </c>
      <c r="E234" s="25" t="s">
        <v>1337</v>
      </c>
      <c r="G234" s="25" t="s">
        <v>3138</v>
      </c>
      <c r="I234" s="25" t="s">
        <v>3139</v>
      </c>
      <c r="J234" s="25" t="s">
        <v>3140</v>
      </c>
      <c r="K234" s="25" t="s">
        <v>177</v>
      </c>
      <c r="L234" s="25" t="s">
        <v>3141</v>
      </c>
      <c r="M234" s="25" t="s">
        <v>3136</v>
      </c>
      <c r="N234" s="25" t="s">
        <v>1233</v>
      </c>
      <c r="P234" s="25" t="s">
        <v>1226</v>
      </c>
      <c r="Q234" s="25" t="s">
        <v>1233</v>
      </c>
      <c r="S234" s="25" t="s">
        <v>3142</v>
      </c>
      <c r="T234" s="25" t="s">
        <v>3143</v>
      </c>
      <c r="V234" s="25" t="str">
        <f>VLOOKUP(J234,'records (2)'!$A:$Z,16,FALSE)</f>
        <v>nathalie.lessert@georgeshelfer.com</v>
      </c>
    </row>
    <row r="235" spans="1:22" hidden="1">
      <c r="A235" s="25" t="s">
        <v>390</v>
      </c>
      <c r="B235" s="25" t="s">
        <v>389</v>
      </c>
      <c r="C235" s="25" t="s">
        <v>3144</v>
      </c>
      <c r="D235" s="25" t="s">
        <v>3145</v>
      </c>
      <c r="E235" s="25" t="s">
        <v>1337</v>
      </c>
      <c r="G235" s="25" t="s">
        <v>3146</v>
      </c>
      <c r="I235" s="25" t="s">
        <v>3147</v>
      </c>
      <c r="J235" s="25" t="s">
        <v>3148</v>
      </c>
      <c r="K235" s="25" t="s">
        <v>387</v>
      </c>
      <c r="L235" s="25" t="s">
        <v>3149</v>
      </c>
      <c r="M235" s="25" t="s">
        <v>3144</v>
      </c>
      <c r="P235" s="25" t="s">
        <v>1226</v>
      </c>
      <c r="Q235" s="25" t="s">
        <v>1233</v>
      </c>
      <c r="S235" s="25" t="s">
        <v>3150</v>
      </c>
      <c r="T235" s="25" t="s">
        <v>3151</v>
      </c>
      <c r="V235" s="25" t="str">
        <f>VLOOKUP(J235,'records (2)'!$A:$Z,16,FALSE)</f>
        <v>nhammouani@toyoink-europe.com</v>
      </c>
    </row>
    <row r="236" spans="1:22" hidden="1">
      <c r="A236" s="25" t="s">
        <v>317</v>
      </c>
      <c r="B236" s="25" t="s">
        <v>316</v>
      </c>
      <c r="C236" s="25" t="s">
        <v>3152</v>
      </c>
      <c r="D236" s="25" t="s">
        <v>3153</v>
      </c>
      <c r="E236" s="25" t="s">
        <v>1337</v>
      </c>
      <c r="G236" s="25" t="s">
        <v>3154</v>
      </c>
      <c r="I236" s="25" t="s">
        <v>3155</v>
      </c>
      <c r="J236" s="25" t="s">
        <v>3156</v>
      </c>
      <c r="K236" s="25" t="s">
        <v>314</v>
      </c>
      <c r="L236" s="25" t="s">
        <v>3157</v>
      </c>
      <c r="M236" s="25" t="s">
        <v>3152</v>
      </c>
      <c r="N236" s="25" t="s">
        <v>1233</v>
      </c>
      <c r="P236" s="25" t="s">
        <v>1226</v>
      </c>
      <c r="Q236" s="25" t="s">
        <v>1233</v>
      </c>
      <c r="S236" s="25" t="s">
        <v>3158</v>
      </c>
      <c r="T236" s="25" t="s">
        <v>3159</v>
      </c>
      <c r="V236" s="25" t="str">
        <f>VLOOKUP(J236,'records (2)'!$A:$Z,16,FALSE)</f>
        <v>lescudie@olichon.fr</v>
      </c>
    </row>
    <row r="237" spans="1:22" hidden="1">
      <c r="A237" s="25" t="s">
        <v>579</v>
      </c>
      <c r="B237" s="25" t="s">
        <v>578</v>
      </c>
      <c r="C237" s="25" t="s">
        <v>3160</v>
      </c>
      <c r="D237" s="25" t="s">
        <v>3161</v>
      </c>
      <c r="E237" s="25" t="s">
        <v>1337</v>
      </c>
      <c r="G237" s="25" t="s">
        <v>3162</v>
      </c>
      <c r="I237" s="25" t="s">
        <v>3163</v>
      </c>
      <c r="J237" s="25" t="s">
        <v>3164</v>
      </c>
      <c r="K237" s="25" t="s">
        <v>576</v>
      </c>
      <c r="L237" s="25" t="s">
        <v>3165</v>
      </c>
      <c r="M237" s="25" t="s">
        <v>3160</v>
      </c>
      <c r="N237" s="25" t="s">
        <v>1233</v>
      </c>
      <c r="P237" s="25" t="s">
        <v>1226</v>
      </c>
      <c r="Q237" s="25" t="s">
        <v>1233</v>
      </c>
      <c r="S237" s="25" t="s">
        <v>3166</v>
      </c>
      <c r="T237" s="25" t="s">
        <v>3167</v>
      </c>
      <c r="V237" s="25" t="str">
        <f>VLOOKUP(J237,'records (2)'!$A:$Z,16,FALSE)</f>
        <v>patricia.brouillard@saint-gobain.com</v>
      </c>
    </row>
    <row r="238" spans="1:22" hidden="1">
      <c r="A238" s="25" t="s">
        <v>345</v>
      </c>
      <c r="B238" s="25" t="s">
        <v>344</v>
      </c>
      <c r="C238" s="25" t="s">
        <v>3168</v>
      </c>
      <c r="D238" s="25" t="s">
        <v>3169</v>
      </c>
      <c r="E238" s="25" t="s">
        <v>1337</v>
      </c>
      <c r="F238" s="25" t="s">
        <v>1425</v>
      </c>
      <c r="G238" s="25" t="s">
        <v>3170</v>
      </c>
      <c r="I238" s="25" t="s">
        <v>3171</v>
      </c>
      <c r="J238" s="25" t="s">
        <v>3172</v>
      </c>
      <c r="K238" s="25" t="s">
        <v>343</v>
      </c>
      <c r="L238" s="25" t="s">
        <v>3173</v>
      </c>
      <c r="M238" s="25" t="s">
        <v>3168</v>
      </c>
      <c r="N238" s="25" t="s">
        <v>1233</v>
      </c>
      <c r="P238" s="25" t="s">
        <v>1226</v>
      </c>
      <c r="Q238" s="25" t="s">
        <v>1233</v>
      </c>
      <c r="S238" s="25" t="s">
        <v>3174</v>
      </c>
      <c r="T238" s="25" t="s">
        <v>3175</v>
      </c>
      <c r="V238" s="25" t="str">
        <f>VLOOKUP(J238,'records (2)'!$A:$Z,16,FALSE)</f>
        <v>lucie.granger@saint-gobain.com</v>
      </c>
    </row>
    <row r="239" spans="1:22" hidden="1">
      <c r="A239" s="25" t="s">
        <v>1123</v>
      </c>
      <c r="B239" s="25" t="s">
        <v>1122</v>
      </c>
      <c r="C239" s="25" t="s">
        <v>3176</v>
      </c>
      <c r="D239" s="25" t="s">
        <v>3177</v>
      </c>
      <c r="E239" s="25" t="s">
        <v>1337</v>
      </c>
      <c r="G239" s="25" t="s">
        <v>3178</v>
      </c>
      <c r="I239" s="25" t="s">
        <v>3179</v>
      </c>
      <c r="J239" s="25" t="s">
        <v>1307</v>
      </c>
      <c r="K239" s="25" t="s">
        <v>1121</v>
      </c>
      <c r="L239" s="25" t="s">
        <v>3180</v>
      </c>
      <c r="M239" s="25" t="s">
        <v>3176</v>
      </c>
      <c r="N239" s="25" t="s">
        <v>1233</v>
      </c>
      <c r="P239" s="25" t="s">
        <v>1226</v>
      </c>
      <c r="Q239" s="25" t="s">
        <v>1233</v>
      </c>
      <c r="S239" s="25" t="s">
        <v>3181</v>
      </c>
      <c r="T239" s="25" t="s">
        <v>3182</v>
      </c>
      <c r="V239" s="25" t="str">
        <f>VLOOKUP(J239,'records (2)'!$A:$Z,16,FALSE)</f>
        <v>comptafournisseurs-sepr@saint-gobain.com</v>
      </c>
    </row>
    <row r="240" spans="1:22" hidden="1">
      <c r="A240" s="25" t="s">
        <v>886</v>
      </c>
      <c r="B240" s="25" t="s">
        <v>885</v>
      </c>
      <c r="C240" s="25" t="s">
        <v>3183</v>
      </c>
      <c r="D240" s="25" t="s">
        <v>3184</v>
      </c>
      <c r="E240" s="25" t="s">
        <v>1337</v>
      </c>
      <c r="G240" s="25" t="s">
        <v>3185</v>
      </c>
      <c r="I240" s="25" t="s">
        <v>3186</v>
      </c>
      <c r="J240" s="25" t="s">
        <v>3187</v>
      </c>
      <c r="K240" s="25" t="s">
        <v>884</v>
      </c>
      <c r="L240" s="25" t="s">
        <v>3188</v>
      </c>
      <c r="M240" s="25" t="s">
        <v>3183</v>
      </c>
      <c r="N240" s="25" t="s">
        <v>1233</v>
      </c>
      <c r="P240" s="25" t="s">
        <v>1226</v>
      </c>
      <c r="Q240" s="25" t="s">
        <v>1233</v>
      </c>
      <c r="S240" s="25" t="s">
        <v>3189</v>
      </c>
      <c r="T240" s="25" t="s">
        <v>3190</v>
      </c>
      <c r="V240" s="25" t="str">
        <f>VLOOKUP(J240,'records (2)'!$A:$Z,16,FALSE)</f>
        <v>corinne.audouard@saint-gobain.com</v>
      </c>
    </row>
    <row r="241" spans="1:22" hidden="1">
      <c r="A241" s="25" t="s">
        <v>796</v>
      </c>
      <c r="B241" s="25" t="s">
        <v>795</v>
      </c>
      <c r="C241" s="25" t="s">
        <v>3191</v>
      </c>
      <c r="D241" s="25" t="s">
        <v>3192</v>
      </c>
      <c r="E241" s="25" t="s">
        <v>1337</v>
      </c>
      <c r="G241" s="25" t="s">
        <v>3193</v>
      </c>
      <c r="I241" s="25" t="s">
        <v>3194</v>
      </c>
      <c r="J241" s="25" t="s">
        <v>1292</v>
      </c>
      <c r="K241" s="25" t="s">
        <v>793</v>
      </c>
      <c r="L241" s="25" t="s">
        <v>3195</v>
      </c>
      <c r="M241" s="25" t="s">
        <v>3191</v>
      </c>
      <c r="N241" s="25" t="s">
        <v>1233</v>
      </c>
      <c r="P241" s="25" t="s">
        <v>1226</v>
      </c>
      <c r="Q241" s="25" t="s">
        <v>1233</v>
      </c>
      <c r="S241" s="25" t="s">
        <v>3196</v>
      </c>
      <c r="T241" s="25" t="s">
        <v>3197</v>
      </c>
      <c r="V241" s="25" t="str">
        <f>VLOOKUP(J241,'records (2)'!$A:$Z,16,FALSE)</f>
        <v>lucile.cortijo@suntory.com</v>
      </c>
    </row>
    <row r="242" spans="1:22" hidden="1">
      <c r="A242" s="25" t="s">
        <v>98</v>
      </c>
      <c r="B242" s="25" t="s">
        <v>97</v>
      </c>
      <c r="C242" s="25" t="s">
        <v>3198</v>
      </c>
      <c r="D242" s="25" t="s">
        <v>3199</v>
      </c>
      <c r="E242" s="25" t="s">
        <v>1337</v>
      </c>
      <c r="G242" s="25" t="s">
        <v>3200</v>
      </c>
      <c r="I242" s="25" t="s">
        <v>3201</v>
      </c>
      <c r="J242" s="25" t="s">
        <v>3202</v>
      </c>
      <c r="K242" s="25" t="s">
        <v>96</v>
      </c>
      <c r="L242" s="25" t="s">
        <v>3203</v>
      </c>
      <c r="M242" s="25" t="s">
        <v>3198</v>
      </c>
      <c r="N242" s="25" t="s">
        <v>1233</v>
      </c>
      <c r="P242" s="25" t="s">
        <v>1226</v>
      </c>
      <c r="Q242" s="25" t="s">
        <v>1233</v>
      </c>
      <c r="S242" s="25" t="s">
        <v>3204</v>
      </c>
      <c r="T242" s="25" t="s">
        <v>3205</v>
      </c>
      <c r="V242" s="25" t="str">
        <f>VLOOKUP(J242,'records (2)'!$A:$Z,16,FALSE)</f>
        <v>p.pelard@beneteauhabitat.com</v>
      </c>
    </row>
    <row r="243" spans="1:22" hidden="1">
      <c r="A243" s="25" t="s">
        <v>615</v>
      </c>
      <c r="B243" s="25" t="s">
        <v>614</v>
      </c>
      <c r="C243" s="25" t="s">
        <v>3206</v>
      </c>
      <c r="D243" s="25" t="s">
        <v>3207</v>
      </c>
      <c r="E243" s="25" t="s">
        <v>1337</v>
      </c>
      <c r="G243" s="25" t="s">
        <v>3208</v>
      </c>
      <c r="I243" s="25" t="s">
        <v>3209</v>
      </c>
      <c r="J243" s="25" t="s">
        <v>3210</v>
      </c>
      <c r="K243" s="25" t="s">
        <v>612</v>
      </c>
      <c r="L243" s="25" t="s">
        <v>3211</v>
      </c>
      <c r="M243" s="25" t="s">
        <v>3206</v>
      </c>
      <c r="N243" s="25" t="s">
        <v>1233</v>
      </c>
      <c r="P243" s="25" t="s">
        <v>1226</v>
      </c>
      <c r="Q243" s="25" t="s">
        <v>1233</v>
      </c>
      <c r="S243" s="25" t="s">
        <v>3212</v>
      </c>
      <c r="T243" s="25" t="s">
        <v>3213</v>
      </c>
      <c r="V243" s="25" t="str">
        <f>VLOOKUP(J243,'records (2)'!$A:$Z,16,FALSE)</f>
        <v>pascale.nivot@fptindustrial.com</v>
      </c>
    </row>
    <row r="244" spans="1:22" hidden="1">
      <c r="A244" s="25" t="s">
        <v>358</v>
      </c>
      <c r="B244" s="25" t="s">
        <v>357</v>
      </c>
      <c r="C244" s="25" t="s">
        <v>3214</v>
      </c>
      <c r="D244" s="25" t="s">
        <v>3215</v>
      </c>
      <c r="E244" s="25" t="s">
        <v>1337</v>
      </c>
      <c r="G244" s="25" t="s">
        <v>3216</v>
      </c>
      <c r="I244" s="25" t="s">
        <v>3217</v>
      </c>
      <c r="J244" s="25" t="s">
        <v>3218</v>
      </c>
      <c r="K244" s="25" t="s">
        <v>356</v>
      </c>
      <c r="L244" s="25" t="s">
        <v>3219</v>
      </c>
      <c r="M244" s="25" t="s">
        <v>3214</v>
      </c>
      <c r="N244" s="25" t="s">
        <v>1233</v>
      </c>
      <c r="P244" s="25" t="s">
        <v>1226</v>
      </c>
      <c r="Q244" s="25" t="s">
        <v>1233</v>
      </c>
      <c r="S244" s="25" t="s">
        <v>3220</v>
      </c>
      <c r="T244" s="25" t="s">
        <v>3221</v>
      </c>
      <c r="V244" s="25" t="str">
        <f>VLOOKUP(J244,'records (2)'!$A:$Z,16,FALSE)</f>
        <v>paul.bertrand@ricoh.fr</v>
      </c>
    </row>
    <row r="245" spans="1:22" hidden="1">
      <c r="A245" s="25" t="s">
        <v>424</v>
      </c>
      <c r="B245" s="25" t="s">
        <v>423</v>
      </c>
      <c r="C245" s="25" t="s">
        <v>3222</v>
      </c>
      <c r="D245" s="25" t="s">
        <v>3223</v>
      </c>
      <c r="E245" s="25" t="s">
        <v>3224</v>
      </c>
      <c r="F245" s="25" t="s">
        <v>3225</v>
      </c>
      <c r="G245" s="25" t="s">
        <v>3226</v>
      </c>
      <c r="I245" s="25" t="s">
        <v>3227</v>
      </c>
      <c r="J245" s="25" t="s">
        <v>1309</v>
      </c>
      <c r="K245" s="25" t="s">
        <v>421</v>
      </c>
      <c r="L245" s="25" t="s">
        <v>3228</v>
      </c>
      <c r="M245" s="25" t="s">
        <v>3222</v>
      </c>
      <c r="N245" s="25" t="s">
        <v>1233</v>
      </c>
      <c r="P245" s="25" t="s">
        <v>1226</v>
      </c>
      <c r="Q245" s="25" t="s">
        <v>1233</v>
      </c>
      <c r="S245" s="25" t="s">
        <v>3229</v>
      </c>
      <c r="T245" s="25" t="s">
        <v>3230</v>
      </c>
      <c r="V245" s="25" t="str">
        <f>VLOOKUP(J245,'records (2)'!$A:$Z,16,FALSE)</f>
        <v>paul.raymond@purina.nestle.com</v>
      </c>
    </row>
    <row r="246" spans="1:22" hidden="1">
      <c r="A246" s="25" t="s">
        <v>977</v>
      </c>
      <c r="B246" s="25" t="s">
        <v>976</v>
      </c>
      <c r="C246" s="25" t="s">
        <v>3231</v>
      </c>
      <c r="D246" s="25" t="s">
        <v>2672</v>
      </c>
      <c r="E246" s="25" t="s">
        <v>1337</v>
      </c>
      <c r="F246" s="25" t="s">
        <v>3232</v>
      </c>
      <c r="G246" s="25" t="s">
        <v>3233</v>
      </c>
      <c r="I246" s="25" t="s">
        <v>3234</v>
      </c>
      <c r="J246" s="25" t="s">
        <v>1272</v>
      </c>
      <c r="K246" s="25" t="s">
        <v>974</v>
      </c>
      <c r="L246" s="25" t="s">
        <v>3235</v>
      </c>
      <c r="M246" s="25" t="s">
        <v>3231</v>
      </c>
      <c r="N246" s="25" t="s">
        <v>1233</v>
      </c>
      <c r="P246" s="25" t="s">
        <v>1226</v>
      </c>
      <c r="Q246" s="25" t="s">
        <v>1233</v>
      </c>
      <c r="S246" s="25" t="s">
        <v>3236</v>
      </c>
      <c r="T246" s="25" t="s">
        <v>3237</v>
      </c>
      <c r="V246" s="25" t="str">
        <f>VLOOKUP(J246,'records (2)'!$A:$Z,16,FALSE)</f>
        <v>paloma.fajardo@boehringer-ingelheim.com</v>
      </c>
    </row>
    <row r="247" spans="1:22" hidden="1">
      <c r="A247" s="25" t="s">
        <v>463</v>
      </c>
      <c r="B247" s="25" t="s">
        <v>462</v>
      </c>
      <c r="C247" s="25" t="s">
        <v>3238</v>
      </c>
      <c r="D247" s="25" t="s">
        <v>3239</v>
      </c>
      <c r="E247" s="25" t="s">
        <v>1337</v>
      </c>
      <c r="F247" s="25" t="s">
        <v>1847</v>
      </c>
      <c r="G247" s="25" t="s">
        <v>3240</v>
      </c>
      <c r="I247" s="25" t="s">
        <v>3241</v>
      </c>
      <c r="J247" s="25" t="s">
        <v>1286</v>
      </c>
      <c r="K247" s="25" t="s">
        <v>460</v>
      </c>
      <c r="L247" s="25" t="s">
        <v>3242</v>
      </c>
      <c r="M247" s="25" t="s">
        <v>3238</v>
      </c>
      <c r="N247" s="25" t="s">
        <v>1233</v>
      </c>
      <c r="P247" s="25" t="s">
        <v>1226</v>
      </c>
      <c r="Q247" s="25" t="s">
        <v>1233</v>
      </c>
      <c r="S247" s="25" t="s">
        <v>3243</v>
      </c>
      <c r="T247" s="25" t="s">
        <v>3244</v>
      </c>
      <c r="V247" s="25" t="str">
        <f>VLOOKUP(J247,'records (2)'!$A:$Z,16,FALSE)</f>
        <v>pierrick.manuel@barilla.com</v>
      </c>
    </row>
    <row r="248" spans="1:22" hidden="1">
      <c r="A248" s="25" t="s">
        <v>339</v>
      </c>
      <c r="B248" s="25" t="s">
        <v>338</v>
      </c>
      <c r="C248" s="25" t="s">
        <v>3245</v>
      </c>
      <c r="D248" s="25" t="s">
        <v>3246</v>
      </c>
      <c r="E248" s="25" t="s">
        <v>1337</v>
      </c>
      <c r="F248" s="25" t="s">
        <v>3247</v>
      </c>
      <c r="G248" s="25" t="s">
        <v>3248</v>
      </c>
      <c r="I248" s="25" t="s">
        <v>3249</v>
      </c>
      <c r="J248" s="25" t="s">
        <v>3250</v>
      </c>
      <c r="K248" s="25" t="s">
        <v>337</v>
      </c>
      <c r="L248" s="25" t="s">
        <v>3251</v>
      </c>
      <c r="M248" s="25" t="s">
        <v>3245</v>
      </c>
      <c r="N248" s="25" t="s">
        <v>1233</v>
      </c>
      <c r="P248" s="25" t="s">
        <v>1226</v>
      </c>
      <c r="Q248" s="25" t="s">
        <v>1233</v>
      </c>
      <c r="S248" s="25" t="s">
        <v>3252</v>
      </c>
      <c r="T248" s="25" t="s">
        <v>3253</v>
      </c>
      <c r="V248" s="25" t="str">
        <f>VLOOKUP(J248,'records (2)'!$A:$Z,16,FALSE)</f>
        <v>ludivine.haquette@pernod-ricard.com</v>
      </c>
    </row>
    <row r="249" spans="1:22" hidden="1">
      <c r="A249" s="25" t="s">
        <v>416</v>
      </c>
      <c r="B249" s="25" t="s">
        <v>415</v>
      </c>
      <c r="C249" s="25" t="s">
        <v>3254</v>
      </c>
      <c r="D249" s="25" t="s">
        <v>3255</v>
      </c>
      <c r="E249" s="25" t="s">
        <v>1337</v>
      </c>
      <c r="G249" s="25" t="s">
        <v>3256</v>
      </c>
      <c r="I249" s="25" t="s">
        <v>3257</v>
      </c>
      <c r="J249" s="25" t="s">
        <v>3258</v>
      </c>
      <c r="K249" s="25" t="s">
        <v>413</v>
      </c>
      <c r="L249" s="25" t="s">
        <v>3259</v>
      </c>
      <c r="M249" s="25" t="s">
        <v>3254</v>
      </c>
      <c r="N249" s="25" t="s">
        <v>1233</v>
      </c>
      <c r="P249" s="25" t="s">
        <v>1226</v>
      </c>
      <c r="Q249" s="25" t="s">
        <v>1233</v>
      </c>
      <c r="S249" s="25" t="s">
        <v>3260</v>
      </c>
      <c r="T249" s="25" t="s">
        <v>3261</v>
      </c>
      <c r="V249" s="25" t="str">
        <f>VLOOKUP(J249,'records (2)'!$A:$Z,16,FALSE)</f>
        <v>quentin.feist@wurth.fr</v>
      </c>
    </row>
    <row r="250" spans="1:22" hidden="1">
      <c r="A250" s="25" t="s">
        <v>240</v>
      </c>
      <c r="B250" s="25" t="s">
        <v>239</v>
      </c>
      <c r="C250" s="25" t="s">
        <v>3262</v>
      </c>
      <c r="D250" s="25" t="s">
        <v>3263</v>
      </c>
      <c r="E250" s="25" t="s">
        <v>1337</v>
      </c>
      <c r="F250" s="25" t="s">
        <v>3264</v>
      </c>
      <c r="G250" s="25" t="s">
        <v>3265</v>
      </c>
      <c r="I250" s="25" t="s">
        <v>3266</v>
      </c>
      <c r="J250" s="25" t="s">
        <v>3267</v>
      </c>
      <c r="K250" s="25" t="s">
        <v>237</v>
      </c>
      <c r="L250" s="25" t="s">
        <v>3268</v>
      </c>
      <c r="M250" s="25" t="s">
        <v>3269</v>
      </c>
      <c r="N250" s="25" t="s">
        <v>1233</v>
      </c>
      <c r="P250" s="25" t="s">
        <v>1226</v>
      </c>
      <c r="Q250" s="25" t="s">
        <v>1233</v>
      </c>
      <c r="S250" s="25" t="s">
        <v>3270</v>
      </c>
      <c r="T250" s="25" t="s">
        <v>3271</v>
      </c>
      <c r="V250" s="25" t="str">
        <f>VLOOKUP(J250,'records (2)'!$A:$Z,16,FALSE)</f>
        <v>regine.zwiebel@llproducts.com</v>
      </c>
    </row>
    <row r="251" spans="1:22" hidden="1">
      <c r="A251" s="25" t="s">
        <v>209</v>
      </c>
      <c r="B251" s="25" t="s">
        <v>208</v>
      </c>
      <c r="C251" s="25" t="s">
        <v>3272</v>
      </c>
      <c r="D251" s="25" t="s">
        <v>3273</v>
      </c>
      <c r="E251" s="25" t="s">
        <v>1337</v>
      </c>
      <c r="F251" s="25" t="s">
        <v>3274</v>
      </c>
      <c r="G251" s="25" t="s">
        <v>3275</v>
      </c>
      <c r="I251" s="25" t="s">
        <v>3276</v>
      </c>
      <c r="J251" s="25" t="s">
        <v>3277</v>
      </c>
      <c r="K251" s="25" t="s">
        <v>207</v>
      </c>
      <c r="L251" s="25" t="s">
        <v>3278</v>
      </c>
      <c r="M251" s="25" t="s">
        <v>3274</v>
      </c>
      <c r="N251" s="25" t="s">
        <v>1233</v>
      </c>
      <c r="P251" s="25" t="s">
        <v>1226</v>
      </c>
      <c r="Q251" s="25" t="s">
        <v>1233</v>
      </c>
      <c r="S251" s="25" t="s">
        <v>3279</v>
      </c>
      <c r="T251" s="25" t="s">
        <v>3280</v>
      </c>
      <c r="V251" s="25" t="str">
        <f>VLOOKUP(J251,'records (2)'!$A:$Z,16,FALSE)</f>
        <v>c.balin@ieseg.fr</v>
      </c>
    </row>
    <row r="252" spans="1:22" hidden="1">
      <c r="A252" s="25" t="s">
        <v>48</v>
      </c>
      <c r="B252" s="25" t="s">
        <v>47</v>
      </c>
      <c r="C252" s="25" t="s">
        <v>47</v>
      </c>
      <c r="D252" s="25" t="s">
        <v>3281</v>
      </c>
      <c r="E252" s="25" t="s">
        <v>1337</v>
      </c>
      <c r="G252" s="25" t="s">
        <v>3282</v>
      </c>
      <c r="I252" s="25" t="s">
        <v>3283</v>
      </c>
      <c r="J252" s="25" t="s">
        <v>3284</v>
      </c>
      <c r="K252" s="25" t="s">
        <v>45</v>
      </c>
      <c r="L252" s="25" t="s">
        <v>3285</v>
      </c>
      <c r="M252" s="25" t="s">
        <v>47</v>
      </c>
      <c r="N252" s="25" t="s">
        <v>1233</v>
      </c>
      <c r="P252" s="25" t="s">
        <v>1226</v>
      </c>
      <c r="Q252" s="25" t="s">
        <v>1233</v>
      </c>
      <c r="S252" s="25" t="s">
        <v>3286</v>
      </c>
      <c r="T252" s="25" t="s">
        <v>3287</v>
      </c>
      <c r="V252" s="25" t="str">
        <f>VLOOKUP(J252,'records (2)'!$A:$Z,16,FALSE)</f>
        <v>rh.reims@seyfert.fr</v>
      </c>
    </row>
    <row r="253" spans="1:22" hidden="1">
      <c r="A253" s="25" t="s">
        <v>301</v>
      </c>
      <c r="B253" s="25" t="s">
        <v>300</v>
      </c>
      <c r="C253" s="25" t="s">
        <v>3288</v>
      </c>
      <c r="D253" s="25" t="s">
        <v>3289</v>
      </c>
      <c r="E253" s="25" t="s">
        <v>1337</v>
      </c>
      <c r="G253" s="25" t="s">
        <v>3290</v>
      </c>
      <c r="I253" s="25" t="s">
        <v>3291</v>
      </c>
      <c r="J253" s="25" t="s">
        <v>3292</v>
      </c>
      <c r="K253" s="25" t="s">
        <v>298</v>
      </c>
      <c r="L253" s="25" t="s">
        <v>3293</v>
      </c>
      <c r="M253" s="25" t="s">
        <v>3288</v>
      </c>
      <c r="N253" s="25" t="s">
        <v>1233</v>
      </c>
      <c r="P253" s="25" t="s">
        <v>1226</v>
      </c>
      <c r="Q253" s="25" t="s">
        <v>1233</v>
      </c>
      <c r="S253" s="25" t="s">
        <v>3294</v>
      </c>
      <c r="T253" s="25" t="s">
        <v>3295</v>
      </c>
      <c r="V253" s="25" t="str">
        <f>VLOOKUP(J253,'records (2)'!$A:$Z,16,FALSE)</f>
        <v>rh@moulinsbourgeois.com</v>
      </c>
    </row>
    <row r="254" spans="1:22" hidden="1">
      <c r="A254" s="25" t="s">
        <v>792</v>
      </c>
      <c r="B254" s="25" t="s">
        <v>791</v>
      </c>
      <c r="C254" s="25" t="s">
        <v>3296</v>
      </c>
      <c r="D254" s="25" t="s">
        <v>3297</v>
      </c>
      <c r="E254" s="25" t="s">
        <v>1337</v>
      </c>
      <c r="G254" s="25" t="s">
        <v>3298</v>
      </c>
      <c r="I254" s="25" t="s">
        <v>3299</v>
      </c>
      <c r="J254" s="25" t="s">
        <v>3300</v>
      </c>
      <c r="K254" s="25" t="s">
        <v>790</v>
      </c>
      <c r="L254" s="25" t="s">
        <v>3301</v>
      </c>
      <c r="M254" s="25" t="s">
        <v>3296</v>
      </c>
      <c r="N254" s="25" t="s">
        <v>1233</v>
      </c>
      <c r="P254" s="25" t="s">
        <v>1226</v>
      </c>
      <c r="Q254" s="25" t="s">
        <v>1233</v>
      </c>
      <c r="S254" s="25" t="s">
        <v>3302</v>
      </c>
      <c r="T254" s="25" t="s">
        <v>3303</v>
      </c>
      <c r="V254" s="25" t="str">
        <f>VLOOKUP(J254,'records (2)'!$A:$Z,16,FALSE)</f>
        <v>m.ghiglione@nicomatic.fr</v>
      </c>
    </row>
    <row r="255" spans="1:22" hidden="1">
      <c r="A255" s="25" t="s">
        <v>904</v>
      </c>
      <c r="B255" s="25" t="s">
        <v>903</v>
      </c>
      <c r="C255" s="25" t="s">
        <v>3304</v>
      </c>
      <c r="D255" s="25" t="s">
        <v>3305</v>
      </c>
      <c r="E255" s="25" t="s">
        <v>1337</v>
      </c>
      <c r="G255" s="25" t="s">
        <v>3306</v>
      </c>
      <c r="I255" s="25" t="s">
        <v>3307</v>
      </c>
      <c r="J255" s="25" t="s">
        <v>3308</v>
      </c>
      <c r="K255" s="25" t="s">
        <v>902</v>
      </c>
      <c r="L255" s="25" t="s">
        <v>3309</v>
      </c>
      <c r="M255" s="25" t="s">
        <v>3304</v>
      </c>
      <c r="P255" s="25" t="s">
        <v>1226</v>
      </c>
      <c r="Q255" s="25" t="s">
        <v>1233</v>
      </c>
      <c r="S255" s="25" t="s">
        <v>3310</v>
      </c>
      <c r="T255" s="25" t="s">
        <v>3311</v>
      </c>
      <c r="V255" s="25" t="str">
        <f>VLOOKUP(J255,'records (2)'!$A:$Z,16,FALSE)</f>
        <v>v.raymond@sgt-france.com</v>
      </c>
    </row>
    <row r="256" spans="1:22" hidden="1">
      <c r="A256" s="25" t="s">
        <v>712</v>
      </c>
      <c r="B256" s="25" t="s">
        <v>711</v>
      </c>
      <c r="C256" s="25" t="s">
        <v>3312</v>
      </c>
      <c r="D256" s="25" t="s">
        <v>3313</v>
      </c>
      <c r="E256" s="25" t="s">
        <v>1337</v>
      </c>
      <c r="F256" s="25" t="s">
        <v>1425</v>
      </c>
      <c r="G256" s="25" t="s">
        <v>3314</v>
      </c>
      <c r="I256" s="25" t="s">
        <v>3315</v>
      </c>
      <c r="J256" s="25" t="s">
        <v>3316</v>
      </c>
      <c r="K256" s="25" t="s">
        <v>710</v>
      </c>
      <c r="L256" s="25" t="s">
        <v>3317</v>
      </c>
      <c r="M256" s="25" t="s">
        <v>3312</v>
      </c>
      <c r="P256" s="25" t="s">
        <v>1226</v>
      </c>
      <c r="Q256" s="25" t="s">
        <v>1233</v>
      </c>
      <c r="S256" s="25" t="s">
        <v>3318</v>
      </c>
      <c r="T256" s="25" t="s">
        <v>3319</v>
      </c>
      <c r="V256" s="25" t="str">
        <f>VLOOKUP(J256,'records (2)'!$A:$Z,16,FALSE)</f>
        <v>rhpaie@jeldwen.com</v>
      </c>
    </row>
    <row r="257" spans="1:22" hidden="1">
      <c r="A257" s="25" t="s">
        <v>149</v>
      </c>
      <c r="B257" s="25" t="s">
        <v>148</v>
      </c>
      <c r="C257" s="25" t="s">
        <v>3320</v>
      </c>
      <c r="D257" s="25" t="s">
        <v>3321</v>
      </c>
      <c r="E257" s="25" t="s">
        <v>1337</v>
      </c>
      <c r="G257" s="25" t="s">
        <v>3322</v>
      </c>
      <c r="I257" s="25" t="s">
        <v>3323</v>
      </c>
      <c r="J257" s="25" t="s">
        <v>3324</v>
      </c>
      <c r="K257" s="25" t="s">
        <v>147</v>
      </c>
      <c r="L257" s="25" t="s">
        <v>3325</v>
      </c>
      <c r="M257" s="25" t="s">
        <v>3320</v>
      </c>
      <c r="N257" s="25" t="s">
        <v>1233</v>
      </c>
      <c r="P257" s="25" t="s">
        <v>1226</v>
      </c>
      <c r="Q257" s="25" t="s">
        <v>1233</v>
      </c>
      <c r="S257" s="25" t="s">
        <v>3326</v>
      </c>
      <c r="T257" s="25" t="s">
        <v>3327</v>
      </c>
      <c r="V257" s="25" t="str">
        <f>VLOOKUP(J257,'records (2)'!$A:$Z,16,FALSE)</f>
        <v>clea.gantois@dupont.com</v>
      </c>
    </row>
    <row r="258" spans="1:22" hidden="1">
      <c r="A258" s="25" t="s">
        <v>983</v>
      </c>
      <c r="B258" s="25" t="s">
        <v>982</v>
      </c>
      <c r="C258" s="25" t="s">
        <v>3328</v>
      </c>
      <c r="D258" s="25" t="s">
        <v>3329</v>
      </c>
      <c r="E258" s="25" t="s">
        <v>1337</v>
      </c>
      <c r="F258" s="25" t="s">
        <v>1439</v>
      </c>
      <c r="G258" s="25" t="s">
        <v>3330</v>
      </c>
      <c r="I258" s="25" t="s">
        <v>3331</v>
      </c>
      <c r="J258" s="25" t="s">
        <v>3332</v>
      </c>
      <c r="K258" s="25" t="s">
        <v>981</v>
      </c>
      <c r="L258" s="25" t="s">
        <v>3333</v>
      </c>
      <c r="M258" s="25" t="s">
        <v>3328</v>
      </c>
      <c r="N258" s="25" t="s">
        <v>1233</v>
      </c>
      <c r="P258" s="25" t="s">
        <v>1226</v>
      </c>
      <c r="Q258" s="25" t="s">
        <v>1233</v>
      </c>
      <c r="S258" s="25" t="s">
        <v>3334</v>
      </c>
      <c r="T258" s="25" t="s">
        <v>3335</v>
      </c>
      <c r="V258" s="25" t="str">
        <f>VLOOKUP(J258,'records (2)'!$A:$Z,16,FALSE)</f>
        <v>roxane.holat@cenexi.com</v>
      </c>
    </row>
    <row r="259" spans="1:22" hidden="1">
      <c r="A259" s="25" t="s">
        <v>662</v>
      </c>
      <c r="B259" s="25" t="s">
        <v>661</v>
      </c>
      <c r="C259" s="25" t="s">
        <v>3336</v>
      </c>
      <c r="D259" s="25" t="s">
        <v>3337</v>
      </c>
      <c r="E259" s="25" t="s">
        <v>1337</v>
      </c>
      <c r="G259" s="25" t="s">
        <v>3338</v>
      </c>
      <c r="I259" s="25" t="s">
        <v>3339</v>
      </c>
      <c r="J259" s="25" t="s">
        <v>3340</v>
      </c>
      <c r="K259" s="25" t="s">
        <v>659</v>
      </c>
      <c r="L259" s="25" t="s">
        <v>3341</v>
      </c>
      <c r="M259" s="25" t="s">
        <v>3336</v>
      </c>
      <c r="N259" s="25" t="s">
        <v>1233</v>
      </c>
      <c r="P259" s="25" t="s">
        <v>1226</v>
      </c>
      <c r="Q259" s="25" t="s">
        <v>1233</v>
      </c>
      <c r="S259" s="25" t="s">
        <v>3342</v>
      </c>
      <c r="T259" s="25" t="s">
        <v>3343</v>
      </c>
      <c r="V259" s="25" t="str">
        <f>VLOOKUP(J259,'records (2)'!$A:$Z,16,FALSE)</f>
        <v>sabrina.vetel@eureden.com</v>
      </c>
    </row>
    <row r="260" spans="1:22" hidden="1">
      <c r="A260" s="25" t="s">
        <v>556</v>
      </c>
      <c r="B260" s="25" t="s">
        <v>555</v>
      </c>
      <c r="C260" s="25" t="s">
        <v>3344</v>
      </c>
      <c r="D260" s="25" t="s">
        <v>3345</v>
      </c>
      <c r="E260" s="25" t="s">
        <v>1337</v>
      </c>
      <c r="F260" s="25" t="s">
        <v>1401</v>
      </c>
      <c r="G260" s="25" t="s">
        <v>3346</v>
      </c>
      <c r="I260" s="25" t="s">
        <v>3347</v>
      </c>
      <c r="J260" s="25" t="s">
        <v>3348</v>
      </c>
      <c r="K260" s="25" t="s">
        <v>553</v>
      </c>
      <c r="L260" s="25" t="s">
        <v>3349</v>
      </c>
      <c r="M260" s="25" t="s">
        <v>3344</v>
      </c>
      <c r="N260" s="25" t="s">
        <v>1233</v>
      </c>
      <c r="P260" s="25" t="s">
        <v>1226</v>
      </c>
      <c r="Q260" s="25" t="s">
        <v>1233</v>
      </c>
      <c r="S260" s="25" t="s">
        <v>3350</v>
      </c>
      <c r="T260" s="25" t="s">
        <v>3351</v>
      </c>
      <c r="V260" s="25" t="str">
        <f>VLOOKUP(J260,'records (2)'!$A:$Z,16,FALSE)</f>
        <v>sandra.rodrigues@eoliance.com</v>
      </c>
    </row>
    <row r="261" spans="1:22" hidden="1">
      <c r="A261" s="25" t="s">
        <v>88</v>
      </c>
      <c r="B261" s="25" t="s">
        <v>87</v>
      </c>
      <c r="C261" s="25" t="s">
        <v>3352</v>
      </c>
      <c r="D261" s="25" t="s">
        <v>3353</v>
      </c>
      <c r="E261" s="25" t="s">
        <v>1337</v>
      </c>
      <c r="G261" s="25" t="s">
        <v>3354</v>
      </c>
      <c r="I261" s="25" t="s">
        <v>3355</v>
      </c>
      <c r="J261" s="25" t="s">
        <v>3356</v>
      </c>
      <c r="K261" s="25" t="s">
        <v>85</v>
      </c>
      <c r="L261" s="25" t="s">
        <v>3357</v>
      </c>
      <c r="M261" s="25" t="s">
        <v>3352</v>
      </c>
      <c r="N261" s="25" t="s">
        <v>1233</v>
      </c>
      <c r="P261" s="25" t="s">
        <v>2292</v>
      </c>
      <c r="Q261" s="25" t="s">
        <v>1233</v>
      </c>
      <c r="S261" s="25" t="s">
        <v>3358</v>
      </c>
      <c r="T261" s="25" t="s">
        <v>3359</v>
      </c>
      <c r="V261" s="25" t="str">
        <f>VLOOKUP(J261,'records (2)'!$A:$Z,16,FALSE)</f>
        <v>sophie.gontaud@barbiergroup.com</v>
      </c>
    </row>
    <row r="262" spans="1:22" hidden="1">
      <c r="A262" s="25" t="s">
        <v>467</v>
      </c>
      <c r="B262" s="25" t="s">
        <v>466</v>
      </c>
      <c r="C262" s="25" t="s">
        <v>3360</v>
      </c>
      <c r="D262" s="25" t="s">
        <v>3361</v>
      </c>
      <c r="E262" s="25" t="s">
        <v>1337</v>
      </c>
      <c r="G262" s="25" t="s">
        <v>3362</v>
      </c>
      <c r="I262" s="25" t="s">
        <v>3363</v>
      </c>
      <c r="J262" s="25" t="s">
        <v>3364</v>
      </c>
      <c r="K262" s="25" t="s">
        <v>464</v>
      </c>
      <c r="L262" s="25" t="s">
        <v>3365</v>
      </c>
      <c r="M262" s="25" t="s">
        <v>3360</v>
      </c>
      <c r="N262" s="25" t="s">
        <v>1233</v>
      </c>
      <c r="P262" s="25" t="s">
        <v>1226</v>
      </c>
      <c r="Q262" s="25" t="s">
        <v>1233</v>
      </c>
      <c r="S262" s="25" t="s">
        <v>3366</v>
      </c>
      <c r="T262" s="25" t="s">
        <v>3367</v>
      </c>
      <c r="V262" s="25" t="str">
        <f>VLOOKUP(J262,'records (2)'!$A:$Z,16,FALSE)</f>
        <v>scomptabilite@baumer.com</v>
      </c>
    </row>
    <row r="263" spans="1:22" hidden="1">
      <c r="A263" s="25" t="s">
        <v>260</v>
      </c>
      <c r="B263" s="25" t="s">
        <v>259</v>
      </c>
      <c r="C263" s="25" t="s">
        <v>3368</v>
      </c>
      <c r="D263" s="25" t="s">
        <v>1944</v>
      </c>
      <c r="E263" s="25" t="s">
        <v>1337</v>
      </c>
      <c r="F263" s="25" t="s">
        <v>1840</v>
      </c>
      <c r="G263" s="25" t="s">
        <v>1945</v>
      </c>
      <c r="I263" s="25" t="s">
        <v>3369</v>
      </c>
      <c r="J263" s="25" t="s">
        <v>3370</v>
      </c>
      <c r="K263" s="25" t="s">
        <v>258</v>
      </c>
      <c r="L263" s="25" t="s">
        <v>3371</v>
      </c>
      <c r="M263" s="25" t="s">
        <v>3368</v>
      </c>
      <c r="N263" s="25" t="s">
        <v>1233</v>
      </c>
      <c r="P263" s="25" t="s">
        <v>1226</v>
      </c>
      <c r="Q263" s="25" t="s">
        <v>1233</v>
      </c>
      <c r="S263" s="25" t="s">
        <v>3372</v>
      </c>
      <c r="T263" s="25" t="s">
        <v>3373</v>
      </c>
      <c r="V263" s="25" t="str">
        <f>VLOOKUP(J263,'records (2)'!$A:$Z,16,FALSE)</f>
        <v>david.lahaye@lhh.com</v>
      </c>
    </row>
    <row r="264" spans="1:22" hidden="1">
      <c r="A264" s="25" t="s">
        <v>651</v>
      </c>
      <c r="B264" s="25" t="s">
        <v>650</v>
      </c>
      <c r="C264" s="25" t="s">
        <v>3374</v>
      </c>
      <c r="D264" s="25" t="s">
        <v>3375</v>
      </c>
      <c r="E264" s="25" t="s">
        <v>1337</v>
      </c>
      <c r="G264" s="25" t="s">
        <v>3338</v>
      </c>
      <c r="I264" s="25" t="s">
        <v>3376</v>
      </c>
      <c r="J264" s="25" t="s">
        <v>3377</v>
      </c>
      <c r="K264" s="25" t="s">
        <v>649</v>
      </c>
      <c r="L264" s="25" t="s">
        <v>3378</v>
      </c>
      <c r="M264" s="25" t="s">
        <v>3374</v>
      </c>
      <c r="N264" s="25" t="s">
        <v>1233</v>
      </c>
      <c r="P264" s="25" t="s">
        <v>1226</v>
      </c>
      <c r="Q264" s="25" t="s">
        <v>1233</v>
      </c>
      <c r="S264" s="25" t="s">
        <v>3379</v>
      </c>
      <c r="T264" s="25" t="s">
        <v>3380</v>
      </c>
      <c r="V264" s="25" t="str">
        <f>VLOOKUP(J264,'records (2)'!$A:$Z,16,FALSE)</f>
        <v>colette.guilerme@greenyardfrozen.com</v>
      </c>
    </row>
    <row r="265" spans="1:22" hidden="1">
      <c r="A265" s="25" t="s">
        <v>487</v>
      </c>
      <c r="B265" s="25" t="s">
        <v>486</v>
      </c>
      <c r="C265" s="25" t="s">
        <v>3381</v>
      </c>
      <c r="D265" s="25" t="s">
        <v>1249</v>
      </c>
      <c r="E265" s="25" t="s">
        <v>1337</v>
      </c>
      <c r="F265" s="25" t="s">
        <v>1401</v>
      </c>
      <c r="G265" s="25" t="s">
        <v>2050</v>
      </c>
      <c r="I265" s="25" t="s">
        <v>3382</v>
      </c>
      <c r="J265" s="25" t="s">
        <v>3383</v>
      </c>
      <c r="K265" s="25" t="s">
        <v>484</v>
      </c>
      <c r="L265" s="25" t="s">
        <v>3384</v>
      </c>
      <c r="M265" s="25" t="s">
        <v>3381</v>
      </c>
      <c r="P265" s="25" t="s">
        <v>1226</v>
      </c>
      <c r="Q265" s="25" t="s">
        <v>1233</v>
      </c>
      <c r="S265" s="25" t="s">
        <v>3385</v>
      </c>
      <c r="T265" s="25" t="s">
        <v>3386</v>
      </c>
      <c r="V265" s="25" t="str">
        <f>VLOOKUP(J265,'records (2)'!$A:$Z,16,FALSE)</f>
        <v>service.comptabilite@camus.fr</v>
      </c>
    </row>
    <row r="266" spans="1:22" hidden="1">
      <c r="A266" s="25" t="s">
        <v>383</v>
      </c>
      <c r="B266" s="25" t="s">
        <v>382</v>
      </c>
      <c r="C266" s="25" t="s">
        <v>3387</v>
      </c>
      <c r="D266" s="25" t="s">
        <v>3388</v>
      </c>
      <c r="E266" s="25" t="s">
        <v>1337</v>
      </c>
      <c r="F266" s="25" t="s">
        <v>1401</v>
      </c>
      <c r="G266" s="25" t="s">
        <v>3389</v>
      </c>
      <c r="I266" s="25" t="s">
        <v>3390</v>
      </c>
      <c r="J266" s="25" t="s">
        <v>3391</v>
      </c>
      <c r="K266" s="25" t="s">
        <v>381</v>
      </c>
      <c r="L266" s="25" t="s">
        <v>3392</v>
      </c>
      <c r="M266" s="25" t="s">
        <v>3387</v>
      </c>
      <c r="P266" s="25" t="s">
        <v>1226</v>
      </c>
      <c r="Q266" s="25" t="s">
        <v>1233</v>
      </c>
      <c r="S266" s="25" t="s">
        <v>3393</v>
      </c>
      <c r="T266" s="25" t="s">
        <v>3394</v>
      </c>
      <c r="V266" s="25" t="str">
        <f>VLOOKUP(J266,'records (2)'!$A:$Z,16,FALSE)</f>
        <v>service_compta@stokomani.fr</v>
      </c>
    </row>
    <row r="267" spans="1:22" hidden="1">
      <c r="A267" s="25" t="s">
        <v>679</v>
      </c>
      <c r="B267" s="25" t="s">
        <v>678</v>
      </c>
      <c r="C267" s="25" t="s">
        <v>3395</v>
      </c>
      <c r="D267" s="25" t="s">
        <v>3396</v>
      </c>
      <c r="E267" s="25" t="s">
        <v>1337</v>
      </c>
      <c r="G267" s="25" t="s">
        <v>3397</v>
      </c>
      <c r="I267" s="25" t="s">
        <v>3398</v>
      </c>
      <c r="J267" s="25" t="s">
        <v>3399</v>
      </c>
      <c r="K267" s="25" t="s">
        <v>676</v>
      </c>
      <c r="L267" s="25" t="s">
        <v>3400</v>
      </c>
      <c r="M267" s="25" t="s">
        <v>3395</v>
      </c>
      <c r="N267" s="25" t="s">
        <v>1233</v>
      </c>
      <c r="P267" s="25" t="s">
        <v>1226</v>
      </c>
      <c r="Q267" s="25" t="s">
        <v>1233</v>
      </c>
      <c r="S267" s="25" t="s">
        <v>3401</v>
      </c>
      <c r="T267" s="25" t="s">
        <v>3402</v>
      </c>
      <c r="V267" s="25" t="str">
        <f>VLOOKUP(J267,'records (2)'!$A:$Z,16,FALSE)</f>
        <v>laura.morisson@stradal.fr</v>
      </c>
    </row>
    <row r="268" spans="1:22" hidden="1">
      <c r="A268" s="25" t="s">
        <v>1127</v>
      </c>
      <c r="B268" s="25" t="s">
        <v>1126</v>
      </c>
      <c r="C268" s="25" t="s">
        <v>3403</v>
      </c>
      <c r="D268" s="25" t="s">
        <v>1454</v>
      </c>
      <c r="E268" s="25" t="s">
        <v>1337</v>
      </c>
      <c r="G268" s="25" t="s">
        <v>3404</v>
      </c>
      <c r="I268" s="25" t="s">
        <v>3405</v>
      </c>
      <c r="J268" s="25" t="s">
        <v>3406</v>
      </c>
      <c r="K268" s="25" t="s">
        <v>1124</v>
      </c>
      <c r="L268" s="25" t="s">
        <v>3407</v>
      </c>
      <c r="M268" s="25" t="s">
        <v>3403</v>
      </c>
      <c r="N268" s="25" t="s">
        <v>1233</v>
      </c>
      <c r="P268" s="25" t="s">
        <v>1226</v>
      </c>
      <c r="Q268" s="25" t="s">
        <v>1233</v>
      </c>
      <c r="S268" s="25" t="s">
        <v>3408</v>
      </c>
      <c r="T268" s="25" t="s">
        <v>3409</v>
      </c>
      <c r="V268" s="25" t="str">
        <f>VLOOKUP(J268,'records (2)'!$A:$Z,16,FALSE)</f>
        <v>florence.couturier@spsglobal.com</v>
      </c>
    </row>
    <row r="269" spans="1:22" hidden="1">
      <c r="A269" s="25" t="s">
        <v>232</v>
      </c>
      <c r="B269" s="25" t="s">
        <v>231</v>
      </c>
      <c r="C269" s="25" t="s">
        <v>230</v>
      </c>
      <c r="D269" s="25" t="s">
        <v>3410</v>
      </c>
      <c r="E269" s="25" t="s">
        <v>1337</v>
      </c>
      <c r="G269" s="25" t="s">
        <v>3411</v>
      </c>
      <c r="I269" s="25" t="s">
        <v>3412</v>
      </c>
      <c r="J269" s="25" t="s">
        <v>3413</v>
      </c>
      <c r="K269" s="25" t="s">
        <v>229</v>
      </c>
      <c r="L269" s="25" t="s">
        <v>3414</v>
      </c>
      <c r="M269" s="25" t="s">
        <v>230</v>
      </c>
      <c r="N269" s="25" t="s">
        <v>1233</v>
      </c>
      <c r="P269" s="25" t="s">
        <v>1226</v>
      </c>
      <c r="Q269" s="25" t="s">
        <v>1233</v>
      </c>
      <c r="S269" s="25" t="s">
        <v>3415</v>
      </c>
      <c r="T269" s="25" t="s">
        <v>3416</v>
      </c>
      <c r="V269" s="25" t="str">
        <f>VLOOKUP(J269,'records (2)'!$A:$Z,16,FALSE)</f>
        <v>isabelle.ouzet@jtekt.eu</v>
      </c>
    </row>
    <row r="270" spans="1:22" hidden="1">
      <c r="A270" s="25" t="s">
        <v>305</v>
      </c>
      <c r="B270" s="25" t="s">
        <v>304</v>
      </c>
      <c r="C270" s="25" t="s">
        <v>3417</v>
      </c>
      <c r="D270" s="25" t="s">
        <v>3418</v>
      </c>
      <c r="E270" s="25" t="s">
        <v>1337</v>
      </c>
      <c r="G270" s="25" t="s">
        <v>3419</v>
      </c>
      <c r="I270" s="25" t="s">
        <v>3420</v>
      </c>
      <c r="J270" s="25" t="s">
        <v>3421</v>
      </c>
      <c r="K270" s="25" t="s">
        <v>302</v>
      </c>
      <c r="L270" s="25" t="s">
        <v>3422</v>
      </c>
      <c r="M270" s="25" t="s">
        <v>3417</v>
      </c>
      <c r="N270" s="25" t="s">
        <v>1233</v>
      </c>
      <c r="P270" s="25" t="s">
        <v>1226</v>
      </c>
      <c r="Q270" s="25" t="s">
        <v>1233</v>
      </c>
      <c r="S270" s="25" t="s">
        <v>3423</v>
      </c>
      <c r="T270" s="25" t="s">
        <v>3424</v>
      </c>
      <c r="V270" s="25" t="str">
        <f>VLOOKUP(J270,'records (2)'!$A:$Z,16,FALSE)</f>
        <v>stephanie.regnier@nefab.com</v>
      </c>
    </row>
    <row r="271" spans="1:22" hidden="1">
      <c r="A271" s="25" t="s">
        <v>827</v>
      </c>
      <c r="B271" s="25" t="s">
        <v>826</v>
      </c>
      <c r="C271" s="25" t="s">
        <v>3425</v>
      </c>
      <c r="D271" s="25" t="s">
        <v>3426</v>
      </c>
      <c r="E271" s="25" t="s">
        <v>1337</v>
      </c>
      <c r="G271" s="25" t="s">
        <v>3427</v>
      </c>
      <c r="I271" s="25" t="s">
        <v>3428</v>
      </c>
      <c r="J271" s="25" t="s">
        <v>3429</v>
      </c>
      <c r="K271" s="25" t="s">
        <v>825</v>
      </c>
      <c r="L271" s="25" t="s">
        <v>3430</v>
      </c>
      <c r="M271" s="25" t="s">
        <v>3425</v>
      </c>
      <c r="N271" s="25" t="s">
        <v>1233</v>
      </c>
      <c r="P271" s="25" t="s">
        <v>1226</v>
      </c>
      <c r="Q271" s="25" t="s">
        <v>1233</v>
      </c>
      <c r="S271" s="25" t="s">
        <v>3431</v>
      </c>
      <c r="T271" s="25" t="s">
        <v>3432</v>
      </c>
      <c r="V271" s="25" t="str">
        <f>VLOOKUP(J271,'records (2)'!$A:$Z,16,FALSE)</f>
        <v>supplier.accounting@radiall.com</v>
      </c>
    </row>
    <row r="272" spans="1:22" hidden="1">
      <c r="A272" s="25" t="s">
        <v>253</v>
      </c>
      <c r="B272" s="25" t="s">
        <v>252</v>
      </c>
      <c r="C272" s="25" t="s">
        <v>3433</v>
      </c>
      <c r="D272" s="25" t="s">
        <v>3434</v>
      </c>
      <c r="E272" s="25" t="s">
        <v>1337</v>
      </c>
      <c r="G272" s="25" t="s">
        <v>1872</v>
      </c>
      <c r="I272" s="25" t="s">
        <v>3435</v>
      </c>
      <c r="J272" s="25" t="s">
        <v>3436</v>
      </c>
      <c r="K272" s="25" t="s">
        <v>251</v>
      </c>
      <c r="L272" s="25" t="s">
        <v>3437</v>
      </c>
      <c r="M272" s="25" t="s">
        <v>3433</v>
      </c>
      <c r="N272" s="25" t="s">
        <v>1233</v>
      </c>
      <c r="P272" s="25" t="s">
        <v>1226</v>
      </c>
      <c r="Q272" s="25" t="s">
        <v>1233</v>
      </c>
      <c r="S272" s="25" t="s">
        <v>3438</v>
      </c>
      <c r="T272" s="25" t="s">
        <v>3439</v>
      </c>
      <c r="V272" s="25" t="str">
        <f>VLOOKUP(J272,'records (2)'!$A:$Z,16,FALSE)</f>
        <v>n.lebosse@groupe-lemoine.com</v>
      </c>
    </row>
    <row r="273" spans="1:22" hidden="1">
      <c r="A273" s="25" t="s">
        <v>969</v>
      </c>
      <c r="B273" s="25" t="s">
        <v>968</v>
      </c>
      <c r="C273" s="25" t="s">
        <v>3440</v>
      </c>
      <c r="D273" s="25" t="s">
        <v>1361</v>
      </c>
      <c r="E273" s="25" t="s">
        <v>1337</v>
      </c>
      <c r="G273" s="25" t="s">
        <v>1362</v>
      </c>
      <c r="I273" s="25" t="s">
        <v>3441</v>
      </c>
      <c r="J273" s="25" t="s">
        <v>3442</v>
      </c>
      <c r="K273" s="25" t="s">
        <v>966</v>
      </c>
      <c r="L273" s="25" t="s">
        <v>3443</v>
      </c>
      <c r="M273" s="25" t="s">
        <v>3440</v>
      </c>
      <c r="N273" s="25" t="s">
        <v>1233</v>
      </c>
      <c r="P273" s="25" t="s">
        <v>1226</v>
      </c>
      <c r="Q273" s="25" t="s">
        <v>1233</v>
      </c>
      <c r="S273" s="25" t="s">
        <v>3444</v>
      </c>
      <c r="T273" s="25" t="s">
        <v>3445</v>
      </c>
      <c r="V273" s="25" t="str">
        <f>VLOOKUP(J273,'records (2)'!$A:$Z,16,FALSE)</f>
        <v>factures.helpdesk@antolin.com</v>
      </c>
    </row>
    <row r="274" spans="1:22" hidden="1">
      <c r="A274" s="25" t="s">
        <v>683</v>
      </c>
      <c r="B274" s="25" t="s">
        <v>682</v>
      </c>
      <c r="C274" s="25" t="s">
        <v>3446</v>
      </c>
      <c r="D274" s="25" t="s">
        <v>3447</v>
      </c>
      <c r="E274" s="25" t="s">
        <v>1337</v>
      </c>
      <c r="G274" s="25" t="s">
        <v>3448</v>
      </c>
      <c r="I274" s="25" t="s">
        <v>3449</v>
      </c>
      <c r="J274" s="25" t="s">
        <v>3450</v>
      </c>
      <c r="K274" s="25" t="s">
        <v>680</v>
      </c>
      <c r="L274" s="25" t="s">
        <v>3451</v>
      </c>
      <c r="M274" s="25" t="s">
        <v>3446</v>
      </c>
      <c r="N274" s="25" t="s">
        <v>1233</v>
      </c>
      <c r="P274" s="25" t="s">
        <v>1226</v>
      </c>
      <c r="Q274" s="25" t="s">
        <v>1233</v>
      </c>
      <c r="S274" s="25" t="s">
        <v>3452</v>
      </c>
      <c r="T274" s="25" t="s">
        <v>3453</v>
      </c>
      <c r="V274" s="25" t="str">
        <f>VLOOKUP(J274,'records (2)'!$A:$Z,16,FALSE)</f>
        <v>delphine.gehin@antolin.com</v>
      </c>
    </row>
    <row r="275" spans="1:22" hidden="1">
      <c r="A275" s="25" t="s">
        <v>386</v>
      </c>
      <c r="B275" s="25" t="s">
        <v>385</v>
      </c>
      <c r="C275" s="25" t="s">
        <v>3454</v>
      </c>
      <c r="D275" s="25" t="s">
        <v>3455</v>
      </c>
      <c r="E275" s="25" t="s">
        <v>1337</v>
      </c>
      <c r="G275" s="25" t="s">
        <v>3456</v>
      </c>
      <c r="I275" s="25" t="s">
        <v>3457</v>
      </c>
      <c r="J275" s="25" t="s">
        <v>3458</v>
      </c>
      <c r="K275" s="25" t="s">
        <v>384</v>
      </c>
      <c r="L275" s="25" t="s">
        <v>3459</v>
      </c>
      <c r="M275" s="25" t="s">
        <v>3454</v>
      </c>
      <c r="N275" s="25" t="s">
        <v>1233</v>
      </c>
      <c r="P275" s="25" t="s">
        <v>1226</v>
      </c>
      <c r="Q275" s="25" t="s">
        <v>1233</v>
      </c>
      <c r="S275" s="25" t="s">
        <v>3460</v>
      </c>
      <c r="T275" s="25" t="s">
        <v>3461</v>
      </c>
      <c r="V275" s="25" t="str">
        <f>VLOOKUP(J275,'records (2)'!$A:$Z,16,FALSE)</f>
        <v>b.hialle@technoflex.net</v>
      </c>
    </row>
    <row r="276" spans="1:22" hidden="1">
      <c r="A276" s="25" t="s">
        <v>916</v>
      </c>
      <c r="B276" s="25" t="s">
        <v>915</v>
      </c>
      <c r="C276" s="25" t="s">
        <v>3462</v>
      </c>
      <c r="D276" s="25" t="s">
        <v>3463</v>
      </c>
      <c r="E276" s="25" t="s">
        <v>1337</v>
      </c>
      <c r="G276" s="25" t="s">
        <v>3464</v>
      </c>
      <c r="I276" s="25" t="s">
        <v>3465</v>
      </c>
      <c r="J276" s="25" t="s">
        <v>3466</v>
      </c>
      <c r="K276" s="25" t="s">
        <v>913</v>
      </c>
      <c r="L276" s="25" t="s">
        <v>3467</v>
      </c>
      <c r="M276" s="25" t="s">
        <v>3462</v>
      </c>
      <c r="N276" s="25" t="s">
        <v>1233</v>
      </c>
      <c r="P276" s="25" t="s">
        <v>1226</v>
      </c>
      <c r="Q276" s="25" t="s">
        <v>1233</v>
      </c>
      <c r="S276" s="25" t="s">
        <v>3468</v>
      </c>
      <c r="T276" s="25" t="s">
        <v>3469</v>
      </c>
      <c r="V276" s="25" t="str">
        <f>VLOOKUP(J276,'records (2)'!$A:$Z,16,FALSE)</f>
        <v>v.sordelet@groupe-streit.com</v>
      </c>
    </row>
    <row r="277" spans="1:22" hidden="1">
      <c r="A277" s="25" t="s">
        <v>1060</v>
      </c>
      <c r="B277" s="25" t="s">
        <v>1059</v>
      </c>
      <c r="C277" s="25" t="s">
        <v>3470</v>
      </c>
      <c r="D277" s="25" t="s">
        <v>3471</v>
      </c>
      <c r="E277" s="25" t="s">
        <v>1337</v>
      </c>
      <c r="F277" s="25" t="s">
        <v>1439</v>
      </c>
      <c r="G277" s="25" t="s">
        <v>3472</v>
      </c>
      <c r="I277" s="25" t="s">
        <v>3473</v>
      </c>
      <c r="J277" s="25" t="s">
        <v>1310</v>
      </c>
      <c r="K277" s="25" t="s">
        <v>1058</v>
      </c>
      <c r="L277" s="25" t="s">
        <v>3474</v>
      </c>
      <c r="M277" s="25" t="s">
        <v>3470</v>
      </c>
      <c r="N277" s="25" t="s">
        <v>1233</v>
      </c>
      <c r="P277" s="25" t="s">
        <v>1226</v>
      </c>
      <c r="Q277" s="25" t="s">
        <v>1233</v>
      </c>
      <c r="S277" s="25" t="s">
        <v>3475</v>
      </c>
      <c r="T277" s="25" t="s">
        <v>3476</v>
      </c>
      <c r="V277" s="25" t="str">
        <f>VLOOKUP(J277,'records (2)'!$A:$Z,16,FALSE)</f>
        <v>cadam@deltadore.com</v>
      </c>
    </row>
    <row r="278" spans="1:22" hidden="1">
      <c r="A278" s="25" t="s">
        <v>40</v>
      </c>
      <c r="B278" s="25" t="s">
        <v>39</v>
      </c>
      <c r="C278" s="25" t="s">
        <v>3477</v>
      </c>
      <c r="D278" s="25" t="s">
        <v>3478</v>
      </c>
      <c r="E278" s="25" t="s">
        <v>1337</v>
      </c>
      <c r="G278" s="25" t="s">
        <v>3479</v>
      </c>
      <c r="I278" s="25" t="s">
        <v>3480</v>
      </c>
      <c r="J278" s="25" t="s">
        <v>3481</v>
      </c>
      <c r="K278" s="25" t="s">
        <v>37</v>
      </c>
      <c r="L278" s="25" t="s">
        <v>3482</v>
      </c>
      <c r="M278" s="25" t="s">
        <v>3477</v>
      </c>
      <c r="N278" s="25" t="s">
        <v>1233</v>
      </c>
      <c r="P278" s="25" t="s">
        <v>1226</v>
      </c>
      <c r="Q278" s="25" t="s">
        <v>1233</v>
      </c>
      <c r="S278" s="25" t="s">
        <v>3483</v>
      </c>
      <c r="T278" s="25" t="s">
        <v>3484</v>
      </c>
      <c r="V278" s="25" t="str">
        <f>VLOOKUP(J278,'records (2)'!$A:$Z,16,FALSE)</f>
        <v>jtrikas@graindemalice.com</v>
      </c>
    </row>
    <row r="279" spans="1:22" hidden="1">
      <c r="A279" s="25" t="s">
        <v>586</v>
      </c>
      <c r="B279" s="25" t="s">
        <v>585</v>
      </c>
      <c r="C279" s="25" t="s">
        <v>3485</v>
      </c>
      <c r="D279" s="25" t="s">
        <v>3486</v>
      </c>
      <c r="E279" s="25" t="s">
        <v>1337</v>
      </c>
      <c r="F279" s="25" t="s">
        <v>3487</v>
      </c>
      <c r="G279" s="25" t="s">
        <v>3488</v>
      </c>
      <c r="I279" s="25" t="s">
        <v>3489</v>
      </c>
      <c r="J279" s="25" t="s">
        <v>3490</v>
      </c>
      <c r="K279" s="25" t="s">
        <v>584</v>
      </c>
      <c r="L279" s="25" t="s">
        <v>3491</v>
      </c>
      <c r="M279" s="25" t="s">
        <v>3485</v>
      </c>
      <c r="N279" s="25" t="s">
        <v>1233</v>
      </c>
      <c r="P279" s="25" t="s">
        <v>1226</v>
      </c>
      <c r="Q279" s="25" t="s">
        <v>1233</v>
      </c>
      <c r="S279" s="25" t="s">
        <v>3492</v>
      </c>
      <c r="T279" s="25" t="s">
        <v>3493</v>
      </c>
      <c r="V279" s="25" t="str">
        <f>VLOOKUP(J279,'records (2)'!$A:$Z,16,FALSE)</f>
        <v>tboilleaut@moutarde.com</v>
      </c>
    </row>
    <row r="280" spans="1:22" hidden="1">
      <c r="A280" s="25" t="s">
        <v>687</v>
      </c>
      <c r="B280" s="25" t="s">
        <v>686</v>
      </c>
      <c r="C280" s="25" t="s">
        <v>3494</v>
      </c>
      <c r="D280" s="25" t="s">
        <v>3329</v>
      </c>
      <c r="E280" s="25" t="s">
        <v>1337</v>
      </c>
      <c r="G280" s="25" t="s">
        <v>3330</v>
      </c>
      <c r="I280" s="25" t="s">
        <v>3495</v>
      </c>
      <c r="J280" s="25" t="s">
        <v>3496</v>
      </c>
      <c r="K280" s="25" t="s">
        <v>684</v>
      </c>
      <c r="L280" s="25" t="s">
        <v>3497</v>
      </c>
      <c r="M280" s="25" t="s">
        <v>3494</v>
      </c>
      <c r="N280" s="25" t="s">
        <v>1233</v>
      </c>
      <c r="P280" s="25" t="s">
        <v>1226</v>
      </c>
      <c r="Q280" s="25" t="s">
        <v>1233</v>
      </c>
      <c r="S280" s="25" t="s">
        <v>3498</v>
      </c>
      <c r="T280" s="25" t="s">
        <v>3499</v>
      </c>
      <c r="V280" s="25" t="str">
        <f>VLOOKUP(J280,'records (2)'!$A:$Z,16,FALSE)</f>
        <v>thierry.doyennel@hamelinbrands.com</v>
      </c>
    </row>
    <row r="281" spans="1:22" hidden="1">
      <c r="A281" s="25" t="s">
        <v>507</v>
      </c>
      <c r="B281" s="25" t="s">
        <v>506</v>
      </c>
      <c r="C281" s="25" t="s">
        <v>3500</v>
      </c>
      <c r="D281" s="25" t="s">
        <v>3501</v>
      </c>
      <c r="E281" s="25" t="s">
        <v>1337</v>
      </c>
      <c r="G281" s="25" t="s">
        <v>3502</v>
      </c>
      <c r="I281" s="25" t="s">
        <v>3503</v>
      </c>
      <c r="J281" s="25" t="s">
        <v>3504</v>
      </c>
      <c r="K281" s="25" t="s">
        <v>505</v>
      </c>
      <c r="L281" s="25" t="s">
        <v>3505</v>
      </c>
      <c r="M281" s="25" t="s">
        <v>3500</v>
      </c>
      <c r="P281" s="25" t="s">
        <v>1226</v>
      </c>
      <c r="Q281" s="25" t="s">
        <v>1233</v>
      </c>
      <c r="S281" s="25" t="s">
        <v>3506</v>
      </c>
      <c r="T281" s="25" t="s">
        <v>3507</v>
      </c>
      <c r="V281" s="25" t="str">
        <f>VLOOKUP(J281,'records (2)'!$A:$Z,16,FALSE)</f>
        <v>fabienne.dufour@lecta.com</v>
      </c>
    </row>
    <row r="282" spans="1:22" hidden="1">
      <c r="A282" s="25" t="s">
        <v>57</v>
      </c>
      <c r="B282" s="25" t="s">
        <v>56</v>
      </c>
      <c r="C282" s="25" t="s">
        <v>3508</v>
      </c>
      <c r="D282" s="25" t="s">
        <v>3509</v>
      </c>
      <c r="E282" s="25" t="s">
        <v>1337</v>
      </c>
      <c r="G282" s="25" t="s">
        <v>3510</v>
      </c>
      <c r="I282" s="25" t="s">
        <v>3511</v>
      </c>
      <c r="J282" s="25" t="s">
        <v>3512</v>
      </c>
      <c r="K282" s="25" t="s">
        <v>54</v>
      </c>
      <c r="L282" s="25" t="s">
        <v>3513</v>
      </c>
      <c r="M282" s="25" t="s">
        <v>3508</v>
      </c>
      <c r="N282" s="25" t="s">
        <v>1233</v>
      </c>
      <c r="P282" s="25" t="s">
        <v>1226</v>
      </c>
      <c r="Q282" s="25" t="s">
        <v>1233</v>
      </c>
      <c r="S282" s="25" t="s">
        <v>3514</v>
      </c>
      <c r="T282" s="25" t="s">
        <v>3515</v>
      </c>
      <c r="V282" s="25" t="str">
        <f>VLOOKUP(J282,'records (2)'!$A:$Z,16,FALSE)</f>
        <v>valerie.chantelauze@gcpat.com</v>
      </c>
    </row>
    <row r="283" spans="1:22" hidden="1">
      <c r="A283" s="25" t="s">
        <v>443</v>
      </c>
      <c r="B283" s="25" t="s">
        <v>442</v>
      </c>
      <c r="C283" s="25" t="s">
        <v>3516</v>
      </c>
      <c r="D283" s="25" t="s">
        <v>3517</v>
      </c>
      <c r="E283" s="25" t="s">
        <v>1337</v>
      </c>
      <c r="G283" s="25" t="s">
        <v>3518</v>
      </c>
      <c r="I283" s="25" t="s">
        <v>3519</v>
      </c>
      <c r="J283" s="25" t="s">
        <v>1281</v>
      </c>
      <c r="K283" s="25" t="s">
        <v>440</v>
      </c>
      <c r="L283" s="25" t="s">
        <v>3520</v>
      </c>
      <c r="M283" s="25" t="s">
        <v>3516</v>
      </c>
      <c r="N283" s="25" t="s">
        <v>1233</v>
      </c>
      <c r="P283" s="25" t="s">
        <v>1226</v>
      </c>
      <c r="Q283" s="25" t="s">
        <v>1233</v>
      </c>
      <c r="S283" s="25" t="s">
        <v>3521</v>
      </c>
      <c r="T283" s="25" t="s">
        <v>3522</v>
      </c>
      <c r="V283" s="25" t="str">
        <f>VLOOKUP(J283,'records (2)'!$A:$Z,16,FALSE)</f>
        <v>ingrid.beaud@araymond.com</v>
      </c>
    </row>
    <row r="284" spans="1:22" hidden="1">
      <c r="A284" s="25" t="s">
        <v>1134</v>
      </c>
      <c r="B284" s="25" t="s">
        <v>1133</v>
      </c>
      <c r="C284" s="25" t="s">
        <v>3523</v>
      </c>
      <c r="D284" s="25" t="s">
        <v>2859</v>
      </c>
      <c r="E284" s="25" t="s">
        <v>1337</v>
      </c>
      <c r="G284" s="25" t="s">
        <v>3524</v>
      </c>
      <c r="I284" s="25" t="s">
        <v>3525</v>
      </c>
      <c r="J284" s="25" t="s">
        <v>3526</v>
      </c>
      <c r="K284" s="25" t="s">
        <v>1131</v>
      </c>
      <c r="L284" s="25" t="s">
        <v>3527</v>
      </c>
      <c r="M284" s="25" t="s">
        <v>3523</v>
      </c>
      <c r="N284" s="25" t="s">
        <v>1233</v>
      </c>
      <c r="P284" s="25" t="s">
        <v>1226</v>
      </c>
      <c r="Q284" s="25" t="s">
        <v>1233</v>
      </c>
      <c r="S284" s="25" t="s">
        <v>3528</v>
      </c>
      <c r="T284" s="25" t="s">
        <v>3529</v>
      </c>
      <c r="V284" s="25">
        <f>VLOOKUP(J284,'records (2)'!$A:$Z,16,FALSE)</f>
        <v>0</v>
      </c>
    </row>
    <row r="285" spans="1:22" hidden="1">
      <c r="A285" s="25" t="s">
        <v>1138</v>
      </c>
      <c r="B285" s="25" t="s">
        <v>1137</v>
      </c>
      <c r="C285" s="25" t="s">
        <v>3530</v>
      </c>
      <c r="D285" s="25" t="s">
        <v>3531</v>
      </c>
      <c r="E285" s="25" t="s">
        <v>1337</v>
      </c>
      <c r="F285" s="25" t="s">
        <v>3532</v>
      </c>
      <c r="G285" s="25" t="s">
        <v>3533</v>
      </c>
      <c r="I285" s="25" t="s">
        <v>3534</v>
      </c>
      <c r="J285" s="25" t="s">
        <v>1282</v>
      </c>
      <c r="K285" s="25" t="s">
        <v>1135</v>
      </c>
      <c r="L285" s="25" t="s">
        <v>3535</v>
      </c>
      <c r="M285" s="25" t="s">
        <v>3530</v>
      </c>
      <c r="N285" s="25" t="s">
        <v>1233</v>
      </c>
      <c r="P285" s="25" t="s">
        <v>1226</v>
      </c>
      <c r="Q285" s="25" t="s">
        <v>1233</v>
      </c>
      <c r="S285" s="25" t="s">
        <v>3536</v>
      </c>
      <c r="T285" s="25" t="s">
        <v>3537</v>
      </c>
      <c r="V285" s="25" t="str">
        <f>VLOOKUP(J285,'records (2)'!$A:$Z,16,FALSE)</f>
        <v>vendor1036@araymond.com</v>
      </c>
    </row>
    <row r="286" spans="1:22" hidden="1">
      <c r="A286" s="25" t="s">
        <v>1076</v>
      </c>
      <c r="B286" s="25" t="s">
        <v>1075</v>
      </c>
      <c r="C286" s="25" t="s">
        <v>3538</v>
      </c>
      <c r="D286" s="25" t="s">
        <v>2672</v>
      </c>
      <c r="E286" s="25" t="s">
        <v>1337</v>
      </c>
      <c r="F286" s="25" t="s">
        <v>3539</v>
      </c>
      <c r="G286" s="25" t="s">
        <v>3540</v>
      </c>
      <c r="I286" s="25" t="s">
        <v>3541</v>
      </c>
      <c r="J286" s="25" t="s">
        <v>1299</v>
      </c>
      <c r="K286" s="25" t="s">
        <v>1073</v>
      </c>
      <c r="L286" s="25" t="s">
        <v>3542</v>
      </c>
      <c r="M286" s="25" t="s">
        <v>3538</v>
      </c>
      <c r="N286" s="25" t="s">
        <v>1233</v>
      </c>
      <c r="P286" s="25" t="s">
        <v>1226</v>
      </c>
      <c r="Q286" s="25" t="s">
        <v>1233</v>
      </c>
      <c r="S286" s="25" t="s">
        <v>3543</v>
      </c>
      <c r="T286" s="25" t="s">
        <v>3544</v>
      </c>
      <c r="V286" s="25" t="str">
        <f>VLOOKUP(J286,'records (2)'!$A:$Z,16,FALSE)</f>
        <v>veronique.bochet@cera.caisse-epargne.fr</v>
      </c>
    </row>
    <row r="287" spans="1:22" hidden="1">
      <c r="A287" s="25" t="s">
        <v>264</v>
      </c>
      <c r="B287" s="25" t="s">
        <v>263</v>
      </c>
      <c r="C287" s="25" t="s">
        <v>3545</v>
      </c>
      <c r="D287" s="25" t="s">
        <v>3546</v>
      </c>
      <c r="E287" s="25" t="s">
        <v>1337</v>
      </c>
      <c r="F287" s="25" t="s">
        <v>1847</v>
      </c>
      <c r="G287" s="25" t="s">
        <v>3547</v>
      </c>
      <c r="I287" s="25" t="s">
        <v>3548</v>
      </c>
      <c r="J287" s="25" t="s">
        <v>3549</v>
      </c>
      <c r="K287" s="25" t="s">
        <v>261</v>
      </c>
      <c r="L287" s="25" t="s">
        <v>3550</v>
      </c>
      <c r="M287" s="25" t="s">
        <v>3545</v>
      </c>
      <c r="N287" s="25" t="s">
        <v>1233</v>
      </c>
      <c r="P287" s="25" t="s">
        <v>1226</v>
      </c>
      <c r="Q287" s="25" t="s">
        <v>1233</v>
      </c>
      <c r="S287" s="25" t="s">
        <v>3551</v>
      </c>
      <c r="T287" s="25" t="s">
        <v>3552</v>
      </c>
      <c r="V287" s="25" t="str">
        <f>VLOOKUP(J287,'records (2)'!$A:$Z,16,FALSE)</f>
        <v>veronique.gosse@lisi-group.com</v>
      </c>
    </row>
    <row r="288" spans="1:22" hidden="1">
      <c r="A288" s="25" t="s">
        <v>73</v>
      </c>
      <c r="B288" s="25" t="s">
        <v>72</v>
      </c>
      <c r="C288" s="25" t="s">
        <v>3553</v>
      </c>
      <c r="D288" s="25" t="s">
        <v>3554</v>
      </c>
      <c r="E288" s="25" t="s">
        <v>1337</v>
      </c>
      <c r="F288" s="25" t="s">
        <v>3555</v>
      </c>
      <c r="G288" s="25" t="s">
        <v>3556</v>
      </c>
      <c r="I288" s="25" t="s">
        <v>3557</v>
      </c>
      <c r="J288" s="25" t="s">
        <v>1267</v>
      </c>
      <c r="K288" s="25" t="s">
        <v>70</v>
      </c>
      <c r="L288" s="25" t="s">
        <v>3558</v>
      </c>
      <c r="M288" s="25" t="s">
        <v>3553</v>
      </c>
      <c r="N288" s="25" t="s">
        <v>1233</v>
      </c>
      <c r="P288" s="25" t="s">
        <v>1226</v>
      </c>
      <c r="Q288" s="25" t="s">
        <v>1233</v>
      </c>
      <c r="S288" s="25" t="s">
        <v>3559</v>
      </c>
      <c r="T288" s="25" t="s">
        <v>3560</v>
      </c>
      <c r="V288" s="25" t="str">
        <f>VLOOKUP(J288,'records (2)'!$A:$Z,16,FALSE)</f>
        <v>leocadie.lecourtois@savencia.com</v>
      </c>
    </row>
    <row r="289" spans="1:22" hidden="1">
      <c r="A289" s="25" t="s">
        <v>944</v>
      </c>
      <c r="B289" s="25" t="s">
        <v>943</v>
      </c>
      <c r="C289" s="25" t="s">
        <v>3561</v>
      </c>
      <c r="D289" s="25" t="s">
        <v>1625</v>
      </c>
      <c r="E289" s="25" t="s">
        <v>1337</v>
      </c>
      <c r="G289" s="25" t="s">
        <v>3562</v>
      </c>
      <c r="I289" s="25" t="s">
        <v>3563</v>
      </c>
      <c r="J289" s="25" t="s">
        <v>3564</v>
      </c>
      <c r="K289" s="25" t="s">
        <v>942</v>
      </c>
      <c r="L289" s="25" t="s">
        <v>3565</v>
      </c>
      <c r="M289" s="25" t="s">
        <v>3561</v>
      </c>
      <c r="N289" s="25" t="s">
        <v>1233</v>
      </c>
      <c r="P289" s="25" t="s">
        <v>1226</v>
      </c>
      <c r="Q289" s="25" t="s">
        <v>1233</v>
      </c>
      <c r="S289" s="25" t="s">
        <v>3566</v>
      </c>
      <c r="T289" s="25" t="s">
        <v>3567</v>
      </c>
      <c r="V289" s="25" t="str">
        <f>VLOOKUP(J289,'records (2)'!$A:$Z,16,FALSE)</f>
        <v>nathalie.sojka@vishay.com</v>
      </c>
    </row>
    <row r="290" spans="1:22" hidden="1">
      <c r="A290" s="25" t="s">
        <v>160</v>
      </c>
      <c r="B290" s="25" t="s">
        <v>159</v>
      </c>
      <c r="C290" s="25" t="s">
        <v>3568</v>
      </c>
      <c r="D290" s="25" t="s">
        <v>3569</v>
      </c>
      <c r="E290" s="25" t="s">
        <v>1337</v>
      </c>
      <c r="G290" s="25" t="s">
        <v>3570</v>
      </c>
      <c r="I290" s="25" t="s">
        <v>3571</v>
      </c>
      <c r="J290" s="25" t="s">
        <v>3572</v>
      </c>
      <c r="K290" s="25" t="s">
        <v>158</v>
      </c>
      <c r="L290" s="25" t="s">
        <v>3573</v>
      </c>
      <c r="M290" s="25" t="s">
        <v>3568</v>
      </c>
      <c r="N290" s="25" t="s">
        <v>1233</v>
      </c>
      <c r="P290" s="25" t="s">
        <v>1226</v>
      </c>
      <c r="Q290" s="25" t="s">
        <v>1233</v>
      </c>
      <c r="S290" s="25" t="s">
        <v>3574</v>
      </c>
      <c r="T290" s="25" t="s">
        <v>3575</v>
      </c>
      <c r="V290" s="25" t="str">
        <f>VLOOKUP(J290,'records (2)'!$A:$Z,16,FALSE)</f>
        <v>xfuchs@charcupac.fr</v>
      </c>
    </row>
    <row r="291" spans="1:22">
      <c r="A291" s="25" t="s">
        <v>439</v>
      </c>
      <c r="B291" s="25" t="s">
        <v>1256</v>
      </c>
      <c r="L291" s="25" t="s">
        <v>3576</v>
      </c>
      <c r="T291" s="25" t="s">
        <v>3577</v>
      </c>
    </row>
    <row r="292" spans="1:22">
      <c r="A292" s="25" t="s">
        <v>938</v>
      </c>
      <c r="B292" s="25" t="s">
        <v>937</v>
      </c>
      <c r="C292" s="25" t="s">
        <v>3578</v>
      </c>
      <c r="D292" s="25" t="s">
        <v>3579</v>
      </c>
      <c r="E292" s="25" t="s">
        <v>1337</v>
      </c>
      <c r="F292" s="25" t="s">
        <v>1832</v>
      </c>
      <c r="G292" s="25" t="s">
        <v>3580</v>
      </c>
      <c r="I292" s="25" t="s">
        <v>3581</v>
      </c>
      <c r="J292" s="25" t="s">
        <v>3582</v>
      </c>
      <c r="K292" s="25" t="s">
        <v>936</v>
      </c>
      <c r="L292" s="25" t="s">
        <v>3583</v>
      </c>
      <c r="M292" s="25" t="s">
        <v>3578</v>
      </c>
      <c r="N292" s="25" t="s">
        <v>3579</v>
      </c>
      <c r="O292" s="25" t="s">
        <v>1337</v>
      </c>
      <c r="P292" s="25" t="s">
        <v>1832</v>
      </c>
      <c r="Q292" s="25" t="s">
        <v>3580</v>
      </c>
      <c r="S292" s="25" t="s">
        <v>3581</v>
      </c>
      <c r="T292" s="25" t="s">
        <v>3584</v>
      </c>
    </row>
    <row r="293" spans="1:22">
      <c r="A293" s="25" t="s">
        <v>973</v>
      </c>
      <c r="B293" s="25" t="s">
        <v>972</v>
      </c>
      <c r="C293" s="25" t="s">
        <v>3585</v>
      </c>
      <c r="D293" s="25" t="s">
        <v>3586</v>
      </c>
      <c r="E293" s="25" t="s">
        <v>1337</v>
      </c>
      <c r="G293" s="25" t="s">
        <v>3587</v>
      </c>
      <c r="I293" s="25" t="s">
        <v>3588</v>
      </c>
      <c r="J293" s="25" t="s">
        <v>3589</v>
      </c>
      <c r="K293" s="25" t="s">
        <v>970</v>
      </c>
      <c r="L293" s="25" t="s">
        <v>3590</v>
      </c>
      <c r="M293" s="25" t="s">
        <v>3585</v>
      </c>
      <c r="N293" s="25" t="s">
        <v>3586</v>
      </c>
      <c r="O293" s="25" t="s">
        <v>1337</v>
      </c>
      <c r="P293" s="25" t="s">
        <v>1927</v>
      </c>
      <c r="Q293" s="25" t="s">
        <v>3587</v>
      </c>
      <c r="S293" s="25" t="s">
        <v>3588</v>
      </c>
      <c r="T293" s="25" t="s">
        <v>3591</v>
      </c>
    </row>
    <row r="294" spans="1:22">
      <c r="A294" s="25" t="s">
        <v>66</v>
      </c>
      <c r="B294" s="25" t="s">
        <v>65</v>
      </c>
      <c r="C294" s="25" t="s">
        <v>3592</v>
      </c>
      <c r="D294" s="25" t="s">
        <v>3593</v>
      </c>
      <c r="E294" s="25" t="s">
        <v>1337</v>
      </c>
      <c r="G294" s="25" t="s">
        <v>3594</v>
      </c>
      <c r="I294" s="25" t="s">
        <v>3595</v>
      </c>
      <c r="J294" s="25" t="s">
        <v>3596</v>
      </c>
      <c r="K294" s="25" t="s">
        <v>64</v>
      </c>
      <c r="L294" s="25" t="s">
        <v>3597</v>
      </c>
      <c r="M294" s="25" t="s">
        <v>3592</v>
      </c>
      <c r="N294" s="25" t="s">
        <v>3593</v>
      </c>
      <c r="O294" s="25" t="s">
        <v>1337</v>
      </c>
      <c r="Q294" s="25" t="s">
        <v>3594</v>
      </c>
      <c r="S294" s="25" t="s">
        <v>3595</v>
      </c>
      <c r="T294" s="25" t="s">
        <v>3598</v>
      </c>
    </row>
    <row r="295" spans="1:22">
      <c r="A295" s="25" t="s">
        <v>276</v>
      </c>
      <c r="B295" s="25" t="s">
        <v>275</v>
      </c>
      <c r="C295" s="25" t="s">
        <v>3599</v>
      </c>
      <c r="D295" s="25" t="s">
        <v>3600</v>
      </c>
      <c r="E295" s="25" t="s">
        <v>1337</v>
      </c>
      <c r="G295" s="25" t="s">
        <v>3601</v>
      </c>
      <c r="I295" s="25" t="s">
        <v>3602</v>
      </c>
      <c r="J295" s="25" t="s">
        <v>1300</v>
      </c>
      <c r="K295" s="25" t="s">
        <v>273</v>
      </c>
      <c r="L295" s="25" t="s">
        <v>3603</v>
      </c>
      <c r="M295" s="25" t="s">
        <v>3599</v>
      </c>
      <c r="N295" s="25" t="s">
        <v>3600</v>
      </c>
      <c r="O295" s="25" t="s">
        <v>1337</v>
      </c>
      <c r="Q295" s="25" t="s">
        <v>3601</v>
      </c>
      <c r="S295" s="25" t="s">
        <v>3602</v>
      </c>
      <c r="T295" s="25" t="s">
        <v>3604</v>
      </c>
    </row>
    <row r="296" spans="1:22">
      <c r="A296" s="25" t="s">
        <v>297</v>
      </c>
      <c r="B296" s="25" t="s">
        <v>296</v>
      </c>
      <c r="C296" s="25" t="s">
        <v>3605</v>
      </c>
      <c r="D296" s="25" t="s">
        <v>3606</v>
      </c>
      <c r="E296" s="25" t="s">
        <v>1337</v>
      </c>
      <c r="F296" s="25" t="s">
        <v>1847</v>
      </c>
      <c r="G296" s="25" t="s">
        <v>3607</v>
      </c>
      <c r="I296" s="25" t="s">
        <v>3608</v>
      </c>
      <c r="J296" s="25" t="s">
        <v>3609</v>
      </c>
      <c r="K296" s="25" t="s">
        <v>295</v>
      </c>
      <c r="L296" s="25" t="s">
        <v>3610</v>
      </c>
      <c r="M296" s="25" t="s">
        <v>3605</v>
      </c>
      <c r="N296" s="25" t="s">
        <v>3606</v>
      </c>
      <c r="O296" s="25" t="s">
        <v>1337</v>
      </c>
      <c r="P296" s="25" t="s">
        <v>1847</v>
      </c>
      <c r="Q296" s="25" t="s">
        <v>3607</v>
      </c>
      <c r="S296" s="25" t="s">
        <v>3608</v>
      </c>
      <c r="T296" s="25" t="s">
        <v>3611</v>
      </c>
    </row>
    <row r="297" spans="1:22">
      <c r="A297" s="25" t="s">
        <v>898</v>
      </c>
      <c r="B297" s="25" t="s">
        <v>897</v>
      </c>
      <c r="C297" s="25" t="s">
        <v>3612</v>
      </c>
      <c r="D297" s="25" t="s">
        <v>3613</v>
      </c>
      <c r="E297" s="25" t="s">
        <v>1337</v>
      </c>
      <c r="G297" s="25" t="s">
        <v>3614</v>
      </c>
      <c r="I297" s="25" t="s">
        <v>3615</v>
      </c>
      <c r="J297" s="25" t="s">
        <v>3616</v>
      </c>
      <c r="K297" s="25" t="s">
        <v>896</v>
      </c>
      <c r="L297" s="25" t="s">
        <v>3617</v>
      </c>
      <c r="M297" s="25" t="s">
        <v>3612</v>
      </c>
      <c r="N297" s="25" t="s">
        <v>3613</v>
      </c>
      <c r="O297" s="25" t="s">
        <v>1337</v>
      </c>
      <c r="Q297" s="25" t="s">
        <v>3614</v>
      </c>
      <c r="S297" s="25" t="s">
        <v>3615</v>
      </c>
      <c r="T297" s="25" t="s">
        <v>3618</v>
      </c>
    </row>
    <row r="298" spans="1:22">
      <c r="A298" s="25" t="s">
        <v>883</v>
      </c>
      <c r="B298" s="25" t="s">
        <v>882</v>
      </c>
      <c r="C298" s="25" t="s">
        <v>3619</v>
      </c>
      <c r="D298" s="25" t="s">
        <v>3620</v>
      </c>
      <c r="E298" s="25" t="s">
        <v>1337</v>
      </c>
      <c r="G298" s="25" t="s">
        <v>3621</v>
      </c>
      <c r="I298" s="25" t="s">
        <v>3622</v>
      </c>
      <c r="J298" s="25" t="s">
        <v>3623</v>
      </c>
      <c r="K298" s="25" t="s">
        <v>880</v>
      </c>
      <c r="L298" s="25" t="s">
        <v>3624</v>
      </c>
      <c r="M298" s="25" t="s">
        <v>3619</v>
      </c>
      <c r="N298" s="25" t="s">
        <v>3620</v>
      </c>
      <c r="O298" s="25" t="s">
        <v>1337</v>
      </c>
      <c r="Q298" s="25" t="s">
        <v>3621</v>
      </c>
      <c r="S298" s="25" t="s">
        <v>3622</v>
      </c>
      <c r="T298" s="25" t="s">
        <v>3625</v>
      </c>
    </row>
    <row r="299" spans="1:22">
      <c r="A299" s="25" t="s">
        <v>1142</v>
      </c>
      <c r="B299" s="25" t="s">
        <v>1141</v>
      </c>
      <c r="C299" s="25" t="s">
        <v>1141</v>
      </c>
      <c r="D299" s="25" t="s">
        <v>3626</v>
      </c>
      <c r="E299" s="25" t="s">
        <v>1337</v>
      </c>
      <c r="G299" s="25" t="s">
        <v>3627</v>
      </c>
      <c r="I299" s="25" t="s">
        <v>3628</v>
      </c>
      <c r="J299" s="25" t="s">
        <v>3629</v>
      </c>
      <c r="K299" s="25" t="s">
        <v>1140</v>
      </c>
      <c r="L299" s="25" t="s">
        <v>3630</v>
      </c>
      <c r="M299" s="25" t="s">
        <v>1141</v>
      </c>
      <c r="N299" s="25" t="s">
        <v>3626</v>
      </c>
      <c r="O299" s="25" t="s">
        <v>1337</v>
      </c>
      <c r="P299" s="25" t="s">
        <v>3631</v>
      </c>
      <c r="Q299" s="25" t="s">
        <v>3627</v>
      </c>
      <c r="S299" s="25" t="s">
        <v>3628</v>
      </c>
      <c r="T299" s="25" t="s">
        <v>3632</v>
      </c>
    </row>
    <row r="300" spans="1:22">
      <c r="A300" s="25" t="s">
        <v>1258</v>
      </c>
      <c r="B300" s="25" t="s">
        <v>1162</v>
      </c>
      <c r="E300" s="25" t="s">
        <v>1337</v>
      </c>
      <c r="J300" s="25" t="s">
        <v>3633</v>
      </c>
      <c r="K300" s="25" t="s">
        <v>3634</v>
      </c>
    </row>
    <row r="301" spans="1:22">
      <c r="A301" s="25" t="s">
        <v>546</v>
      </c>
      <c r="B301" s="25" t="s">
        <v>545</v>
      </c>
      <c r="C301" s="25" t="s">
        <v>3635</v>
      </c>
      <c r="D301" s="25" t="s">
        <v>3636</v>
      </c>
      <c r="E301" s="25" t="s">
        <v>1337</v>
      </c>
      <c r="G301" s="25" t="s">
        <v>3637</v>
      </c>
      <c r="I301" s="25" t="s">
        <v>3638</v>
      </c>
      <c r="J301" s="25" t="s">
        <v>3639</v>
      </c>
      <c r="K301" s="25" t="s">
        <v>543</v>
      </c>
      <c r="L301" s="25" t="s">
        <v>3640</v>
      </c>
      <c r="M301" s="25" t="s">
        <v>3635</v>
      </c>
      <c r="N301" s="25" t="s">
        <v>3636</v>
      </c>
      <c r="O301" s="25" t="s">
        <v>1337</v>
      </c>
      <c r="Q301" s="25" t="s">
        <v>3637</v>
      </c>
      <c r="S301" s="25" t="s">
        <v>3638</v>
      </c>
      <c r="T301" s="25" t="s">
        <v>3641</v>
      </c>
    </row>
    <row r="302" spans="1:22">
      <c r="A302" s="25" t="s">
        <v>965</v>
      </c>
      <c r="B302" s="25" t="s">
        <v>964</v>
      </c>
      <c r="C302" s="25" t="s">
        <v>3642</v>
      </c>
      <c r="D302" s="25" t="s">
        <v>3643</v>
      </c>
      <c r="E302" s="25" t="s">
        <v>1337</v>
      </c>
      <c r="G302" s="25" t="s">
        <v>3644</v>
      </c>
      <c r="I302" s="25" t="s">
        <v>3645</v>
      </c>
      <c r="J302" s="25" t="s">
        <v>3646</v>
      </c>
      <c r="K302" s="25" t="s">
        <v>962</v>
      </c>
      <c r="L302" s="25" t="s">
        <v>3647</v>
      </c>
      <c r="M302" s="25" t="s">
        <v>3642</v>
      </c>
      <c r="N302" s="25" t="s">
        <v>3643</v>
      </c>
      <c r="O302" s="25" t="s">
        <v>1337</v>
      </c>
      <c r="Q302" s="25" t="s">
        <v>3644</v>
      </c>
      <c r="S302" s="25" t="s">
        <v>3645</v>
      </c>
      <c r="T302" s="25" t="s">
        <v>3648</v>
      </c>
    </row>
    <row r="303" spans="1:22">
      <c r="A303" s="25" t="s">
        <v>740</v>
      </c>
      <c r="B303" s="25" t="s">
        <v>739</v>
      </c>
      <c r="C303" s="25" t="s">
        <v>3649</v>
      </c>
      <c r="D303" s="25" t="s">
        <v>3650</v>
      </c>
      <c r="E303" s="25" t="s">
        <v>1337</v>
      </c>
      <c r="F303" s="25" t="s">
        <v>1840</v>
      </c>
      <c r="G303" s="25" t="s">
        <v>3651</v>
      </c>
      <c r="I303" s="25" t="s">
        <v>3652</v>
      </c>
      <c r="J303" s="25" t="s">
        <v>3653</v>
      </c>
      <c r="K303" s="25" t="s">
        <v>738</v>
      </c>
      <c r="L303" s="25" t="s">
        <v>3654</v>
      </c>
      <c r="M303" s="25" t="s">
        <v>3649</v>
      </c>
      <c r="N303" s="25" t="s">
        <v>3650</v>
      </c>
      <c r="O303" s="25" t="s">
        <v>1337</v>
      </c>
      <c r="P303" s="25" t="s">
        <v>1840</v>
      </c>
      <c r="Q303" s="25" t="s">
        <v>3651</v>
      </c>
      <c r="S303" s="25" t="s">
        <v>3652</v>
      </c>
      <c r="T303" s="25" t="s">
        <v>3655</v>
      </c>
    </row>
    <row r="304" spans="1:22">
      <c r="A304" s="25" t="s">
        <v>603</v>
      </c>
      <c r="B304" s="25" t="s">
        <v>602</v>
      </c>
      <c r="C304" s="25" t="s">
        <v>3656</v>
      </c>
      <c r="D304" s="25" t="s">
        <v>3657</v>
      </c>
      <c r="E304" s="25" t="s">
        <v>1337</v>
      </c>
      <c r="F304" s="25" t="s">
        <v>1487</v>
      </c>
      <c r="G304" s="25" t="s">
        <v>3658</v>
      </c>
      <c r="I304" s="25" t="s">
        <v>3659</v>
      </c>
      <c r="J304" s="25" t="s">
        <v>3660</v>
      </c>
      <c r="K304" s="25" t="s">
        <v>601</v>
      </c>
      <c r="L304" s="25" t="s">
        <v>3661</v>
      </c>
      <c r="M304" s="25" t="s">
        <v>3656</v>
      </c>
      <c r="N304" s="25" t="s">
        <v>3657</v>
      </c>
      <c r="O304" s="25" t="s">
        <v>1337</v>
      </c>
      <c r="P304" s="25" t="s">
        <v>1487</v>
      </c>
      <c r="Q304" s="25" t="s">
        <v>3658</v>
      </c>
      <c r="S304" s="25" t="s">
        <v>3659</v>
      </c>
      <c r="T304" s="25" t="s">
        <v>3662</v>
      </c>
    </row>
    <row r="305" spans="1:20">
      <c r="A305" s="25" t="s">
        <v>671</v>
      </c>
      <c r="B305" s="25" t="s">
        <v>670</v>
      </c>
      <c r="C305" s="25" t="s">
        <v>3663</v>
      </c>
      <c r="D305" s="25" t="s">
        <v>1454</v>
      </c>
      <c r="E305" s="25" t="s">
        <v>1337</v>
      </c>
      <c r="G305" s="25" t="s">
        <v>1455</v>
      </c>
      <c r="I305" s="25" t="s">
        <v>3664</v>
      </c>
      <c r="J305" s="25" t="s">
        <v>3665</v>
      </c>
      <c r="K305" s="25" t="s">
        <v>669</v>
      </c>
      <c r="L305" s="25" t="s">
        <v>3666</v>
      </c>
      <c r="M305" s="25" t="s">
        <v>3663</v>
      </c>
      <c r="N305" s="25" t="s">
        <v>1454</v>
      </c>
      <c r="O305" s="25" t="s">
        <v>1337</v>
      </c>
      <c r="Q305" s="25" t="s">
        <v>1455</v>
      </c>
      <c r="S305" s="25" t="s">
        <v>3664</v>
      </c>
      <c r="T305" s="25" t="s">
        <v>3667</v>
      </c>
    </row>
    <row r="306" spans="1:20">
      <c r="A306" s="25" t="s">
        <v>755</v>
      </c>
      <c r="B306" s="25" t="s">
        <v>754</v>
      </c>
      <c r="C306" s="25" t="s">
        <v>3668</v>
      </c>
      <c r="D306" s="25" t="s">
        <v>3669</v>
      </c>
      <c r="E306" s="25" t="s">
        <v>1337</v>
      </c>
      <c r="F306" s="25" t="s">
        <v>2333</v>
      </c>
      <c r="G306" s="25" t="s">
        <v>3670</v>
      </c>
      <c r="I306" s="25" t="s">
        <v>3671</v>
      </c>
      <c r="J306" s="25" t="s">
        <v>3672</v>
      </c>
      <c r="K306" s="25" t="s">
        <v>753</v>
      </c>
      <c r="L306" s="25" t="s">
        <v>3673</v>
      </c>
      <c r="M306" s="25" t="s">
        <v>3668</v>
      </c>
      <c r="N306" s="25" t="s">
        <v>3669</v>
      </c>
      <c r="O306" s="25" t="s">
        <v>1337</v>
      </c>
      <c r="P306" s="25" t="s">
        <v>2333</v>
      </c>
      <c r="Q306" s="25" t="s">
        <v>3670</v>
      </c>
      <c r="S306" s="25" t="s">
        <v>3671</v>
      </c>
      <c r="T306" s="25" t="s">
        <v>3674</v>
      </c>
    </row>
    <row r="307" spans="1:20">
      <c r="A307" s="25" t="s">
        <v>436</v>
      </c>
      <c r="B307" s="25" t="s">
        <v>435</v>
      </c>
      <c r="C307" s="25" t="s">
        <v>3675</v>
      </c>
      <c r="D307" s="25" t="s">
        <v>3676</v>
      </c>
      <c r="E307" s="25" t="s">
        <v>1337</v>
      </c>
      <c r="G307" s="25" t="s">
        <v>3677</v>
      </c>
      <c r="I307" s="25" t="s">
        <v>3678</v>
      </c>
      <c r="J307" s="25" t="s">
        <v>1278</v>
      </c>
      <c r="K307" s="25" t="s">
        <v>433</v>
      </c>
      <c r="L307" s="25" t="s">
        <v>3679</v>
      </c>
      <c r="M307" s="25" t="s">
        <v>3675</v>
      </c>
      <c r="N307" s="25" t="s">
        <v>3676</v>
      </c>
      <c r="O307" s="25" t="s">
        <v>1337</v>
      </c>
      <c r="Q307" s="25" t="s">
        <v>3677</v>
      </c>
      <c r="S307" s="25" t="s">
        <v>3678</v>
      </c>
      <c r="T307" s="25" t="s">
        <v>3680</v>
      </c>
    </row>
    <row r="308" spans="1:20">
      <c r="A308" s="25" t="s">
        <v>3681</v>
      </c>
      <c r="B308" s="25" t="s">
        <v>1164</v>
      </c>
      <c r="E308" s="25" t="s">
        <v>1337</v>
      </c>
      <c r="J308" s="25" t="s">
        <v>3682</v>
      </c>
      <c r="K308" s="25" t="s">
        <v>3634</v>
      </c>
      <c r="L308" s="25" t="s">
        <v>3683</v>
      </c>
      <c r="T308" s="25" t="s">
        <v>3684</v>
      </c>
    </row>
    <row r="309" spans="1:20">
      <c r="A309" s="25" t="s">
        <v>800</v>
      </c>
      <c r="B309" s="25" t="s">
        <v>799</v>
      </c>
      <c r="C309" s="25" t="s">
        <v>3685</v>
      </c>
      <c r="D309" s="25" t="s">
        <v>3169</v>
      </c>
      <c r="E309" s="25" t="s">
        <v>1337</v>
      </c>
      <c r="F309" s="25" t="s">
        <v>1425</v>
      </c>
      <c r="G309" s="25" t="s">
        <v>3686</v>
      </c>
      <c r="I309" s="25" t="s">
        <v>3687</v>
      </c>
      <c r="J309" s="25" t="s">
        <v>3688</v>
      </c>
      <c r="K309" s="25" t="s">
        <v>797</v>
      </c>
      <c r="L309" s="25" t="s">
        <v>3689</v>
      </c>
      <c r="M309" s="25" t="s">
        <v>3685</v>
      </c>
      <c r="N309" s="25" t="s">
        <v>3169</v>
      </c>
      <c r="O309" s="25" t="s">
        <v>1337</v>
      </c>
      <c r="P309" s="25" t="s">
        <v>1425</v>
      </c>
      <c r="Q309" s="25" t="s">
        <v>3686</v>
      </c>
      <c r="S309" s="25" t="s">
        <v>3687</v>
      </c>
      <c r="T309" s="25" t="s">
        <v>3690</v>
      </c>
    </row>
    <row r="310" spans="1:20">
      <c r="A310" s="25" t="s">
        <v>3691</v>
      </c>
      <c r="B310" s="25" t="s">
        <v>1167</v>
      </c>
      <c r="E310" s="25" t="s">
        <v>1337</v>
      </c>
      <c r="J310" s="25" t="s">
        <v>3692</v>
      </c>
      <c r="K310" s="25" t="s">
        <v>3634</v>
      </c>
    </row>
    <row r="311" spans="1:20">
      <c r="A311" s="25" t="s">
        <v>575</v>
      </c>
      <c r="B311" s="25" t="s">
        <v>574</v>
      </c>
      <c r="C311" s="25" t="s">
        <v>3693</v>
      </c>
      <c r="D311" s="25" t="s">
        <v>3694</v>
      </c>
      <c r="E311" s="25" t="s">
        <v>1337</v>
      </c>
      <c r="G311" s="25" t="s">
        <v>3695</v>
      </c>
      <c r="I311" s="25" t="s">
        <v>3696</v>
      </c>
      <c r="J311" s="25" t="s">
        <v>1296</v>
      </c>
      <c r="K311" s="25" t="s">
        <v>573</v>
      </c>
      <c r="L311" s="25" t="s">
        <v>3697</v>
      </c>
      <c r="M311" s="25" t="s">
        <v>3693</v>
      </c>
      <c r="N311" s="25" t="s">
        <v>1233</v>
      </c>
      <c r="P311" s="25" t="s">
        <v>1226</v>
      </c>
      <c r="Q311" s="25" t="s">
        <v>1233</v>
      </c>
      <c r="S311" s="25" t="s">
        <v>3698</v>
      </c>
      <c r="T311" s="25" t="s">
        <v>3699</v>
      </c>
    </row>
    <row r="312" spans="1:20">
      <c r="A312" s="25" t="s">
        <v>845</v>
      </c>
      <c r="B312" s="25" t="s">
        <v>844</v>
      </c>
      <c r="C312" s="25" t="s">
        <v>3700</v>
      </c>
      <c r="D312" s="25" t="s">
        <v>3701</v>
      </c>
      <c r="E312" s="25" t="s">
        <v>1337</v>
      </c>
      <c r="G312" s="25" t="s">
        <v>3702</v>
      </c>
      <c r="I312" s="25" t="s">
        <v>3703</v>
      </c>
      <c r="J312" s="25" t="s">
        <v>3704</v>
      </c>
      <c r="K312" s="25" t="s">
        <v>842</v>
      </c>
      <c r="L312" s="25" t="s">
        <v>3705</v>
      </c>
      <c r="M312" s="25" t="s">
        <v>3700</v>
      </c>
      <c r="N312" s="25" t="s">
        <v>3701</v>
      </c>
      <c r="O312" s="25" t="s">
        <v>1337</v>
      </c>
      <c r="Q312" s="25" t="s">
        <v>3702</v>
      </c>
      <c r="S312" s="25" t="s">
        <v>3703</v>
      </c>
      <c r="T312" s="25" t="s">
        <v>3706</v>
      </c>
    </row>
    <row r="313" spans="1:20">
      <c r="A313" s="25" t="s">
        <v>198</v>
      </c>
      <c r="B313" s="25" t="s">
        <v>197</v>
      </c>
      <c r="C313" s="25" t="s">
        <v>3707</v>
      </c>
      <c r="D313" s="25" t="s">
        <v>3708</v>
      </c>
      <c r="E313" s="25" t="s">
        <v>1337</v>
      </c>
      <c r="F313" s="25" t="s">
        <v>3709</v>
      </c>
      <c r="G313" s="25" t="s">
        <v>3710</v>
      </c>
      <c r="I313" s="25" t="s">
        <v>3711</v>
      </c>
      <c r="J313" s="25" t="s">
        <v>1284</v>
      </c>
      <c r="K313" s="25" t="s">
        <v>196</v>
      </c>
      <c r="L313" s="25" t="s">
        <v>3712</v>
      </c>
      <c r="M313" s="25" t="s">
        <v>3707</v>
      </c>
      <c r="N313" s="25" t="s">
        <v>3708</v>
      </c>
      <c r="O313" s="25" t="s">
        <v>1337</v>
      </c>
      <c r="P313" s="25" t="s">
        <v>3709</v>
      </c>
      <c r="Q313" s="25" t="s">
        <v>3710</v>
      </c>
      <c r="S313" s="25" t="s">
        <v>3711</v>
      </c>
      <c r="T313" s="25" t="s">
        <v>3713</v>
      </c>
    </row>
    <row r="314" spans="1:20">
      <c r="A314" s="25" t="s">
        <v>1259</v>
      </c>
      <c r="B314" s="25" t="s">
        <v>1159</v>
      </c>
      <c r="E314" s="25" t="s">
        <v>1337</v>
      </c>
      <c r="J314" s="25" t="s">
        <v>3714</v>
      </c>
      <c r="K314" s="25" t="s">
        <v>3634</v>
      </c>
    </row>
    <row r="315" spans="1:20">
      <c r="A315" s="25" t="s">
        <v>3715</v>
      </c>
      <c r="B315" s="25" t="s">
        <v>1160</v>
      </c>
      <c r="E315" s="25" t="s">
        <v>1337</v>
      </c>
      <c r="J315" s="25" t="s">
        <v>3716</v>
      </c>
      <c r="K315" s="25" t="s">
        <v>3634</v>
      </c>
      <c r="L315" s="25" t="s">
        <v>3717</v>
      </c>
    </row>
    <row r="316" spans="1:20">
      <c r="A316" s="25" t="s">
        <v>3718</v>
      </c>
      <c r="B316" s="25" t="s">
        <v>1161</v>
      </c>
      <c r="E316" s="25" t="s">
        <v>1337</v>
      </c>
      <c r="J316" s="25" t="s">
        <v>3719</v>
      </c>
      <c r="K316" s="25" t="s">
        <v>3634</v>
      </c>
      <c r="L316" s="25" t="s">
        <v>3720</v>
      </c>
    </row>
    <row r="317" spans="1:20">
      <c r="A317" s="25" t="s">
        <v>3721</v>
      </c>
      <c r="B317" s="25" t="s">
        <v>1157</v>
      </c>
      <c r="E317" s="25" t="s">
        <v>1337</v>
      </c>
      <c r="J317" s="25" t="s">
        <v>3722</v>
      </c>
      <c r="K317" s="25" t="s">
        <v>3634</v>
      </c>
    </row>
  </sheetData>
  <autoFilter ref="A1:V317" xr:uid="{F6904BE0-BE6A-438D-B479-996FAFEF0709}">
    <filterColumn colId="21">
      <filters blank="1"/>
    </filterColumn>
    <sortState xmlns:xlrd2="http://schemas.microsoft.com/office/spreadsheetml/2017/richdata2" ref="A2:V317">
      <sortCondition ref="V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7C7C-A7D0-409F-972A-C1429DBC3B03}">
  <dimension ref="A1:Z316"/>
  <sheetViews>
    <sheetView topLeftCell="J1" workbookViewId="0">
      <selection activeCell="R1" sqref="R1:R1048576"/>
    </sheetView>
  </sheetViews>
  <sheetFormatPr defaultColWidth="11.5703125" defaultRowHeight="15.6"/>
  <cols>
    <col min="1" max="8" width="11.5703125" style="25"/>
    <col min="9" max="9" width="27.140625" style="25" bestFit="1" customWidth="1"/>
    <col min="10" max="10" width="27.140625" style="25" customWidth="1"/>
    <col min="11" max="12" width="11.5703125" style="25"/>
    <col min="13" max="13" width="23.7109375" style="25" bestFit="1" customWidth="1"/>
    <col min="14" max="14" width="23.7109375" style="25" customWidth="1"/>
    <col min="15" max="15" width="28.28515625" style="25" customWidth="1"/>
    <col min="16" max="16" width="41.5703125" style="25" customWidth="1"/>
    <col min="17" max="17" width="23.5703125" style="25" customWidth="1"/>
    <col min="18" max="18" width="27.28515625" style="25" customWidth="1"/>
    <col min="19" max="19" width="25.28515625" style="25" customWidth="1"/>
    <col min="20" max="16384" width="11.5703125" style="25"/>
  </cols>
  <sheetData>
    <row r="1" spans="1:26">
      <c r="A1" s="25" t="s">
        <v>1260</v>
      </c>
      <c r="B1" s="25" t="s">
        <v>1261</v>
      </c>
      <c r="C1" s="25" t="s">
        <v>1317</v>
      </c>
      <c r="D1" s="25" t="s">
        <v>1318</v>
      </c>
      <c r="E1" s="25" t="s">
        <v>1320</v>
      </c>
      <c r="F1" s="25" t="s">
        <v>1321</v>
      </c>
      <c r="G1" s="25" t="s">
        <v>1322</v>
      </c>
      <c r="H1" s="25" t="s">
        <v>3723</v>
      </c>
      <c r="I1" s="25" t="s">
        <v>3724</v>
      </c>
      <c r="J1" s="25" t="s">
        <v>3725</v>
      </c>
      <c r="K1" s="25" t="s">
        <v>3726</v>
      </c>
      <c r="L1" s="25" t="s">
        <v>3727</v>
      </c>
      <c r="M1" s="25" t="s">
        <v>3728</v>
      </c>
      <c r="N1" s="25" t="s">
        <v>3729</v>
      </c>
      <c r="O1" s="25" t="s">
        <v>3730</v>
      </c>
      <c r="P1" s="25" t="s">
        <v>3731</v>
      </c>
      <c r="Q1" s="25" t="s">
        <v>3732</v>
      </c>
      <c r="R1" s="25" t="s">
        <v>3733</v>
      </c>
      <c r="S1" s="25" t="s">
        <v>3734</v>
      </c>
      <c r="T1" s="25" t="s">
        <v>3735</v>
      </c>
      <c r="U1" s="25" t="s">
        <v>3736</v>
      </c>
      <c r="V1" s="25" t="s">
        <v>1327</v>
      </c>
      <c r="W1" s="25" t="s">
        <v>1328</v>
      </c>
      <c r="X1" s="25" t="s">
        <v>1330</v>
      </c>
      <c r="Y1" s="25" t="s">
        <v>1331</v>
      </c>
      <c r="Z1" s="25" t="s">
        <v>1332</v>
      </c>
    </row>
    <row r="2" spans="1:26">
      <c r="A2" s="25" t="s">
        <v>2403</v>
      </c>
      <c r="B2" s="25" t="s">
        <v>2397</v>
      </c>
      <c r="C2" s="25" t="s">
        <v>2399</v>
      </c>
      <c r="D2" s="25" t="s">
        <v>1337</v>
      </c>
      <c r="E2" s="25" t="s">
        <v>2401</v>
      </c>
      <c r="G2" s="25" t="s">
        <v>2402</v>
      </c>
      <c r="H2" s="25">
        <v>45</v>
      </c>
      <c r="I2" s="25" t="s">
        <v>3737</v>
      </c>
      <c r="J2" s="25" t="str">
        <f>VLOOKUP($I2,'records (3)'!$A:$C,2,FALSE)</f>
        <v>003IV000010scsHYAQ</v>
      </c>
      <c r="K2" s="25" t="s">
        <v>3738</v>
      </c>
      <c r="L2" s="25" t="s">
        <v>3739</v>
      </c>
      <c r="M2" s="25" t="s">
        <v>3740</v>
      </c>
      <c r="N2" s="25" t="str">
        <f>VLOOKUP($M2,'records (3)'!$A:$C,2,FALSE)</f>
        <v>003IV000010rePGYAY</v>
      </c>
      <c r="O2" s="25" t="s">
        <v>3741</v>
      </c>
      <c r="P2" s="25" t="s">
        <v>3742</v>
      </c>
      <c r="Q2" s="25" t="s">
        <v>3743</v>
      </c>
      <c r="R2" s="25" t="s">
        <v>2406</v>
      </c>
      <c r="S2" s="25" t="s">
        <v>3744</v>
      </c>
      <c r="T2" s="25" t="s">
        <v>2398</v>
      </c>
      <c r="U2" s="25" t="s">
        <v>2400</v>
      </c>
      <c r="V2" s="25" t="s">
        <v>1233</v>
      </c>
      <c r="X2" s="25" t="s">
        <v>1233</v>
      </c>
      <c r="Z2" s="25" t="s">
        <v>2406</v>
      </c>
    </row>
    <row r="3" spans="1:26">
      <c r="A3" s="25" t="s">
        <v>3076</v>
      </c>
      <c r="B3" s="25" t="s">
        <v>524</v>
      </c>
      <c r="C3" s="25" t="s">
        <v>3073</v>
      </c>
      <c r="D3" s="25" t="s">
        <v>1337</v>
      </c>
      <c r="E3" s="25" t="s">
        <v>3074</v>
      </c>
      <c r="G3" s="25" t="s">
        <v>3745</v>
      </c>
      <c r="H3" s="25">
        <v>30</v>
      </c>
      <c r="I3" s="25" t="s">
        <v>3746</v>
      </c>
      <c r="J3" s="25" t="str">
        <f>VLOOKUP(I3,'records (3)'!$A:$C,2,FALSE)</f>
        <v>003IV000010t1u8YAA</v>
      </c>
      <c r="K3" s="25" t="s">
        <v>3747</v>
      </c>
      <c r="L3" s="25" t="s">
        <v>3748</v>
      </c>
      <c r="M3" s="25" t="s">
        <v>3749</v>
      </c>
      <c r="N3" s="25" t="str">
        <f>VLOOKUP($M3,'records (3)'!$A:$C,2,FALSE)</f>
        <v>003IV000010t1u6YAA</v>
      </c>
      <c r="O3" s="25" t="s">
        <v>3750</v>
      </c>
      <c r="P3" s="25" t="s">
        <v>3078</v>
      </c>
      <c r="Q3" s="25" t="s">
        <v>3751</v>
      </c>
      <c r="R3" s="25" t="s">
        <v>3078</v>
      </c>
      <c r="S3" s="25" t="s">
        <v>3744</v>
      </c>
      <c r="T3" s="25" t="s">
        <v>3072</v>
      </c>
      <c r="U3" s="25" t="s">
        <v>1832</v>
      </c>
      <c r="V3" s="25" t="s">
        <v>1233</v>
      </c>
      <c r="X3" s="25" t="s">
        <v>1233</v>
      </c>
      <c r="Z3" s="25" t="s">
        <v>3078</v>
      </c>
    </row>
    <row r="4" spans="1:26">
      <c r="A4" s="25" t="s">
        <v>1498</v>
      </c>
      <c r="B4" s="25" t="s">
        <v>1003</v>
      </c>
      <c r="C4" s="25" t="s">
        <v>1495</v>
      </c>
      <c r="D4" s="25" t="s">
        <v>1337</v>
      </c>
      <c r="E4" s="25" t="s">
        <v>1496</v>
      </c>
      <c r="G4" s="25" t="s">
        <v>1497</v>
      </c>
      <c r="H4" s="25">
        <v>30</v>
      </c>
      <c r="I4" s="25" t="s">
        <v>3752</v>
      </c>
      <c r="J4" s="25" t="str">
        <f>VLOOKUP(I4,'records (3)'!$A:$C,2,FALSE)</f>
        <v>003IV000010t7NpYAI</v>
      </c>
      <c r="K4" s="25" t="s">
        <v>3753</v>
      </c>
      <c r="L4" s="25" t="s">
        <v>3754</v>
      </c>
      <c r="M4" s="25" t="s">
        <v>3755</v>
      </c>
      <c r="N4" s="25" t="e">
        <f>VLOOKUP($M4,'records (3)'!$A:$C,2,FALSE)</f>
        <v>#N/A</v>
      </c>
      <c r="O4" s="25" t="s">
        <v>3756</v>
      </c>
      <c r="P4" s="25" t="s">
        <v>3757</v>
      </c>
      <c r="Q4" s="25" t="s">
        <v>3751</v>
      </c>
      <c r="R4" s="25" t="s">
        <v>1500</v>
      </c>
      <c r="S4" s="25" t="s">
        <v>3744</v>
      </c>
      <c r="T4" s="25" t="s">
        <v>1494</v>
      </c>
      <c r="V4" s="25" t="s">
        <v>1233</v>
      </c>
      <c r="X4" s="25" t="s">
        <v>1233</v>
      </c>
      <c r="Z4" s="25" t="s">
        <v>1500</v>
      </c>
    </row>
    <row r="5" spans="1:26">
      <c r="A5" s="25" t="s">
        <v>1811</v>
      </c>
      <c r="B5" s="25" t="s">
        <v>104</v>
      </c>
      <c r="C5" s="25" t="s">
        <v>1808</v>
      </c>
      <c r="D5" s="25" t="s">
        <v>1337</v>
      </c>
      <c r="E5" s="25" t="s">
        <v>1809</v>
      </c>
      <c r="G5" s="25" t="s">
        <v>1810</v>
      </c>
      <c r="H5" s="25">
        <v>30</v>
      </c>
      <c r="I5" s="25" t="s">
        <v>3758</v>
      </c>
      <c r="J5" s="25" t="str">
        <f>VLOOKUP(I5,'records (3)'!$A:$C,2,FALSE)</f>
        <v>003IV000010tTt4YAE</v>
      </c>
      <c r="K5" s="25" t="s">
        <v>3759</v>
      </c>
      <c r="L5" s="25" t="s">
        <v>3760</v>
      </c>
      <c r="M5" s="25" t="s">
        <v>3761</v>
      </c>
      <c r="N5" s="25" t="str">
        <f>VLOOKUP($M5,'records (3)'!$A:$C,2,FALSE)</f>
        <v>003IV000010tIeYYAU</v>
      </c>
      <c r="O5" s="25" t="s">
        <v>3762</v>
      </c>
      <c r="P5" s="25" t="s">
        <v>3763</v>
      </c>
      <c r="Q5" s="25" t="s">
        <v>3751</v>
      </c>
      <c r="R5" s="25" t="s">
        <v>1813</v>
      </c>
      <c r="S5" s="25" t="s">
        <v>3744</v>
      </c>
      <c r="T5" s="25" t="s">
        <v>1807</v>
      </c>
      <c r="U5" s="25" t="s">
        <v>1401</v>
      </c>
      <c r="V5" s="25" t="s">
        <v>1233</v>
      </c>
      <c r="X5" s="25" t="s">
        <v>1233</v>
      </c>
      <c r="Z5" s="25" t="s">
        <v>1813</v>
      </c>
    </row>
    <row r="6" spans="1:26">
      <c r="A6" s="25" t="s">
        <v>2506</v>
      </c>
      <c r="B6" s="25" t="s">
        <v>3764</v>
      </c>
      <c r="C6" s="25" t="s">
        <v>2503</v>
      </c>
      <c r="D6" s="25" t="s">
        <v>1337</v>
      </c>
      <c r="E6" s="25" t="s">
        <v>2504</v>
      </c>
      <c r="G6" s="25" t="s">
        <v>3765</v>
      </c>
      <c r="H6" s="25">
        <v>30</v>
      </c>
      <c r="I6" s="25" t="s">
        <v>3766</v>
      </c>
      <c r="J6" s="25" t="str">
        <f>VLOOKUP(I6,'records (3)'!$A:$C,2,FALSE)</f>
        <v>003IV000010t2B6YAI</v>
      </c>
      <c r="K6" s="25" t="s">
        <v>3767</v>
      </c>
      <c r="L6" s="25" t="s">
        <v>2508</v>
      </c>
      <c r="M6" s="25" t="s">
        <v>3766</v>
      </c>
      <c r="N6" s="25" t="str">
        <f>VLOOKUP($M6,'records (3)'!$A:$C,2,FALSE)</f>
        <v>003IV000010t2B6YAI</v>
      </c>
      <c r="O6" s="25" t="s">
        <v>3767</v>
      </c>
      <c r="P6" s="25" t="s">
        <v>2508</v>
      </c>
      <c r="Q6" s="25" t="s">
        <v>3751</v>
      </c>
      <c r="R6" s="25" t="s">
        <v>2508</v>
      </c>
      <c r="S6" s="25" t="s">
        <v>3744</v>
      </c>
      <c r="T6" s="25" t="s">
        <v>2502</v>
      </c>
      <c r="V6" s="25" t="s">
        <v>1233</v>
      </c>
      <c r="X6" s="25" t="s">
        <v>1233</v>
      </c>
      <c r="Z6" s="25" t="s">
        <v>2508</v>
      </c>
    </row>
    <row r="7" spans="1:26">
      <c r="A7" s="25" t="s">
        <v>3609</v>
      </c>
      <c r="B7" s="25" t="s">
        <v>296</v>
      </c>
      <c r="C7" s="25" t="s">
        <v>3606</v>
      </c>
      <c r="E7" s="25" t="s">
        <v>3607</v>
      </c>
      <c r="G7" s="25" t="s">
        <v>3608</v>
      </c>
      <c r="H7" s="25">
        <v>30</v>
      </c>
      <c r="I7" s="25" t="s">
        <v>3768</v>
      </c>
      <c r="J7" s="25" t="str">
        <f>VLOOKUP(I7,'records (3)'!$A:$C,2,FALSE)</f>
        <v>003IV000010t1w0YAA</v>
      </c>
      <c r="K7" s="25" t="s">
        <v>3769</v>
      </c>
      <c r="L7" s="25" t="s">
        <v>3770</v>
      </c>
      <c r="M7" s="25" t="s">
        <v>3768</v>
      </c>
      <c r="N7" s="25" t="str">
        <f>VLOOKUP($M7,'records (3)'!$A:$C,2,FALSE)</f>
        <v>003IV000010t1w0YAA</v>
      </c>
      <c r="O7" s="25" t="s">
        <v>3769</v>
      </c>
      <c r="P7" s="25" t="s">
        <v>3770</v>
      </c>
      <c r="Q7" s="25" t="s">
        <v>3751</v>
      </c>
      <c r="S7" s="25" t="s">
        <v>3744</v>
      </c>
      <c r="T7" s="25" t="s">
        <v>3605</v>
      </c>
      <c r="U7" s="25" t="s">
        <v>1847</v>
      </c>
      <c r="V7" s="25" t="s">
        <v>3606</v>
      </c>
      <c r="X7" s="25" t="s">
        <v>3607</v>
      </c>
      <c r="Z7" s="25" t="s">
        <v>3608</v>
      </c>
    </row>
    <row r="8" spans="1:26">
      <c r="A8" s="25" t="s">
        <v>2274</v>
      </c>
      <c r="B8" s="25" t="s">
        <v>758</v>
      </c>
      <c r="C8" s="25" t="s">
        <v>2271</v>
      </c>
      <c r="D8" s="25" t="s">
        <v>1337</v>
      </c>
      <c r="E8" s="25" t="s">
        <v>2272</v>
      </c>
      <c r="G8" s="25" t="s">
        <v>2273</v>
      </c>
      <c r="H8" s="25">
        <v>30</v>
      </c>
      <c r="I8" s="25" t="s">
        <v>3771</v>
      </c>
      <c r="J8" s="25" t="str">
        <f>VLOOKUP(I8,'records (3)'!$A:$C,2,FALSE)</f>
        <v>003IV000010t22cYAA</v>
      </c>
      <c r="K8" s="25" t="s">
        <v>3772</v>
      </c>
      <c r="L8" s="25" t="s">
        <v>2276</v>
      </c>
      <c r="M8" s="25" t="s">
        <v>3771</v>
      </c>
      <c r="N8" s="25" t="str">
        <f>VLOOKUP($M8,'records (3)'!$A:$C,2,FALSE)</f>
        <v>003IV000010t22cYAA</v>
      </c>
      <c r="O8" s="25" t="s">
        <v>3772</v>
      </c>
      <c r="P8" s="25" t="s">
        <v>2276</v>
      </c>
      <c r="Q8" s="25" t="s">
        <v>3751</v>
      </c>
      <c r="R8" s="25" t="s">
        <v>2276</v>
      </c>
      <c r="S8" s="25" t="s">
        <v>3744</v>
      </c>
      <c r="T8" s="25" t="s">
        <v>2270</v>
      </c>
      <c r="X8" s="25" t="s">
        <v>1233</v>
      </c>
      <c r="Z8" s="25" t="s">
        <v>2276</v>
      </c>
    </row>
    <row r="9" spans="1:26">
      <c r="A9" s="25" t="s">
        <v>2854</v>
      </c>
      <c r="B9" s="25" t="s">
        <v>271</v>
      </c>
      <c r="C9" s="25" t="s">
        <v>2851</v>
      </c>
      <c r="D9" s="25" t="s">
        <v>1337</v>
      </c>
      <c r="E9" s="25" t="s">
        <v>2852</v>
      </c>
      <c r="G9" s="25" t="s">
        <v>2853</v>
      </c>
      <c r="H9" s="25">
        <v>30</v>
      </c>
      <c r="I9" s="25" t="s">
        <v>3773</v>
      </c>
      <c r="J9" s="25" t="str">
        <f>VLOOKUP(I9,'records (3)'!$A:$C,2,FALSE)</f>
        <v>003IV000010t2QMYAY</v>
      </c>
      <c r="K9" s="25" t="s">
        <v>3774</v>
      </c>
      <c r="L9" s="25" t="s">
        <v>2856</v>
      </c>
      <c r="M9" s="25" t="s">
        <v>3773</v>
      </c>
      <c r="N9" s="25" t="str">
        <f>VLOOKUP($M9,'records (3)'!$A:$C,2,FALSE)</f>
        <v>003IV000010t2QMYAY</v>
      </c>
      <c r="O9" s="25" t="s">
        <v>3774</v>
      </c>
      <c r="P9" s="25" t="s">
        <v>2856</v>
      </c>
      <c r="Q9" s="25" t="s">
        <v>3751</v>
      </c>
      <c r="R9" s="25" t="s">
        <v>2856</v>
      </c>
      <c r="S9" s="25" t="s">
        <v>3744</v>
      </c>
      <c r="T9" s="25" t="s">
        <v>2850</v>
      </c>
      <c r="V9" s="25" t="s">
        <v>1233</v>
      </c>
      <c r="X9" s="25" t="s">
        <v>1233</v>
      </c>
      <c r="Z9" s="25" t="s">
        <v>2856</v>
      </c>
    </row>
    <row r="10" spans="1:26">
      <c r="A10" s="25" t="s">
        <v>2461</v>
      </c>
      <c r="B10" s="25" t="s">
        <v>674</v>
      </c>
      <c r="C10" s="25" t="s">
        <v>2458</v>
      </c>
      <c r="D10" s="25" t="s">
        <v>1337</v>
      </c>
      <c r="E10" s="25" t="s">
        <v>2459</v>
      </c>
      <c r="G10" s="25" t="s">
        <v>2460</v>
      </c>
      <c r="H10" s="25">
        <v>30</v>
      </c>
      <c r="I10" s="25" t="s">
        <v>3775</v>
      </c>
      <c r="J10" s="25" t="str">
        <f>VLOOKUP(I10,'records (3)'!$A:$C,2,FALSE)</f>
        <v>003IV000010tIdcYAE</v>
      </c>
      <c r="K10" s="25" t="s">
        <v>3776</v>
      </c>
      <c r="L10" s="25" t="s">
        <v>3777</v>
      </c>
      <c r="M10" s="25" t="s">
        <v>3778</v>
      </c>
      <c r="N10" s="25" t="str">
        <f>VLOOKUP($M10,'records (3)'!$A:$C,2,FALSE)</f>
        <v>003IV000010t2GDYAY</v>
      </c>
      <c r="O10" s="25" t="s">
        <v>3779</v>
      </c>
      <c r="P10" s="25" t="s">
        <v>3780</v>
      </c>
      <c r="Q10" s="25" t="s">
        <v>3751</v>
      </c>
      <c r="R10" s="25" t="s">
        <v>2463</v>
      </c>
      <c r="S10" s="25" t="s">
        <v>3744</v>
      </c>
      <c r="T10" s="25" t="s">
        <v>2457</v>
      </c>
      <c r="U10" s="25" t="s">
        <v>1401</v>
      </c>
      <c r="X10" s="25" t="s">
        <v>1233</v>
      </c>
      <c r="Z10" s="25" t="s">
        <v>2463</v>
      </c>
    </row>
    <row r="11" spans="1:26">
      <c r="A11" s="25" t="s">
        <v>3436</v>
      </c>
      <c r="B11" s="25" t="s">
        <v>3781</v>
      </c>
      <c r="C11" s="25" t="s">
        <v>3434</v>
      </c>
      <c r="D11" s="25" t="s">
        <v>1337</v>
      </c>
      <c r="E11" s="25" t="s">
        <v>1872</v>
      </c>
      <c r="G11" s="25" t="s">
        <v>3435</v>
      </c>
      <c r="H11" s="25">
        <v>30</v>
      </c>
      <c r="I11" s="25" t="s">
        <v>3782</v>
      </c>
      <c r="J11" s="25" t="str">
        <f>VLOOKUP(I11,'records (3)'!$A:$C,2,FALSE)</f>
        <v>003IV000010tRUJYA2</v>
      </c>
      <c r="K11" s="25" t="s">
        <v>3783</v>
      </c>
      <c r="L11" s="25" t="s">
        <v>3784</v>
      </c>
      <c r="M11" s="25" t="s">
        <v>3785</v>
      </c>
      <c r="N11" s="25" t="str">
        <f>VLOOKUP($M11,'records (3)'!$A:$C,2,FALSE)</f>
        <v>003IV000010tRTrYAM</v>
      </c>
      <c r="O11" s="25" t="s">
        <v>3786</v>
      </c>
      <c r="P11" s="25" t="s">
        <v>3787</v>
      </c>
      <c r="Q11" s="25" t="s">
        <v>3751</v>
      </c>
      <c r="R11" s="25" t="s">
        <v>3438</v>
      </c>
      <c r="S11" s="25" t="s">
        <v>3744</v>
      </c>
      <c r="T11" s="25" t="s">
        <v>3433</v>
      </c>
      <c r="V11" s="25" t="s">
        <v>1233</v>
      </c>
      <c r="X11" s="25" t="s">
        <v>1233</v>
      </c>
      <c r="Z11" s="25" t="s">
        <v>3438</v>
      </c>
    </row>
    <row r="12" spans="1:26">
      <c r="A12" s="25" t="s">
        <v>3399</v>
      </c>
      <c r="B12" s="25" t="s">
        <v>677</v>
      </c>
      <c r="C12" s="25" t="s">
        <v>3396</v>
      </c>
      <c r="D12" s="25" t="s">
        <v>1337</v>
      </c>
      <c r="E12" s="25" t="s">
        <v>3397</v>
      </c>
      <c r="G12" s="25" t="s">
        <v>3788</v>
      </c>
      <c r="H12" s="25">
        <v>30</v>
      </c>
      <c r="I12" s="25" t="s">
        <v>3789</v>
      </c>
      <c r="J12" s="25" t="str">
        <f>VLOOKUP(I12,'records (3)'!$A:$C,2,FALSE)</f>
        <v>003IV000010rvH2YAI</v>
      </c>
      <c r="K12" s="25" t="s">
        <v>3790</v>
      </c>
      <c r="L12" s="25" t="s">
        <v>3791</v>
      </c>
      <c r="M12" s="25" t="s">
        <v>3789</v>
      </c>
      <c r="N12" s="25" t="str">
        <f>VLOOKUP($M12,'records (3)'!$A:$C,2,FALSE)</f>
        <v>003IV000010rvH2YAI</v>
      </c>
      <c r="O12" s="25" t="s">
        <v>3790</v>
      </c>
      <c r="P12" s="25" t="s">
        <v>3791</v>
      </c>
      <c r="Q12" s="25" t="s">
        <v>3751</v>
      </c>
      <c r="R12" s="25" t="s">
        <v>3401</v>
      </c>
      <c r="S12" s="25" t="s">
        <v>3744</v>
      </c>
      <c r="T12" s="25" t="s">
        <v>3395</v>
      </c>
      <c r="V12" s="25" t="s">
        <v>1233</v>
      </c>
      <c r="X12" s="25" t="s">
        <v>1233</v>
      </c>
      <c r="Z12" s="25" t="s">
        <v>3401</v>
      </c>
    </row>
    <row r="13" spans="1:26">
      <c r="A13" s="25" t="s">
        <v>2571</v>
      </c>
      <c r="B13" s="25" t="s">
        <v>76</v>
      </c>
      <c r="C13" s="25" t="s">
        <v>2567</v>
      </c>
      <c r="E13" s="25" t="s">
        <v>2569</v>
      </c>
      <c r="G13" s="25" t="s">
        <v>2570</v>
      </c>
      <c r="H13" s="25">
        <v>30</v>
      </c>
      <c r="I13" s="25" t="s">
        <v>3792</v>
      </c>
      <c r="J13" s="25" t="str">
        <f>VLOOKUP(I13,'records (3)'!$A:$C,2,FALSE)</f>
        <v>003IV000010t23DYAQ</v>
      </c>
      <c r="K13" s="25" t="s">
        <v>3793</v>
      </c>
      <c r="L13" s="25" t="s">
        <v>3794</v>
      </c>
      <c r="M13" s="25" t="s">
        <v>3792</v>
      </c>
      <c r="N13" s="25" t="str">
        <f>VLOOKUP($M13,'records (3)'!$A:$C,2,FALSE)</f>
        <v>003IV000010t23DYAQ</v>
      </c>
      <c r="O13" s="25" t="s">
        <v>3793</v>
      </c>
      <c r="P13" s="25" t="s">
        <v>3794</v>
      </c>
      <c r="Q13" s="25" t="s">
        <v>3751</v>
      </c>
      <c r="R13" s="25" t="s">
        <v>2573</v>
      </c>
      <c r="S13" s="25" t="s">
        <v>3744</v>
      </c>
      <c r="T13" s="25" t="s">
        <v>2566</v>
      </c>
      <c r="U13" s="25" t="s">
        <v>2568</v>
      </c>
      <c r="V13" s="25" t="s">
        <v>1233</v>
      </c>
      <c r="X13" s="25" t="s">
        <v>1233</v>
      </c>
      <c r="Z13" s="25" t="s">
        <v>2573</v>
      </c>
    </row>
    <row r="14" spans="1:26">
      <c r="A14" s="25" t="s">
        <v>2030</v>
      </c>
      <c r="B14" s="25" t="s">
        <v>3795</v>
      </c>
      <c r="C14" s="25" t="s">
        <v>2027</v>
      </c>
      <c r="D14" s="25" t="s">
        <v>1337</v>
      </c>
      <c r="E14" s="25" t="s">
        <v>2028</v>
      </c>
      <c r="G14" s="25" t="s">
        <v>2029</v>
      </c>
      <c r="H14" s="25">
        <v>30</v>
      </c>
      <c r="I14" s="25" t="s">
        <v>3796</v>
      </c>
      <c r="J14" s="25" t="str">
        <f>VLOOKUP(I14,'records (3)'!$A:$C,2,FALSE)</f>
        <v>003IV000010tRTUYA2</v>
      </c>
      <c r="K14" s="25" t="s">
        <v>3797</v>
      </c>
      <c r="L14" s="25" t="s">
        <v>3798</v>
      </c>
      <c r="M14" s="25" t="s">
        <v>3799</v>
      </c>
      <c r="N14" s="25" t="str">
        <f>VLOOKUP($M14,'records (3)'!$A:$C,2,FALSE)</f>
        <v>003IV000010tRTvYAM</v>
      </c>
      <c r="O14" s="25" t="s">
        <v>3800</v>
      </c>
      <c r="P14" s="25" t="s">
        <v>2032</v>
      </c>
      <c r="Q14" s="25" t="s">
        <v>3751</v>
      </c>
      <c r="R14" s="25" t="s">
        <v>2032</v>
      </c>
      <c r="S14" s="25" t="s">
        <v>3744</v>
      </c>
      <c r="T14" s="25" t="s">
        <v>2026</v>
      </c>
      <c r="X14" s="25" t="s">
        <v>1233</v>
      </c>
      <c r="Z14" s="25" t="s">
        <v>2032</v>
      </c>
    </row>
    <row r="15" spans="1:26">
      <c r="A15" s="25" t="s">
        <v>3148</v>
      </c>
      <c r="B15" s="25" t="s">
        <v>3801</v>
      </c>
      <c r="C15" s="25" t="s">
        <v>3145</v>
      </c>
      <c r="D15" s="25" t="s">
        <v>1337</v>
      </c>
      <c r="E15" s="25" t="s">
        <v>3146</v>
      </c>
      <c r="G15" s="25" t="s">
        <v>3147</v>
      </c>
      <c r="H15" s="25">
        <v>30</v>
      </c>
      <c r="I15" s="25" t="s">
        <v>3802</v>
      </c>
      <c r="J15" s="25" t="str">
        <f>VLOOKUP(I15,'records (3)'!$A:$C,2,FALSE)</f>
        <v>003IV000010sxFfYAI</v>
      </c>
      <c r="K15" s="25" t="s">
        <v>3803</v>
      </c>
      <c r="L15" s="25" t="s">
        <v>3804</v>
      </c>
      <c r="M15" s="25" t="s">
        <v>3802</v>
      </c>
      <c r="N15" s="25" t="str">
        <f>VLOOKUP($M15,'records (3)'!$A:$C,2,FALSE)</f>
        <v>003IV000010sxFfYAI</v>
      </c>
      <c r="O15" s="25" t="s">
        <v>3803</v>
      </c>
      <c r="P15" s="25" t="s">
        <v>3804</v>
      </c>
      <c r="Q15" s="25" t="s">
        <v>3751</v>
      </c>
      <c r="R15" s="25" t="s">
        <v>3804</v>
      </c>
      <c r="S15" s="25" t="s">
        <v>3744</v>
      </c>
      <c r="T15" s="25" t="s">
        <v>3144</v>
      </c>
      <c r="X15" s="25" t="s">
        <v>1233</v>
      </c>
      <c r="Z15" s="25" t="s">
        <v>3150</v>
      </c>
    </row>
    <row r="16" spans="1:26">
      <c r="A16" s="25" t="s">
        <v>3316</v>
      </c>
      <c r="B16" s="25" t="s">
        <v>3805</v>
      </c>
      <c r="C16" s="25" t="s">
        <v>3313</v>
      </c>
      <c r="D16" s="25" t="s">
        <v>1337</v>
      </c>
      <c r="E16" s="25" t="s">
        <v>3314</v>
      </c>
      <c r="G16" s="25" t="s">
        <v>3315</v>
      </c>
      <c r="H16" s="25">
        <v>30</v>
      </c>
      <c r="I16" s="25" t="s">
        <v>3806</v>
      </c>
      <c r="J16" s="25" t="str">
        <f>VLOOKUP(I16,'records (3)'!$A:$C,2,FALSE)</f>
        <v>003IV000010sxGPYAY</v>
      </c>
      <c r="K16" s="25" t="s">
        <v>3807</v>
      </c>
      <c r="L16" s="25" t="s">
        <v>3808</v>
      </c>
      <c r="M16" s="25" t="s">
        <v>3809</v>
      </c>
      <c r="N16" s="25" t="str">
        <f>VLOOKUP($M16,'records (3)'!$A:$C,2,FALSE)</f>
        <v>003IV000010sxG9YAI</v>
      </c>
      <c r="O16" s="25" t="s">
        <v>3810</v>
      </c>
      <c r="P16" s="25" t="s">
        <v>3318</v>
      </c>
      <c r="Q16" s="25" t="s">
        <v>3751</v>
      </c>
      <c r="R16" s="25" t="s">
        <v>3318</v>
      </c>
      <c r="S16" s="25" t="s">
        <v>3744</v>
      </c>
      <c r="T16" s="25" t="s">
        <v>3312</v>
      </c>
      <c r="U16" s="25" t="s">
        <v>1425</v>
      </c>
      <c r="X16" s="25" t="s">
        <v>1233</v>
      </c>
      <c r="Z16" s="25" t="s">
        <v>3318</v>
      </c>
    </row>
    <row r="17" spans="1:26">
      <c r="A17" s="25" t="s">
        <v>3292</v>
      </c>
      <c r="B17" s="25" t="s">
        <v>300</v>
      </c>
      <c r="C17" s="25" t="s">
        <v>3289</v>
      </c>
      <c r="D17" s="25" t="s">
        <v>1337</v>
      </c>
      <c r="E17" s="25" t="s">
        <v>3290</v>
      </c>
      <c r="G17" s="25" t="s">
        <v>3291</v>
      </c>
      <c r="H17" s="25">
        <v>30</v>
      </c>
      <c r="I17" s="25" t="s">
        <v>3811</v>
      </c>
      <c r="J17" s="25" t="str">
        <f>VLOOKUP(I17,'records (3)'!$A:$C,2,FALSE)</f>
        <v>003IV000010tRTVYA2</v>
      </c>
      <c r="K17" s="25" t="s">
        <v>3812</v>
      </c>
      <c r="L17" s="25" t="s">
        <v>3813</v>
      </c>
      <c r="M17" s="25" t="s">
        <v>3814</v>
      </c>
      <c r="N17" s="25" t="str">
        <f>VLOOKUP($M17,'records (3)'!$A:$C,2,FALSE)</f>
        <v>003IV000010sxGTYAY</v>
      </c>
      <c r="O17" s="25" t="s">
        <v>3815</v>
      </c>
      <c r="P17" s="25" t="s">
        <v>3294</v>
      </c>
      <c r="Q17" s="25" t="s">
        <v>3751</v>
      </c>
      <c r="R17" s="25" t="s">
        <v>3294</v>
      </c>
      <c r="S17" s="25" t="s">
        <v>3744</v>
      </c>
      <c r="T17" s="25" t="s">
        <v>3288</v>
      </c>
      <c r="V17" s="25" t="s">
        <v>1233</v>
      </c>
      <c r="X17" s="25" t="s">
        <v>1233</v>
      </c>
      <c r="Z17" s="25" t="s">
        <v>3294</v>
      </c>
    </row>
    <row r="18" spans="1:26">
      <c r="A18" s="25" t="s">
        <v>2987</v>
      </c>
      <c r="B18" s="25" t="s">
        <v>3816</v>
      </c>
      <c r="C18" s="25" t="s">
        <v>2984</v>
      </c>
      <c r="D18" s="25" t="s">
        <v>1337</v>
      </c>
      <c r="E18" s="25" t="s">
        <v>2985</v>
      </c>
      <c r="G18" s="25" t="s">
        <v>2986</v>
      </c>
      <c r="H18" s="25">
        <v>30</v>
      </c>
      <c r="I18" s="25" t="s">
        <v>3817</v>
      </c>
      <c r="J18" s="25" t="str">
        <f>VLOOKUP(I18,'records (3)'!$A:$C,2,FALSE)</f>
        <v>003IV000010t2AgYAI</v>
      </c>
      <c r="K18" s="25" t="s">
        <v>3818</v>
      </c>
      <c r="L18" s="25" t="s">
        <v>2989</v>
      </c>
      <c r="M18" s="25" t="s">
        <v>3817</v>
      </c>
      <c r="N18" s="25" t="str">
        <f>VLOOKUP($M18,'records (3)'!$A:$C,2,FALSE)</f>
        <v>003IV000010t2AgYAI</v>
      </c>
      <c r="O18" s="25" t="s">
        <v>3818</v>
      </c>
      <c r="P18" s="25" t="s">
        <v>2989</v>
      </c>
      <c r="Q18" s="25" t="s">
        <v>3751</v>
      </c>
      <c r="R18" s="25" t="s">
        <v>2989</v>
      </c>
      <c r="S18" s="25" t="s">
        <v>3744</v>
      </c>
      <c r="T18" s="25" t="s">
        <v>2983</v>
      </c>
      <c r="V18" s="25" t="s">
        <v>1233</v>
      </c>
      <c r="X18" s="25" t="s">
        <v>1233</v>
      </c>
      <c r="Z18" s="25" t="s">
        <v>2989</v>
      </c>
    </row>
    <row r="19" spans="1:26">
      <c r="A19" s="25" t="s">
        <v>2336</v>
      </c>
      <c r="B19" s="25" t="s">
        <v>408</v>
      </c>
      <c r="C19" s="25" t="s">
        <v>2332</v>
      </c>
      <c r="D19" s="25" t="s">
        <v>1337</v>
      </c>
      <c r="E19" s="25" t="s">
        <v>2334</v>
      </c>
      <c r="G19" s="25" t="s">
        <v>2335</v>
      </c>
      <c r="H19" s="25">
        <v>30</v>
      </c>
      <c r="I19" s="25" t="s">
        <v>3819</v>
      </c>
      <c r="J19" s="25" t="str">
        <f>VLOOKUP(I19,'records (3)'!$A:$C,2,FALSE)</f>
        <v>003IV000010t2B5YAI</v>
      </c>
      <c r="K19" s="25" t="s">
        <v>3820</v>
      </c>
      <c r="L19" s="25" t="s">
        <v>3821</v>
      </c>
      <c r="M19" s="25" t="s">
        <v>3822</v>
      </c>
      <c r="N19" s="25" t="str">
        <f>VLOOKUP($M19,'records (3)'!$A:$C,2,FALSE)</f>
        <v>003IV000010t23RYAQ</v>
      </c>
      <c r="O19" s="25" t="s">
        <v>3823</v>
      </c>
      <c r="P19" s="25" t="s">
        <v>2339</v>
      </c>
      <c r="Q19" s="25" t="s">
        <v>3751</v>
      </c>
      <c r="R19" s="25" t="s">
        <v>2339</v>
      </c>
      <c r="S19" s="25" t="s">
        <v>3744</v>
      </c>
      <c r="T19" s="25" t="s">
        <v>2331</v>
      </c>
      <c r="U19" s="25" t="s">
        <v>2333</v>
      </c>
      <c r="V19" s="25" t="s">
        <v>1233</v>
      </c>
      <c r="X19" s="25" t="s">
        <v>1233</v>
      </c>
      <c r="Z19" s="25" t="s">
        <v>2339</v>
      </c>
    </row>
    <row r="20" spans="1:26">
      <c r="A20" s="25" t="s">
        <v>1472</v>
      </c>
      <c r="B20" s="25" t="s">
        <v>83</v>
      </c>
      <c r="C20" s="25" t="s">
        <v>1469</v>
      </c>
      <c r="D20" s="25" t="s">
        <v>1337</v>
      </c>
      <c r="E20" s="25" t="s">
        <v>1470</v>
      </c>
      <c r="G20" s="25" t="s">
        <v>1471</v>
      </c>
      <c r="H20" s="25">
        <v>30</v>
      </c>
      <c r="I20" s="25" t="s">
        <v>3824</v>
      </c>
      <c r="J20" s="25" t="str">
        <f>VLOOKUP(I20,'records (3)'!$A:$C,2,FALSE)</f>
        <v>003IV000010t2FaYAI</v>
      </c>
      <c r="K20" s="25" t="s">
        <v>3825</v>
      </c>
      <c r="L20" s="25" t="s">
        <v>3826</v>
      </c>
      <c r="M20" s="25" t="s">
        <v>3824</v>
      </c>
      <c r="N20" s="25" t="str">
        <f>VLOOKUP($M20,'records (3)'!$A:$C,2,FALSE)</f>
        <v>003IV000010t2FaYAI</v>
      </c>
      <c r="O20" s="25" t="s">
        <v>3825</v>
      </c>
      <c r="P20" s="25" t="s">
        <v>3826</v>
      </c>
      <c r="Q20" s="25" t="s">
        <v>3751</v>
      </c>
      <c r="R20" s="25" t="s">
        <v>1474</v>
      </c>
      <c r="S20" s="25" t="s">
        <v>3744</v>
      </c>
      <c r="T20" s="25" t="s">
        <v>1468</v>
      </c>
      <c r="V20" s="25" t="s">
        <v>1233</v>
      </c>
      <c r="X20" s="25" t="s">
        <v>1233</v>
      </c>
      <c r="Z20" s="25" t="s">
        <v>1474</v>
      </c>
    </row>
    <row r="21" spans="1:26">
      <c r="A21" s="25" t="s">
        <v>3589</v>
      </c>
      <c r="B21" s="25" t="s">
        <v>972</v>
      </c>
      <c r="C21" s="25" t="s">
        <v>3586</v>
      </c>
      <c r="D21" s="25" t="s">
        <v>1337</v>
      </c>
      <c r="E21" s="25" t="s">
        <v>3587</v>
      </c>
      <c r="G21" s="25" t="s">
        <v>3588</v>
      </c>
      <c r="H21" s="25">
        <v>30</v>
      </c>
      <c r="I21" s="25" t="s">
        <v>3827</v>
      </c>
      <c r="J21" s="25" t="str">
        <f>VLOOKUP(I21,'records (3)'!$A:$C,2,FALSE)</f>
        <v>003IV000010t2ZTYAY</v>
      </c>
      <c r="K21" s="25" t="s">
        <v>3828</v>
      </c>
      <c r="L21" s="25" t="s">
        <v>3829</v>
      </c>
      <c r="M21" s="25" t="s">
        <v>3830</v>
      </c>
      <c r="N21" s="25" t="str">
        <f>VLOOKUP($M21,'records (3)'!$A:$C,2,FALSE)</f>
        <v>003IV000010rv3eYAA</v>
      </c>
      <c r="O21" s="25" t="s">
        <v>3831</v>
      </c>
      <c r="P21" s="25" t="s">
        <v>3832</v>
      </c>
      <c r="Q21" s="25" t="s">
        <v>3751</v>
      </c>
      <c r="S21" s="25" t="s">
        <v>3744</v>
      </c>
      <c r="T21" s="25" t="s">
        <v>3585</v>
      </c>
      <c r="V21" s="25" t="s">
        <v>3586</v>
      </c>
      <c r="X21" s="25" t="s">
        <v>3587</v>
      </c>
      <c r="Z21" s="25" t="s">
        <v>3588</v>
      </c>
    </row>
    <row r="22" spans="1:26">
      <c r="A22" s="25" t="s">
        <v>2181</v>
      </c>
      <c r="B22" s="25" t="s">
        <v>245</v>
      </c>
      <c r="C22" s="25" t="s">
        <v>2178</v>
      </c>
      <c r="D22" s="25" t="s">
        <v>1337</v>
      </c>
      <c r="E22" s="25" t="s">
        <v>2179</v>
      </c>
      <c r="G22" s="25" t="s">
        <v>2180</v>
      </c>
      <c r="H22" s="25">
        <v>30</v>
      </c>
      <c r="I22" s="25" t="s">
        <v>3833</v>
      </c>
      <c r="J22" s="25" t="str">
        <f>VLOOKUP(I22,'records (3)'!$A:$C,2,FALSE)</f>
        <v>003IV000010t2AqYAI</v>
      </c>
      <c r="K22" s="25" t="s">
        <v>3834</v>
      </c>
      <c r="L22" s="25" t="s">
        <v>2183</v>
      </c>
      <c r="M22" s="25" t="s">
        <v>3833</v>
      </c>
      <c r="N22" s="25" t="str">
        <f>VLOOKUP($M22,'records (3)'!$A:$C,2,FALSE)</f>
        <v>003IV000010t2AqYAI</v>
      </c>
      <c r="O22" s="25" t="s">
        <v>3834</v>
      </c>
      <c r="P22" s="25" t="s">
        <v>2183</v>
      </c>
      <c r="Q22" s="25" t="s">
        <v>3751</v>
      </c>
      <c r="R22" s="25" t="s">
        <v>2183</v>
      </c>
      <c r="S22" s="25" t="s">
        <v>3744</v>
      </c>
      <c r="T22" s="25" t="s">
        <v>2177</v>
      </c>
      <c r="X22" s="25" t="s">
        <v>1233</v>
      </c>
      <c r="Z22" s="25" t="s">
        <v>2183</v>
      </c>
    </row>
    <row r="23" spans="1:26">
      <c r="A23" s="25" t="s">
        <v>3383</v>
      </c>
      <c r="B23" s="25" t="s">
        <v>486</v>
      </c>
      <c r="C23" s="25" t="s">
        <v>1249</v>
      </c>
      <c r="D23" s="25" t="s">
        <v>1337</v>
      </c>
      <c r="E23" s="25" t="s">
        <v>2050</v>
      </c>
      <c r="G23" s="25" t="s">
        <v>3382</v>
      </c>
      <c r="H23" s="25">
        <v>30</v>
      </c>
      <c r="I23" s="25" t="s">
        <v>3835</v>
      </c>
      <c r="J23" s="25" t="str">
        <f>VLOOKUP(I23,'records (3)'!$A:$C,2,FALSE)</f>
        <v>003IV000010rvH8YAI</v>
      </c>
      <c r="K23" s="25" t="s">
        <v>3836</v>
      </c>
      <c r="L23" s="25" t="s">
        <v>3837</v>
      </c>
      <c r="M23" s="25" t="s">
        <v>3838</v>
      </c>
      <c r="N23" s="25" t="str">
        <f>VLOOKUP($M23,'records (3)'!$A:$C,2,FALSE)</f>
        <v>003IV000010t2G7YAI</v>
      </c>
      <c r="O23" s="25" t="s">
        <v>3839</v>
      </c>
      <c r="P23" s="25" t="s">
        <v>3385</v>
      </c>
      <c r="Q23" s="25" t="s">
        <v>3751</v>
      </c>
      <c r="R23" s="25" t="s">
        <v>3385</v>
      </c>
      <c r="S23" s="25" t="s">
        <v>3744</v>
      </c>
      <c r="T23" s="25" t="s">
        <v>3381</v>
      </c>
      <c r="U23" s="25" t="s">
        <v>1401</v>
      </c>
      <c r="X23" s="25" t="s">
        <v>1233</v>
      </c>
      <c r="Z23" s="25" t="s">
        <v>3385</v>
      </c>
    </row>
    <row r="24" spans="1:26">
      <c r="A24" s="25" t="s">
        <v>3421</v>
      </c>
      <c r="B24" s="25" t="s">
        <v>3840</v>
      </c>
      <c r="C24" s="25" t="s">
        <v>3418</v>
      </c>
      <c r="D24" s="25" t="s">
        <v>1337</v>
      </c>
      <c r="E24" s="25" t="s">
        <v>3419</v>
      </c>
      <c r="G24" s="25" t="s">
        <v>3420</v>
      </c>
      <c r="H24" s="25">
        <v>30</v>
      </c>
      <c r="I24" s="25" t="s">
        <v>3841</v>
      </c>
      <c r="J24" s="25" t="str">
        <f>VLOOKUP(I24,'records (3)'!$A:$C,2,FALSE)</f>
        <v>003IV000010tRTwYAM</v>
      </c>
      <c r="K24" s="25" t="s">
        <v>3842</v>
      </c>
      <c r="L24" s="25" t="s">
        <v>3843</v>
      </c>
      <c r="M24" s="25" t="s">
        <v>3844</v>
      </c>
      <c r="N24" s="25" t="str">
        <f>VLOOKUP($M24,'records (3)'!$A:$C,2,FALSE)</f>
        <v>003IV000010tRTWYA2</v>
      </c>
      <c r="O24" s="25" t="s">
        <v>3845</v>
      </c>
      <c r="P24" s="25" t="s">
        <v>3423</v>
      </c>
      <c r="Q24" s="25" t="s">
        <v>3751</v>
      </c>
      <c r="R24" s="25" t="s">
        <v>3423</v>
      </c>
      <c r="S24" s="25" t="s">
        <v>3744</v>
      </c>
      <c r="T24" s="25" t="s">
        <v>3417</v>
      </c>
      <c r="V24" s="25" t="s">
        <v>1233</v>
      </c>
      <c r="X24" s="25" t="s">
        <v>1233</v>
      </c>
      <c r="Z24" s="25" t="s">
        <v>3423</v>
      </c>
    </row>
    <row r="25" spans="1:26">
      <c r="A25" s="25" t="s">
        <v>3549</v>
      </c>
      <c r="B25" s="25" t="s">
        <v>3846</v>
      </c>
      <c r="C25" s="25" t="s">
        <v>3546</v>
      </c>
      <c r="D25" s="25" t="s">
        <v>1337</v>
      </c>
      <c r="E25" s="25" t="s">
        <v>3547</v>
      </c>
      <c r="G25" s="25" t="s">
        <v>3548</v>
      </c>
      <c r="H25" s="25">
        <v>30</v>
      </c>
      <c r="I25" s="25" t="s">
        <v>3847</v>
      </c>
      <c r="J25" s="25" t="str">
        <f>VLOOKUP(I25,'records (3)'!$A:$C,2,FALSE)</f>
        <v>003IV000010s6QdYAI</v>
      </c>
      <c r="K25" s="25" t="s">
        <v>3848</v>
      </c>
      <c r="L25" s="25" t="s">
        <v>3551</v>
      </c>
      <c r="M25" s="25" t="s">
        <v>3847</v>
      </c>
      <c r="N25" s="25" t="str">
        <f>VLOOKUP($M25,'records (3)'!$A:$C,2,FALSE)</f>
        <v>003IV000010s6QdYAI</v>
      </c>
      <c r="O25" s="25" t="s">
        <v>3848</v>
      </c>
      <c r="P25" s="25" t="s">
        <v>3551</v>
      </c>
      <c r="Q25" s="25" t="s">
        <v>3751</v>
      </c>
      <c r="R25" s="25" t="s">
        <v>3551</v>
      </c>
      <c r="S25" s="25" t="s">
        <v>3744</v>
      </c>
      <c r="T25" s="25" t="s">
        <v>3545</v>
      </c>
      <c r="U25" s="25" t="s">
        <v>1847</v>
      </c>
      <c r="V25" s="25" t="s">
        <v>1233</v>
      </c>
      <c r="X25" s="25" t="s">
        <v>1233</v>
      </c>
      <c r="Z25" s="25" t="s">
        <v>3551</v>
      </c>
    </row>
    <row r="26" spans="1:26">
      <c r="A26" s="25" t="s">
        <v>2698</v>
      </c>
      <c r="B26" s="25" t="s">
        <v>59</v>
      </c>
      <c r="C26" s="25" t="s">
        <v>2576</v>
      </c>
      <c r="D26" s="25" t="s">
        <v>1337</v>
      </c>
      <c r="E26" s="25" t="s">
        <v>2577</v>
      </c>
      <c r="G26" s="25" t="s">
        <v>2697</v>
      </c>
      <c r="H26" s="25">
        <v>30</v>
      </c>
      <c r="I26" s="25" t="s">
        <v>3849</v>
      </c>
      <c r="J26" s="25" t="str">
        <f>VLOOKUP(I26,'records (3)'!$A:$C,2,FALSE)</f>
        <v>003IV000010tQHrYAM</v>
      </c>
      <c r="K26" s="25" t="s">
        <v>3850</v>
      </c>
      <c r="L26" s="25" t="s">
        <v>2700</v>
      </c>
      <c r="M26" s="25" t="s">
        <v>3849</v>
      </c>
      <c r="N26" s="25" t="str">
        <f>VLOOKUP($M26,'records (3)'!$A:$C,2,FALSE)</f>
        <v>003IV000010tQHrYAM</v>
      </c>
      <c r="O26" s="25" t="s">
        <v>3850</v>
      </c>
      <c r="P26" s="25" t="s">
        <v>2700</v>
      </c>
      <c r="Q26" s="25" t="s">
        <v>3751</v>
      </c>
      <c r="R26" s="25" t="s">
        <v>2700</v>
      </c>
      <c r="S26" s="25" t="s">
        <v>3744</v>
      </c>
      <c r="T26" s="25" t="s">
        <v>2696</v>
      </c>
      <c r="U26" s="25" t="s">
        <v>1840</v>
      </c>
      <c r="V26" s="25" t="s">
        <v>1233</v>
      </c>
      <c r="X26" s="25" t="s">
        <v>1233</v>
      </c>
      <c r="Z26" s="25" t="s">
        <v>2700</v>
      </c>
    </row>
    <row r="27" spans="1:26">
      <c r="A27" s="25" t="s">
        <v>3308</v>
      </c>
      <c r="B27" s="25" t="s">
        <v>3851</v>
      </c>
      <c r="C27" s="25" t="s">
        <v>3305</v>
      </c>
      <c r="D27" s="25" t="s">
        <v>1337</v>
      </c>
      <c r="E27" s="25" t="s">
        <v>3306</v>
      </c>
      <c r="G27" s="25" t="s">
        <v>3307</v>
      </c>
      <c r="H27" s="25">
        <v>30</v>
      </c>
      <c r="I27" s="25" t="s">
        <v>3852</v>
      </c>
      <c r="J27" s="25" t="str">
        <f>VLOOKUP(I27,'records (3)'!$A:$C,2,FALSE)</f>
        <v>003IV000010tRVQYA2</v>
      </c>
      <c r="K27" s="25" t="s">
        <v>3853</v>
      </c>
      <c r="L27" s="25" t="s">
        <v>3854</v>
      </c>
      <c r="M27" s="25" t="s">
        <v>3852</v>
      </c>
      <c r="N27" s="25" t="str">
        <f>VLOOKUP($M27,'records (3)'!$A:$C,2,FALSE)</f>
        <v>003IV000010tRVQYA2</v>
      </c>
      <c r="O27" s="25" t="s">
        <v>3853</v>
      </c>
      <c r="P27" s="25" t="s">
        <v>3854</v>
      </c>
      <c r="Q27" s="25" t="s">
        <v>3751</v>
      </c>
      <c r="R27" s="25" t="s">
        <v>3310</v>
      </c>
      <c r="S27" s="25" t="s">
        <v>3744</v>
      </c>
      <c r="T27" s="25" t="s">
        <v>3855</v>
      </c>
      <c r="X27" s="25" t="s">
        <v>1233</v>
      </c>
      <c r="Z27" s="25" t="s">
        <v>3310</v>
      </c>
    </row>
    <row r="28" spans="1:26">
      <c r="A28" s="25" t="s">
        <v>2909</v>
      </c>
      <c r="B28" s="25" t="s">
        <v>286</v>
      </c>
      <c r="C28" s="25" t="s">
        <v>2906</v>
      </c>
      <c r="E28" s="25" t="s">
        <v>2907</v>
      </c>
      <c r="G28" s="25" t="s">
        <v>2908</v>
      </c>
      <c r="H28" s="25">
        <v>30</v>
      </c>
      <c r="I28" s="25" t="s">
        <v>3856</v>
      </c>
      <c r="J28" s="25" t="str">
        <f>VLOOKUP(I28,'records (3)'!$A:$C,2,FALSE)</f>
        <v>003IV000010t2GbYAI</v>
      </c>
      <c r="K28" s="25" t="s">
        <v>3857</v>
      </c>
      <c r="L28" s="25" t="s">
        <v>3858</v>
      </c>
      <c r="M28" s="25" t="s">
        <v>3856</v>
      </c>
      <c r="N28" s="25" t="str">
        <f>VLOOKUP($M28,'records (3)'!$A:$C,2,FALSE)</f>
        <v>003IV000010t2GbYAI</v>
      </c>
      <c r="O28" s="25" t="s">
        <v>3857</v>
      </c>
      <c r="P28" s="25" t="s">
        <v>3858</v>
      </c>
      <c r="Q28" s="25" t="s">
        <v>3751</v>
      </c>
      <c r="R28" s="25" t="s">
        <v>2911</v>
      </c>
      <c r="S28" s="25" t="s">
        <v>3744</v>
      </c>
      <c r="T28" s="25" t="s">
        <v>2905</v>
      </c>
      <c r="X28" s="25" t="s">
        <v>1233</v>
      </c>
      <c r="Z28" s="25" t="s">
        <v>2911</v>
      </c>
    </row>
    <row r="29" spans="1:26">
      <c r="A29" s="25" t="s">
        <v>2252</v>
      </c>
      <c r="B29" s="25" t="s">
        <v>1091</v>
      </c>
      <c r="C29" s="25" t="s">
        <v>2249</v>
      </c>
      <c r="E29" s="25" t="s">
        <v>2250</v>
      </c>
      <c r="G29" s="25" t="s">
        <v>2251</v>
      </c>
      <c r="H29" s="25">
        <v>30</v>
      </c>
      <c r="I29" s="25" t="s">
        <v>3859</v>
      </c>
      <c r="J29" s="25" t="str">
        <f>VLOOKUP(I29,'records (3)'!$A:$C,2,FALSE)</f>
        <v>003IV000010tQHsYAM</v>
      </c>
      <c r="K29" s="25" t="s">
        <v>3860</v>
      </c>
      <c r="L29" s="25" t="s">
        <v>3861</v>
      </c>
      <c r="M29" s="25" t="s">
        <v>3862</v>
      </c>
      <c r="N29" s="25" t="str">
        <f>VLOOKUP($M29,'records (3)'!$A:$C,2,FALSE)</f>
        <v>003IV000010rvHOYAY</v>
      </c>
      <c r="O29" s="25" t="s">
        <v>3863</v>
      </c>
      <c r="P29" s="25" t="s">
        <v>2254</v>
      </c>
      <c r="Q29" s="25" t="s">
        <v>3751</v>
      </c>
      <c r="R29" s="25" t="s">
        <v>2254</v>
      </c>
      <c r="S29" s="25" t="s">
        <v>3744</v>
      </c>
      <c r="T29" s="25" t="s">
        <v>2248</v>
      </c>
      <c r="V29" s="25" t="s">
        <v>1233</v>
      </c>
      <c r="X29" s="25" t="s">
        <v>1233</v>
      </c>
      <c r="Z29" s="25" t="s">
        <v>2254</v>
      </c>
    </row>
    <row r="30" spans="1:26">
      <c r="A30" s="25" t="s">
        <v>2808</v>
      </c>
      <c r="B30" s="25" t="s">
        <v>563</v>
      </c>
      <c r="C30" s="25" t="s">
        <v>2805</v>
      </c>
      <c r="D30" s="25" t="s">
        <v>1337</v>
      </c>
      <c r="E30" s="25" t="s">
        <v>2806</v>
      </c>
      <c r="G30" s="25" t="s">
        <v>2807</v>
      </c>
      <c r="H30" s="25">
        <v>30</v>
      </c>
      <c r="I30" s="25" t="s">
        <v>3864</v>
      </c>
      <c r="J30" s="25" t="str">
        <f>VLOOKUP(I30,'records (3)'!$A:$C,2,FALSE)</f>
        <v>003IV000010tIe1YAE</v>
      </c>
      <c r="K30" s="25" t="s">
        <v>3865</v>
      </c>
      <c r="L30" s="25" t="s">
        <v>2810</v>
      </c>
      <c r="M30" s="25" t="s">
        <v>3864</v>
      </c>
      <c r="N30" s="25" t="str">
        <f>VLOOKUP($M30,'records (3)'!$A:$C,2,FALSE)</f>
        <v>003IV000010tIe1YAE</v>
      </c>
      <c r="O30" s="25" t="s">
        <v>3865</v>
      </c>
      <c r="P30" s="25" t="s">
        <v>2810</v>
      </c>
      <c r="Q30" s="25" t="s">
        <v>3751</v>
      </c>
      <c r="R30" s="25" t="s">
        <v>2810</v>
      </c>
      <c r="S30" s="25" t="s">
        <v>3744</v>
      </c>
      <c r="T30" s="25" t="s">
        <v>2804</v>
      </c>
      <c r="U30" s="25" t="s">
        <v>2333</v>
      </c>
      <c r="V30" s="25" t="s">
        <v>1233</v>
      </c>
      <c r="X30" s="25" t="s">
        <v>1233</v>
      </c>
      <c r="Z30" s="25" t="s">
        <v>2810</v>
      </c>
    </row>
    <row r="31" spans="1:26">
      <c r="A31" s="25" t="s">
        <v>2133</v>
      </c>
      <c r="B31" s="25" t="s">
        <v>335</v>
      </c>
      <c r="C31" s="25" t="s">
        <v>2129</v>
      </c>
      <c r="D31" s="25" t="s">
        <v>1337</v>
      </c>
      <c r="E31" s="25" t="s">
        <v>2131</v>
      </c>
      <c r="G31" s="25" t="s">
        <v>2132</v>
      </c>
      <c r="H31" s="25">
        <v>30</v>
      </c>
      <c r="I31" s="25" t="s">
        <v>3866</v>
      </c>
      <c r="J31" s="25" t="str">
        <f>VLOOKUP(I31,'records (3)'!$A:$C,2,FALSE)</f>
        <v>003IV000010t2BIYAY</v>
      </c>
      <c r="K31" s="25" t="s">
        <v>3867</v>
      </c>
      <c r="L31" s="25" t="s">
        <v>3868</v>
      </c>
      <c r="M31" s="25" t="s">
        <v>3869</v>
      </c>
      <c r="N31" s="25" t="str">
        <f>VLOOKUP($M31,'records (3)'!$A:$C,2,FALSE)</f>
        <v>003IV000010sxFhYAI</v>
      </c>
      <c r="O31" s="25" t="s">
        <v>2130</v>
      </c>
      <c r="P31" s="25" t="s">
        <v>3870</v>
      </c>
      <c r="Q31" s="25" t="s">
        <v>3751</v>
      </c>
      <c r="R31" s="25" t="s">
        <v>3868</v>
      </c>
      <c r="S31" s="25" t="s">
        <v>3744</v>
      </c>
      <c r="T31" s="25" t="s">
        <v>2128</v>
      </c>
      <c r="U31" s="25" t="s">
        <v>2130</v>
      </c>
      <c r="X31" s="25" t="s">
        <v>1233</v>
      </c>
      <c r="Z31" s="25" t="s">
        <v>2135</v>
      </c>
    </row>
    <row r="32" spans="1:26">
      <c r="A32" s="25" t="s">
        <v>2965</v>
      </c>
      <c r="B32" s="25" t="s">
        <v>559</v>
      </c>
      <c r="C32" s="25" t="s">
        <v>2962</v>
      </c>
      <c r="D32" s="25" t="s">
        <v>1337</v>
      </c>
      <c r="E32" s="25" t="s">
        <v>2963</v>
      </c>
      <c r="G32" s="25" t="s">
        <v>2964</v>
      </c>
      <c r="H32" s="25">
        <v>30</v>
      </c>
      <c r="I32" s="25" t="s">
        <v>3871</v>
      </c>
      <c r="J32" s="25" t="str">
        <f>VLOOKUP(I32,'records (3)'!$A:$C,2,FALSE)</f>
        <v>003IV000010tPaXYAU</v>
      </c>
      <c r="K32" s="25" t="s">
        <v>3872</v>
      </c>
      <c r="L32" s="25" t="s">
        <v>3873</v>
      </c>
      <c r="M32" s="25" t="s">
        <v>3874</v>
      </c>
      <c r="N32" s="25" t="str">
        <f>VLOOKUP($M32,'records (3)'!$A:$C,2,FALSE)</f>
        <v>003IV000010sxFiYAI</v>
      </c>
      <c r="O32" s="25" t="s">
        <v>3875</v>
      </c>
      <c r="P32" s="25" t="s">
        <v>2967</v>
      </c>
      <c r="Q32" s="25" t="s">
        <v>3751</v>
      </c>
      <c r="R32" s="25" t="s">
        <v>2967</v>
      </c>
      <c r="S32" s="25" t="s">
        <v>3744</v>
      </c>
      <c r="T32" s="25" t="s">
        <v>2961</v>
      </c>
      <c r="V32" s="25" t="s">
        <v>1233</v>
      </c>
      <c r="X32" s="25" t="s">
        <v>1233</v>
      </c>
      <c r="Z32" s="25" t="s">
        <v>2967</v>
      </c>
    </row>
    <row r="33" spans="1:26">
      <c r="A33" s="25" t="s">
        <v>3068</v>
      </c>
      <c r="B33" s="25" t="s">
        <v>751</v>
      </c>
      <c r="C33" s="25" t="s">
        <v>3064</v>
      </c>
      <c r="D33" s="25" t="s">
        <v>1337</v>
      </c>
      <c r="E33" s="25" t="s">
        <v>3066</v>
      </c>
      <c r="G33" s="25" t="s">
        <v>3876</v>
      </c>
      <c r="H33" s="25">
        <v>30</v>
      </c>
      <c r="I33" s="25" t="s">
        <v>3877</v>
      </c>
      <c r="J33" s="25" t="str">
        <f>VLOOKUP(I33,'records (3)'!$A:$C,2,FALSE)</f>
        <v>003IV000010tPaFYAU</v>
      </c>
      <c r="K33" s="25" t="s">
        <v>3878</v>
      </c>
      <c r="L33" s="25" t="s">
        <v>3879</v>
      </c>
      <c r="M33" s="25" t="s">
        <v>3877</v>
      </c>
      <c r="N33" s="25" t="str">
        <f>VLOOKUP($M33,'records (3)'!$A:$C,2,FALSE)</f>
        <v>003IV000010tPaFYAU</v>
      </c>
      <c r="O33" s="25" t="s">
        <v>3878</v>
      </c>
      <c r="P33" s="25" t="s">
        <v>3879</v>
      </c>
      <c r="Q33" s="25" t="s">
        <v>3751</v>
      </c>
      <c r="R33" s="25" t="s">
        <v>3070</v>
      </c>
      <c r="S33" s="25" t="s">
        <v>3744</v>
      </c>
      <c r="T33" s="25" t="s">
        <v>3063</v>
      </c>
      <c r="U33" s="25" t="s">
        <v>3065</v>
      </c>
      <c r="V33" s="25" t="s">
        <v>1233</v>
      </c>
      <c r="X33" s="25" t="s">
        <v>1233</v>
      </c>
      <c r="Z33" s="25" t="s">
        <v>3070</v>
      </c>
    </row>
    <row r="34" spans="1:26">
      <c r="A34" s="25" t="s">
        <v>3092</v>
      </c>
      <c r="B34" s="25" t="s">
        <v>163</v>
      </c>
      <c r="C34" s="25" t="s">
        <v>3089</v>
      </c>
      <c r="D34" s="25" t="s">
        <v>1337</v>
      </c>
      <c r="E34" s="25" t="s">
        <v>3090</v>
      </c>
      <c r="G34" s="25" t="s">
        <v>3091</v>
      </c>
      <c r="H34" s="25">
        <v>30</v>
      </c>
      <c r="I34" s="25" t="s">
        <v>3880</v>
      </c>
      <c r="J34" s="25" t="str">
        <f>VLOOKUP(I34,'records (3)'!$A:$C,2,FALSE)</f>
        <v>003IV000010tIelYAE</v>
      </c>
      <c r="K34" s="25" t="s">
        <v>3881</v>
      </c>
      <c r="L34" s="25" t="s">
        <v>3094</v>
      </c>
      <c r="M34" s="25" t="s">
        <v>3880</v>
      </c>
      <c r="N34" s="25" t="str">
        <f>VLOOKUP($M34,'records (3)'!$A:$C,2,FALSE)</f>
        <v>003IV000010tIelYAE</v>
      </c>
      <c r="O34" s="25" t="s">
        <v>3881</v>
      </c>
      <c r="P34" s="25" t="s">
        <v>3094</v>
      </c>
      <c r="Q34" s="25" t="s">
        <v>3751</v>
      </c>
      <c r="R34" s="25" t="s">
        <v>3094</v>
      </c>
      <c r="S34" s="25" t="s">
        <v>3744</v>
      </c>
      <c r="T34" s="25" t="s">
        <v>3088</v>
      </c>
      <c r="V34" s="25" t="s">
        <v>1233</v>
      </c>
      <c r="X34" s="25" t="s">
        <v>1233</v>
      </c>
      <c r="Z34" s="25" t="s">
        <v>3094</v>
      </c>
    </row>
    <row r="35" spans="1:26">
      <c r="A35" s="25" t="s">
        <v>1930</v>
      </c>
      <c r="B35" s="25" t="s">
        <v>182</v>
      </c>
      <c r="C35" s="25" t="s">
        <v>1926</v>
      </c>
      <c r="D35" s="25" t="s">
        <v>1337</v>
      </c>
      <c r="E35" s="25" t="s">
        <v>1928</v>
      </c>
      <c r="G35" s="25" t="s">
        <v>1929</v>
      </c>
      <c r="H35" s="25">
        <v>30</v>
      </c>
      <c r="I35" s="25" t="s">
        <v>3882</v>
      </c>
      <c r="J35" s="25" t="str">
        <f>VLOOKUP(I35,'records (3)'!$A:$C,2,FALSE)</f>
        <v>003IV000010rvHBYAY</v>
      </c>
      <c r="K35" s="25" t="s">
        <v>3883</v>
      </c>
      <c r="L35" s="25" t="s">
        <v>3884</v>
      </c>
      <c r="M35" s="25" t="s">
        <v>3882</v>
      </c>
      <c r="N35" s="25" t="str">
        <f>VLOOKUP($M35,'records (3)'!$A:$C,2,FALSE)</f>
        <v>003IV000010rvHBYAY</v>
      </c>
      <c r="O35" s="25" t="s">
        <v>3883</v>
      </c>
      <c r="P35" s="25" t="s">
        <v>3884</v>
      </c>
      <c r="Q35" s="25" t="s">
        <v>3751</v>
      </c>
      <c r="R35" s="25" t="s">
        <v>1932</v>
      </c>
      <c r="S35" s="25" t="s">
        <v>3744</v>
      </c>
      <c r="T35" s="25" t="s">
        <v>1925</v>
      </c>
      <c r="U35" s="25" t="s">
        <v>1927</v>
      </c>
      <c r="X35" s="25" t="s">
        <v>1233</v>
      </c>
      <c r="Z35" s="25" t="s">
        <v>1932</v>
      </c>
    </row>
    <row r="36" spans="1:26">
      <c r="A36" s="25" t="s">
        <v>1263</v>
      </c>
      <c r="B36" s="25" t="s">
        <v>1148</v>
      </c>
      <c r="C36" s="25" t="s">
        <v>2325</v>
      </c>
      <c r="E36" s="25" t="s">
        <v>2326</v>
      </c>
      <c r="G36" s="25" t="s">
        <v>2327</v>
      </c>
      <c r="H36" s="25">
        <v>60</v>
      </c>
      <c r="I36" s="25" t="s">
        <v>3885</v>
      </c>
      <c r="J36" s="25" t="str">
        <f>VLOOKUP(I36,'records (3)'!$A:$C,2,FALSE)</f>
        <v>003IV000010tJacYAE</v>
      </c>
      <c r="K36" s="25" t="s">
        <v>3886</v>
      </c>
      <c r="L36" s="25" t="s">
        <v>3887</v>
      </c>
      <c r="M36" s="25" t="s">
        <v>3885</v>
      </c>
      <c r="N36" s="25" t="str">
        <f>VLOOKUP($M36,'records (3)'!$A:$C,2,FALSE)</f>
        <v>003IV000010tJacYAE</v>
      </c>
      <c r="O36" s="25" t="s">
        <v>3886</v>
      </c>
      <c r="P36" s="25" t="s">
        <v>3887</v>
      </c>
      <c r="Q36" s="25" t="s">
        <v>3888</v>
      </c>
      <c r="R36" s="25" t="s">
        <v>2329</v>
      </c>
      <c r="S36" s="25" t="s">
        <v>3744</v>
      </c>
      <c r="T36" s="25" t="s">
        <v>2324</v>
      </c>
      <c r="V36" s="25" t="s">
        <v>1233</v>
      </c>
      <c r="X36" s="25" t="s">
        <v>1233</v>
      </c>
      <c r="Z36" s="25" t="s">
        <v>2329</v>
      </c>
    </row>
    <row r="37" spans="1:26">
      <c r="A37" s="25" t="s">
        <v>1709</v>
      </c>
      <c r="B37" s="25" t="s">
        <v>837</v>
      </c>
      <c r="C37" s="25" t="s">
        <v>1706</v>
      </c>
      <c r="D37" s="25" t="s">
        <v>1337</v>
      </c>
      <c r="E37" s="25" t="s">
        <v>1707</v>
      </c>
      <c r="G37" s="25" t="s">
        <v>1708</v>
      </c>
      <c r="H37" s="25">
        <v>30</v>
      </c>
      <c r="I37" s="25" t="s">
        <v>3889</v>
      </c>
      <c r="J37" s="25" t="str">
        <f>VLOOKUP(I37,'records (3)'!$A:$C,2,FALSE)</f>
        <v>003IV000010t2QNYAY</v>
      </c>
      <c r="K37" s="25" t="s">
        <v>3890</v>
      </c>
      <c r="L37" s="25" t="s">
        <v>3891</v>
      </c>
      <c r="M37" s="25" t="s">
        <v>3892</v>
      </c>
      <c r="N37" s="25" t="str">
        <f>VLOOKUP($M37,'records (3)'!$A:$C,2,FALSE)</f>
        <v>003IV000010tRVRYA2</v>
      </c>
      <c r="O37" s="25" t="s">
        <v>3893</v>
      </c>
      <c r="P37" s="25" t="s">
        <v>1711</v>
      </c>
      <c r="Q37" s="25" t="s">
        <v>3751</v>
      </c>
      <c r="R37" s="25" t="s">
        <v>1711</v>
      </c>
      <c r="S37" s="25" t="s">
        <v>3744</v>
      </c>
      <c r="T37" s="25" t="s">
        <v>1705</v>
      </c>
      <c r="V37" s="25" t="s">
        <v>1233</v>
      </c>
      <c r="X37" s="25" t="s">
        <v>1233</v>
      </c>
      <c r="Z37" s="25" t="s">
        <v>1711</v>
      </c>
    </row>
    <row r="38" spans="1:26">
      <c r="A38" s="25" t="s">
        <v>2538</v>
      </c>
      <c r="B38" s="25" t="s">
        <v>347</v>
      </c>
      <c r="C38" s="25" t="s">
        <v>2535</v>
      </c>
      <c r="D38" s="25" t="s">
        <v>1337</v>
      </c>
      <c r="E38" s="25" t="s">
        <v>2536</v>
      </c>
      <c r="G38" s="25" t="s">
        <v>3894</v>
      </c>
      <c r="H38" s="25">
        <v>30</v>
      </c>
      <c r="I38" s="25" t="s">
        <v>3895</v>
      </c>
      <c r="J38" s="25" t="str">
        <f>VLOOKUP(I38,'records (3)'!$A:$C,2,FALSE)</f>
        <v>003IV000010t2FfYAI</v>
      </c>
      <c r="K38" s="25" t="s">
        <v>3896</v>
      </c>
      <c r="L38" s="25" t="s">
        <v>2540</v>
      </c>
      <c r="M38" s="25" t="s">
        <v>3895</v>
      </c>
      <c r="N38" s="25" t="str">
        <f>VLOOKUP($M38,'records (3)'!$A:$C,2,FALSE)</f>
        <v>003IV000010t2FfYAI</v>
      </c>
      <c r="O38" s="25" t="s">
        <v>3896</v>
      </c>
      <c r="P38" s="25" t="s">
        <v>2540</v>
      </c>
      <c r="Q38" s="25" t="s">
        <v>3751</v>
      </c>
      <c r="R38" s="25" t="s">
        <v>2540</v>
      </c>
      <c r="S38" s="25" t="s">
        <v>3744</v>
      </c>
      <c r="T38" s="25" t="s">
        <v>2534</v>
      </c>
      <c r="X38" s="25" t="s">
        <v>1233</v>
      </c>
      <c r="Z38" s="25" t="s">
        <v>2540</v>
      </c>
    </row>
    <row r="39" spans="1:26">
      <c r="A39" s="25" t="s">
        <v>3406</v>
      </c>
      <c r="B39" s="25" t="s">
        <v>1126</v>
      </c>
      <c r="C39" s="25" t="s">
        <v>1454</v>
      </c>
      <c r="D39" s="25" t="s">
        <v>1337</v>
      </c>
      <c r="E39" s="25" t="s">
        <v>3404</v>
      </c>
      <c r="G39" s="25" t="s">
        <v>3405</v>
      </c>
      <c r="H39" s="25">
        <v>30</v>
      </c>
      <c r="I39" s="25" t="s">
        <v>3897</v>
      </c>
      <c r="J39" s="25" t="str">
        <f>VLOOKUP(I39,'records (3)'!$A:$C,2,FALSE)</f>
        <v>003IV000010rvHDYAY</v>
      </c>
      <c r="K39" s="25" t="s">
        <v>3898</v>
      </c>
      <c r="L39" s="25" t="s">
        <v>3899</v>
      </c>
      <c r="M39" s="25" t="s">
        <v>3897</v>
      </c>
      <c r="N39" s="25" t="str">
        <f>VLOOKUP($M39,'records (3)'!$A:$C,2,FALSE)</f>
        <v>003IV000010rvHDYAY</v>
      </c>
      <c r="O39" s="25" t="s">
        <v>3898</v>
      </c>
      <c r="P39" s="25" t="s">
        <v>3899</v>
      </c>
      <c r="Q39" s="25" t="s">
        <v>3751</v>
      </c>
      <c r="R39" s="25" t="s">
        <v>3408</v>
      </c>
      <c r="S39" s="25" t="s">
        <v>3744</v>
      </c>
      <c r="T39" s="25" t="s">
        <v>3403</v>
      </c>
      <c r="V39" s="25" t="s">
        <v>1233</v>
      </c>
      <c r="X39" s="25" t="s">
        <v>1233</v>
      </c>
      <c r="Z39" s="25" t="s">
        <v>3408</v>
      </c>
    </row>
    <row r="40" spans="1:26">
      <c r="A40" s="25" t="s">
        <v>3504</v>
      </c>
      <c r="B40" s="25" t="s">
        <v>506</v>
      </c>
      <c r="C40" s="25" t="s">
        <v>3501</v>
      </c>
      <c r="D40" s="25" t="s">
        <v>1337</v>
      </c>
      <c r="E40" s="25" t="s">
        <v>3502</v>
      </c>
      <c r="G40" s="25" t="s">
        <v>3503</v>
      </c>
      <c r="H40" s="25">
        <v>30</v>
      </c>
      <c r="I40" s="25" t="s">
        <v>3900</v>
      </c>
      <c r="J40" s="25" t="str">
        <f>VLOOKUP(I40,'records (3)'!$A:$C,2,FALSE)</f>
        <v>003IV000010sxGMYAY</v>
      </c>
      <c r="K40" s="25" t="s">
        <v>3901</v>
      </c>
      <c r="L40" s="25" t="s">
        <v>3902</v>
      </c>
      <c r="M40" s="25" t="s">
        <v>3900</v>
      </c>
      <c r="N40" s="25" t="str">
        <f>VLOOKUP($M40,'records (3)'!$A:$C,2,FALSE)</f>
        <v>003IV000010sxGMYAY</v>
      </c>
      <c r="O40" s="25" t="s">
        <v>3901</v>
      </c>
      <c r="P40" s="25" t="s">
        <v>3902</v>
      </c>
      <c r="Q40" s="25" t="s">
        <v>3751</v>
      </c>
      <c r="R40" s="25" t="s">
        <v>3506</v>
      </c>
      <c r="S40" s="25" t="s">
        <v>3744</v>
      </c>
      <c r="T40" s="25" t="s">
        <v>3500</v>
      </c>
      <c r="X40" s="25" t="s">
        <v>1233</v>
      </c>
      <c r="Z40" s="25" t="s">
        <v>3506</v>
      </c>
    </row>
    <row r="41" spans="1:26">
      <c r="A41" s="25" t="s">
        <v>3572</v>
      </c>
      <c r="B41" s="25" t="s">
        <v>159</v>
      </c>
      <c r="C41" s="25" t="s">
        <v>3569</v>
      </c>
      <c r="D41" s="25" t="s">
        <v>1337</v>
      </c>
      <c r="E41" s="25" t="s">
        <v>3570</v>
      </c>
      <c r="G41" s="25" t="s">
        <v>3571</v>
      </c>
      <c r="H41" s="25">
        <v>30</v>
      </c>
      <c r="I41" s="25" t="s">
        <v>3903</v>
      </c>
      <c r="J41" s="25" t="str">
        <f>VLOOKUP(I41,'records (3)'!$A:$C,2,FALSE)</f>
        <v>003IV000010t2Z3YAI</v>
      </c>
      <c r="K41" s="25" t="s">
        <v>3904</v>
      </c>
      <c r="L41" s="25" t="s">
        <v>3574</v>
      </c>
      <c r="M41" s="25" t="s">
        <v>3903</v>
      </c>
      <c r="N41" s="25" t="str">
        <f>VLOOKUP($M41,'records (3)'!$A:$C,2,FALSE)</f>
        <v>003IV000010t2Z3YAI</v>
      </c>
      <c r="O41" s="25" t="s">
        <v>3904</v>
      </c>
      <c r="P41" s="25" t="s">
        <v>3574</v>
      </c>
      <c r="Q41" s="25" t="s">
        <v>3751</v>
      </c>
      <c r="R41" s="25" t="s">
        <v>3574</v>
      </c>
      <c r="S41" s="25" t="s">
        <v>3744</v>
      </c>
      <c r="T41" s="25" t="s">
        <v>3568</v>
      </c>
      <c r="V41" s="25" t="s">
        <v>1233</v>
      </c>
      <c r="X41" s="25" t="s">
        <v>1233</v>
      </c>
      <c r="Z41" s="25" t="s">
        <v>3574</v>
      </c>
    </row>
    <row r="42" spans="1:26">
      <c r="A42" s="25" t="s">
        <v>3391</v>
      </c>
      <c r="B42" s="25" t="s">
        <v>382</v>
      </c>
      <c r="C42" s="25" t="s">
        <v>3388</v>
      </c>
      <c r="D42" s="25" t="s">
        <v>1337</v>
      </c>
      <c r="E42" s="25" t="s">
        <v>3389</v>
      </c>
      <c r="G42" s="25" t="s">
        <v>3390</v>
      </c>
      <c r="H42" s="25">
        <v>30</v>
      </c>
      <c r="I42" s="25" t="s">
        <v>3905</v>
      </c>
      <c r="J42" s="25" t="str">
        <f>VLOOKUP(I42,'records (3)'!$A:$C,2,FALSE)</f>
        <v>003IV000010t2G3YAI</v>
      </c>
      <c r="K42" s="25" t="s">
        <v>3906</v>
      </c>
      <c r="L42" s="25" t="s">
        <v>3393</v>
      </c>
      <c r="M42" s="25" t="s">
        <v>3905</v>
      </c>
      <c r="N42" s="25" t="str">
        <f>VLOOKUP($M42,'records (3)'!$A:$C,2,FALSE)</f>
        <v>003IV000010t2G3YAI</v>
      </c>
      <c r="O42" s="25" t="s">
        <v>3906</v>
      </c>
      <c r="P42" s="25" t="s">
        <v>3393</v>
      </c>
      <c r="Q42" s="25" t="s">
        <v>3751</v>
      </c>
      <c r="R42" s="25" t="s">
        <v>3393</v>
      </c>
      <c r="S42" s="25" t="s">
        <v>3744</v>
      </c>
      <c r="T42" s="25" t="s">
        <v>3387</v>
      </c>
      <c r="U42" s="25" t="s">
        <v>1401</v>
      </c>
      <c r="X42" s="25" t="s">
        <v>1233</v>
      </c>
      <c r="Z42" s="25" t="s">
        <v>3393</v>
      </c>
    </row>
    <row r="43" spans="1:26">
      <c r="A43" s="25" t="s">
        <v>1889</v>
      </c>
      <c r="B43" s="25" t="s">
        <v>872</v>
      </c>
      <c r="C43" s="25" t="s">
        <v>1887</v>
      </c>
      <c r="D43" s="25" t="s">
        <v>1337</v>
      </c>
      <c r="E43" s="25" t="s">
        <v>1880</v>
      </c>
      <c r="G43" s="25" t="s">
        <v>1888</v>
      </c>
      <c r="H43" s="25">
        <v>30</v>
      </c>
      <c r="I43" s="25" t="s">
        <v>3907</v>
      </c>
      <c r="J43" s="25" t="str">
        <f>VLOOKUP(I43,'records (3)'!$A:$C,2,FALSE)</f>
        <v>003IV000010t2ZRYAY</v>
      </c>
      <c r="K43" s="25" t="s">
        <v>3908</v>
      </c>
      <c r="L43" s="25" t="s">
        <v>1891</v>
      </c>
      <c r="M43" s="25" t="s">
        <v>3907</v>
      </c>
      <c r="N43" s="25" t="str">
        <f>VLOOKUP($M43,'records (3)'!$A:$C,2,FALSE)</f>
        <v>003IV000010t2ZRYAY</v>
      </c>
      <c r="O43" s="25" t="s">
        <v>3908</v>
      </c>
      <c r="P43" s="25" t="s">
        <v>1891</v>
      </c>
      <c r="Q43" s="25" t="s">
        <v>3751</v>
      </c>
      <c r="R43" s="25" t="s">
        <v>1891</v>
      </c>
      <c r="S43" s="25" t="s">
        <v>3744</v>
      </c>
      <c r="T43" s="25" t="s">
        <v>1886</v>
      </c>
      <c r="U43" s="25" t="s">
        <v>1832</v>
      </c>
      <c r="V43" s="25" t="s">
        <v>1233</v>
      </c>
      <c r="X43" s="25" t="s">
        <v>1233</v>
      </c>
      <c r="Z43" s="25" t="s">
        <v>1891</v>
      </c>
    </row>
    <row r="44" spans="1:26">
      <c r="A44" s="25" t="s">
        <v>1882</v>
      </c>
      <c r="B44" s="25" t="s">
        <v>868</v>
      </c>
      <c r="C44" s="25" t="s">
        <v>1879</v>
      </c>
      <c r="D44" s="25" t="s">
        <v>1337</v>
      </c>
      <c r="E44" s="25" t="s">
        <v>1880</v>
      </c>
      <c r="G44" s="25" t="s">
        <v>3909</v>
      </c>
      <c r="H44" s="25">
        <v>30</v>
      </c>
      <c r="I44" s="25" t="s">
        <v>3910</v>
      </c>
      <c r="J44" s="25" t="str">
        <f>VLOOKUP(I44,'records (3)'!$A:$C,2,FALSE)</f>
        <v>003IV000010t2ZQYAY</v>
      </c>
      <c r="K44" s="25" t="s">
        <v>3911</v>
      </c>
      <c r="L44" s="25" t="s">
        <v>1884</v>
      </c>
      <c r="M44" s="25" t="s">
        <v>3910</v>
      </c>
      <c r="N44" s="25" t="str">
        <f>VLOOKUP($M44,'records (3)'!$A:$C,2,FALSE)</f>
        <v>003IV000010t2ZQYAY</v>
      </c>
      <c r="O44" s="25" t="s">
        <v>3911</v>
      </c>
      <c r="P44" s="25" t="s">
        <v>1884</v>
      </c>
      <c r="Q44" s="25" t="s">
        <v>3751</v>
      </c>
      <c r="R44" s="25" t="s">
        <v>1884</v>
      </c>
      <c r="S44" s="25" t="s">
        <v>3744</v>
      </c>
      <c r="T44" s="25" t="s">
        <v>1878</v>
      </c>
      <c r="V44" s="25" t="s">
        <v>1233</v>
      </c>
      <c r="X44" s="25" t="s">
        <v>1233</v>
      </c>
      <c r="Z44" s="25" t="s">
        <v>1884</v>
      </c>
    </row>
    <row r="45" spans="1:26">
      <c r="A45" s="25" t="s">
        <v>3639</v>
      </c>
      <c r="B45" s="25" t="s">
        <v>545</v>
      </c>
      <c r="C45" s="25" t="s">
        <v>3636</v>
      </c>
      <c r="D45" s="25" t="s">
        <v>1337</v>
      </c>
      <c r="E45" s="25" t="s">
        <v>3637</v>
      </c>
      <c r="G45" s="25" t="s">
        <v>3638</v>
      </c>
      <c r="H45" s="25">
        <v>30</v>
      </c>
      <c r="I45" s="25" t="s">
        <v>3912</v>
      </c>
      <c r="J45" s="25" t="str">
        <f>VLOOKUP(I45,'records (3)'!$A:$C,2,FALSE)</f>
        <v>003IV000010sxFmYAI</v>
      </c>
      <c r="K45" s="25" t="s">
        <v>3913</v>
      </c>
      <c r="L45" s="25" t="s">
        <v>3914</v>
      </c>
      <c r="M45" s="25" t="s">
        <v>3915</v>
      </c>
      <c r="N45" s="25" t="str">
        <f>VLOOKUP($M45,'records (3)'!$A:$C,2,FALSE)</f>
        <v>003IV000010sxGHYAY</v>
      </c>
      <c r="O45" s="25" t="s">
        <v>3916</v>
      </c>
      <c r="P45" s="25" t="s">
        <v>3917</v>
      </c>
      <c r="Q45" s="25" t="s">
        <v>3751</v>
      </c>
      <c r="S45" s="25" t="s">
        <v>3744</v>
      </c>
      <c r="T45" s="25" t="s">
        <v>3635</v>
      </c>
      <c r="V45" s="25" t="s">
        <v>3636</v>
      </c>
      <c r="X45" s="25" t="s">
        <v>3637</v>
      </c>
      <c r="Z45" s="25" t="s">
        <v>3638</v>
      </c>
    </row>
    <row r="46" spans="1:26">
      <c r="A46" s="25" t="s">
        <v>1580</v>
      </c>
      <c r="B46" s="25" t="s">
        <v>404</v>
      </c>
      <c r="C46" s="25" t="s">
        <v>1576</v>
      </c>
      <c r="D46" s="25" t="s">
        <v>1337</v>
      </c>
      <c r="E46" s="25" t="s">
        <v>1578</v>
      </c>
      <c r="G46" s="25" t="s">
        <v>1579</v>
      </c>
      <c r="H46" s="25">
        <v>30</v>
      </c>
      <c r="I46" s="25" t="s">
        <v>3918</v>
      </c>
      <c r="J46" s="25" t="str">
        <f>VLOOKUP(I46,'records (3)'!$A:$C,2,FALSE)</f>
        <v>003IV000010tQHtYAM</v>
      </c>
      <c r="K46" s="25" t="s">
        <v>3919</v>
      </c>
      <c r="L46" s="25" t="s">
        <v>1582</v>
      </c>
      <c r="M46" s="25" t="s">
        <v>3918</v>
      </c>
      <c r="N46" s="25" t="str">
        <f>VLOOKUP($M46,'records (3)'!$A:$C,2,FALSE)</f>
        <v>003IV000010tQHtYAM</v>
      </c>
      <c r="O46" s="25" t="s">
        <v>3919</v>
      </c>
      <c r="P46" s="25" t="s">
        <v>1582</v>
      </c>
      <c r="Q46" s="25" t="s">
        <v>3751</v>
      </c>
      <c r="R46" s="25" t="s">
        <v>1582</v>
      </c>
      <c r="S46" s="25" t="s">
        <v>3744</v>
      </c>
      <c r="T46" s="25" t="s">
        <v>1575</v>
      </c>
      <c r="U46" s="25" t="s">
        <v>1577</v>
      </c>
      <c r="X46" s="25" t="s">
        <v>1233</v>
      </c>
      <c r="Z46" s="25" t="s">
        <v>1582</v>
      </c>
    </row>
    <row r="47" spans="1:26">
      <c r="A47" s="25" t="s">
        <v>3646</v>
      </c>
      <c r="B47" s="25" t="s">
        <v>964</v>
      </c>
      <c r="C47" s="25" t="s">
        <v>3643</v>
      </c>
      <c r="D47" s="25" t="s">
        <v>1337</v>
      </c>
      <c r="E47" s="25" t="s">
        <v>3644</v>
      </c>
      <c r="G47" s="25" t="s">
        <v>3645</v>
      </c>
      <c r="H47" s="25">
        <v>30</v>
      </c>
      <c r="I47" s="25" t="s">
        <v>3920</v>
      </c>
      <c r="J47" s="25" t="str">
        <f>VLOOKUP(I47,'records (3)'!$A:$C,2,FALSE)</f>
        <v>003IV000010sxGXYAY</v>
      </c>
      <c r="K47" s="25" t="s">
        <v>3921</v>
      </c>
      <c r="L47" s="25" t="s">
        <v>3922</v>
      </c>
      <c r="M47" s="25" t="s">
        <v>3920</v>
      </c>
      <c r="N47" s="25" t="str">
        <f>VLOOKUP($M47,'records (3)'!$A:$C,2,FALSE)</f>
        <v>003IV000010sxGXYAY</v>
      </c>
      <c r="O47" s="25" t="s">
        <v>3921</v>
      </c>
      <c r="P47" s="25" t="s">
        <v>3922</v>
      </c>
      <c r="Q47" s="25" t="s">
        <v>3751</v>
      </c>
      <c r="S47" s="25" t="s">
        <v>3744</v>
      </c>
      <c r="T47" s="25" t="s">
        <v>3642</v>
      </c>
      <c r="V47" s="25" t="s">
        <v>3643</v>
      </c>
      <c r="X47" s="25" t="s">
        <v>3644</v>
      </c>
      <c r="Z47" s="25" t="s">
        <v>3645</v>
      </c>
    </row>
    <row r="48" spans="1:26">
      <c r="A48" s="25" t="s">
        <v>3688</v>
      </c>
      <c r="B48" s="25" t="s">
        <v>799</v>
      </c>
      <c r="C48" s="25" t="s">
        <v>3169</v>
      </c>
      <c r="D48" s="25" t="s">
        <v>1337</v>
      </c>
      <c r="E48" s="25" t="s">
        <v>3686</v>
      </c>
      <c r="G48" s="25" t="s">
        <v>3687</v>
      </c>
      <c r="H48" s="25">
        <v>30</v>
      </c>
      <c r="I48" s="25" t="s">
        <v>3923</v>
      </c>
      <c r="J48" s="25" t="str">
        <f>VLOOKUP(I48,'records (3)'!$A:$C,2,FALSE)</f>
        <v>003IV000010rvHFYAY</v>
      </c>
      <c r="K48" s="25" t="s">
        <v>3924</v>
      </c>
      <c r="L48" s="25" t="s">
        <v>3925</v>
      </c>
      <c r="M48" s="25" t="s">
        <v>3926</v>
      </c>
      <c r="N48" s="25" t="str">
        <f>VLOOKUP($M48,'records (3)'!$A:$C,2,FALSE)</f>
        <v>003IV000010rvHPYAY</v>
      </c>
      <c r="O48" s="25" t="s">
        <v>3927</v>
      </c>
      <c r="P48" s="25" t="s">
        <v>3928</v>
      </c>
      <c r="Q48" s="25" t="s">
        <v>3751</v>
      </c>
      <c r="S48" s="25" t="s">
        <v>3744</v>
      </c>
      <c r="T48" s="25" t="s">
        <v>3685</v>
      </c>
      <c r="U48" s="25" t="s">
        <v>1425</v>
      </c>
      <c r="V48" s="25" t="s">
        <v>3169</v>
      </c>
      <c r="X48" s="25" t="s">
        <v>3686</v>
      </c>
      <c r="Z48" s="25" t="s">
        <v>3687</v>
      </c>
    </row>
    <row r="49" spans="1:26">
      <c r="A49" s="25" t="s">
        <v>3564</v>
      </c>
      <c r="B49" s="25" t="s">
        <v>943</v>
      </c>
      <c r="C49" s="25" t="s">
        <v>1625</v>
      </c>
      <c r="D49" s="25" t="s">
        <v>1337</v>
      </c>
      <c r="E49" s="25" t="s">
        <v>3929</v>
      </c>
      <c r="G49" s="25" t="s">
        <v>3563</v>
      </c>
      <c r="H49" s="25">
        <v>30</v>
      </c>
      <c r="I49" s="25" t="s">
        <v>3930</v>
      </c>
      <c r="J49" s="25" t="str">
        <f>VLOOKUP(I49,'records (3)'!$A:$C,2,FALSE)</f>
        <v>003IV000010t2QQYAY</v>
      </c>
      <c r="K49" s="25" t="s">
        <v>3931</v>
      </c>
      <c r="L49" s="25" t="s">
        <v>3932</v>
      </c>
      <c r="M49" s="25" t="s">
        <v>3930</v>
      </c>
      <c r="N49" s="25" t="str">
        <f>VLOOKUP($M49,'records (3)'!$A:$C,2,FALSE)</f>
        <v>003IV000010t2QQYAY</v>
      </c>
      <c r="O49" s="25" t="s">
        <v>3931</v>
      </c>
      <c r="P49" s="25" t="s">
        <v>3932</v>
      </c>
      <c r="Q49" s="25" t="s">
        <v>3751</v>
      </c>
      <c r="R49" s="25" t="s">
        <v>3566</v>
      </c>
      <c r="S49" s="25" t="s">
        <v>3744</v>
      </c>
      <c r="T49" s="25" t="s">
        <v>3561</v>
      </c>
      <c r="V49" s="25" t="s">
        <v>1233</v>
      </c>
      <c r="W49" s="25" t="s">
        <v>1233</v>
      </c>
      <c r="X49" s="25" t="s">
        <v>1233</v>
      </c>
      <c r="Z49" s="25" t="s">
        <v>3566</v>
      </c>
    </row>
    <row r="50" spans="1:26">
      <c r="A50" s="25" t="s">
        <v>1765</v>
      </c>
      <c r="B50" s="25" t="s">
        <v>708</v>
      </c>
      <c r="C50" s="25" t="s">
        <v>1762</v>
      </c>
      <c r="D50" s="25" t="s">
        <v>1337</v>
      </c>
      <c r="E50" s="25" t="s">
        <v>1763</v>
      </c>
      <c r="G50" s="25" t="s">
        <v>3933</v>
      </c>
      <c r="H50" s="25">
        <v>30</v>
      </c>
      <c r="I50" s="25" t="s">
        <v>3934</v>
      </c>
      <c r="J50" s="25" t="str">
        <f>VLOOKUP(I50,'records (3)'!$A:$C,2,FALSE)</f>
        <v>003IV000010tIe9YAE</v>
      </c>
      <c r="K50" s="25" t="s">
        <v>3935</v>
      </c>
      <c r="L50" s="25" t="s">
        <v>1767</v>
      </c>
      <c r="M50" s="25" t="s">
        <v>3934</v>
      </c>
      <c r="N50" s="25" t="str">
        <f>VLOOKUP($M50,'records (3)'!$A:$C,2,FALSE)</f>
        <v>003IV000010tIe9YAE</v>
      </c>
      <c r="O50" s="25" t="s">
        <v>3935</v>
      </c>
      <c r="P50" s="25" t="s">
        <v>1767</v>
      </c>
      <c r="Q50" s="25" t="s">
        <v>3751</v>
      </c>
      <c r="R50" s="25" t="s">
        <v>1767</v>
      </c>
      <c r="S50" s="25" t="s">
        <v>3744</v>
      </c>
      <c r="T50" s="25" t="s">
        <v>1761</v>
      </c>
      <c r="V50" s="25" t="s">
        <v>1233</v>
      </c>
      <c r="X50" s="25" t="s">
        <v>1233</v>
      </c>
      <c r="Z50" s="25" t="s">
        <v>1767</v>
      </c>
    </row>
    <row r="51" spans="1:26">
      <c r="A51" s="25" t="s">
        <v>1773</v>
      </c>
      <c r="B51" s="25" t="s">
        <v>979</v>
      </c>
      <c r="C51" s="25" t="s">
        <v>1770</v>
      </c>
      <c r="D51" s="25" t="s">
        <v>1337</v>
      </c>
      <c r="E51" s="25" t="s">
        <v>1771</v>
      </c>
      <c r="G51" s="25" t="s">
        <v>1772</v>
      </c>
      <c r="H51" s="25">
        <v>30</v>
      </c>
      <c r="I51" s="25" t="s">
        <v>3936</v>
      </c>
      <c r="J51" s="25" t="str">
        <f>VLOOKUP(I51,'records (3)'!$A:$C,2,FALSE)</f>
        <v>003IV000010sxGQYAY</v>
      </c>
      <c r="K51" s="25" t="s">
        <v>3937</v>
      </c>
      <c r="L51" s="25" t="s">
        <v>3938</v>
      </c>
      <c r="M51" s="25" t="s">
        <v>3939</v>
      </c>
      <c r="N51" s="25" t="str">
        <f>VLOOKUP($M51,'records (3)'!$A:$C,2,FALSE)</f>
        <v>003IV000010sxGSYAY</v>
      </c>
      <c r="O51" s="25" t="s">
        <v>3940</v>
      </c>
      <c r="P51" s="25" t="s">
        <v>3941</v>
      </c>
      <c r="Q51" s="25" t="s">
        <v>3751</v>
      </c>
      <c r="R51" s="25" t="s">
        <v>1775</v>
      </c>
      <c r="S51" s="25" t="s">
        <v>3744</v>
      </c>
      <c r="T51" s="25" t="s">
        <v>1769</v>
      </c>
      <c r="X51" s="25" t="s">
        <v>1233</v>
      </c>
      <c r="Z51" s="25" t="s">
        <v>1775</v>
      </c>
    </row>
    <row r="52" spans="1:26">
      <c r="A52" s="25" t="s">
        <v>2579</v>
      </c>
      <c r="B52" s="25" t="s">
        <v>227</v>
      </c>
      <c r="C52" s="25" t="s">
        <v>2576</v>
      </c>
      <c r="D52" s="25" t="s">
        <v>1337</v>
      </c>
      <c r="E52" s="25" t="s">
        <v>2577</v>
      </c>
      <c r="G52" s="25" t="s">
        <v>2578</v>
      </c>
      <c r="H52" s="25">
        <v>30</v>
      </c>
      <c r="I52" s="25" t="s">
        <v>3942</v>
      </c>
      <c r="J52" s="25" t="str">
        <f>VLOOKUP(I52,'records (3)'!$A:$C,2,FALSE)</f>
        <v>003IV000010tRWAYA2</v>
      </c>
      <c r="K52" s="25" t="s">
        <v>3943</v>
      </c>
      <c r="L52" s="25" t="s">
        <v>3944</v>
      </c>
      <c r="M52" s="25" t="s">
        <v>3942</v>
      </c>
      <c r="N52" s="25" t="str">
        <f>VLOOKUP($M52,'records (3)'!$A:$C,2,FALSE)</f>
        <v>003IV000010tRWAYA2</v>
      </c>
      <c r="O52" s="25" t="s">
        <v>3943</v>
      </c>
      <c r="P52" s="25" t="s">
        <v>3944</v>
      </c>
      <c r="Q52" s="25" t="s">
        <v>3751</v>
      </c>
      <c r="R52" s="25" t="s">
        <v>3945</v>
      </c>
      <c r="S52" s="25" t="s">
        <v>3744</v>
      </c>
      <c r="T52" s="25" t="s">
        <v>2575</v>
      </c>
      <c r="U52" s="25" t="s">
        <v>1840</v>
      </c>
      <c r="V52" s="25" t="s">
        <v>1233</v>
      </c>
      <c r="X52" s="25" t="s">
        <v>1233</v>
      </c>
      <c r="Z52" s="25" t="s">
        <v>3945</v>
      </c>
    </row>
    <row r="53" spans="1:26">
      <c r="A53" s="25" t="s">
        <v>2060</v>
      </c>
      <c r="B53" s="25" t="s">
        <v>567</v>
      </c>
      <c r="C53" s="25" t="s">
        <v>2057</v>
      </c>
      <c r="D53" s="25" t="s">
        <v>1337</v>
      </c>
      <c r="E53" s="25" t="s">
        <v>2058</v>
      </c>
      <c r="G53" s="25" t="s">
        <v>2059</v>
      </c>
      <c r="H53" s="25">
        <v>45</v>
      </c>
      <c r="I53" s="25" t="s">
        <v>3946</v>
      </c>
      <c r="J53" s="25" t="str">
        <f>VLOOKUP(I53,'records (3)'!$A:$C,2,FALSE)</f>
        <v>003IV000010tTxvYAE</v>
      </c>
      <c r="K53" s="25" t="s">
        <v>3947</v>
      </c>
      <c r="L53" s="25" t="s">
        <v>2062</v>
      </c>
      <c r="M53" s="25" t="s">
        <v>3948</v>
      </c>
      <c r="N53" s="25" t="str">
        <f>VLOOKUP($M53,'records (3)'!$A:$C,2,FALSE)</f>
        <v>003IV000010su8yYAA</v>
      </c>
      <c r="O53" s="25" t="s">
        <v>3949</v>
      </c>
      <c r="P53" s="25" t="s">
        <v>3950</v>
      </c>
      <c r="Q53" s="25" t="s">
        <v>3751</v>
      </c>
      <c r="R53" s="25" t="s">
        <v>2062</v>
      </c>
      <c r="S53" s="25" t="s">
        <v>3744</v>
      </c>
      <c r="T53" s="25" t="s">
        <v>2056</v>
      </c>
      <c r="V53" s="25" t="s">
        <v>1233</v>
      </c>
      <c r="X53" s="25" t="s">
        <v>1233</v>
      </c>
      <c r="Z53" s="25" t="s">
        <v>2062</v>
      </c>
    </row>
    <row r="54" spans="1:26">
      <c r="A54" s="25" t="s">
        <v>2485</v>
      </c>
      <c r="B54" s="25" t="s">
        <v>802</v>
      </c>
      <c r="C54" s="25" t="s">
        <v>2482</v>
      </c>
      <c r="D54" s="25" t="s">
        <v>1337</v>
      </c>
      <c r="E54" s="25" t="s">
        <v>2483</v>
      </c>
      <c r="G54" s="25" t="s">
        <v>2484</v>
      </c>
      <c r="H54" s="25">
        <v>30</v>
      </c>
      <c r="I54" s="25" t="s">
        <v>3951</v>
      </c>
      <c r="J54" s="25" t="str">
        <f>VLOOKUP(I54,'records (3)'!$A:$C,2,FALSE)</f>
        <v>003IV000010tRVPYA2</v>
      </c>
      <c r="K54" s="25" t="s">
        <v>3952</v>
      </c>
      <c r="L54" s="25" t="s">
        <v>3953</v>
      </c>
      <c r="M54" s="25" t="s">
        <v>3951</v>
      </c>
      <c r="N54" s="25" t="str">
        <f>VLOOKUP($M54,'records (3)'!$A:$C,2,FALSE)</f>
        <v>003IV000010tRVPYA2</v>
      </c>
      <c r="O54" s="25" t="s">
        <v>3952</v>
      </c>
      <c r="P54" s="25" t="s">
        <v>3953</v>
      </c>
      <c r="Q54" s="25" t="s">
        <v>3751</v>
      </c>
      <c r="R54" s="25" t="s">
        <v>2487</v>
      </c>
      <c r="S54" s="25" t="s">
        <v>3744</v>
      </c>
      <c r="T54" s="25" t="s">
        <v>2481</v>
      </c>
      <c r="V54" s="25" t="s">
        <v>1233</v>
      </c>
      <c r="X54" s="25" t="s">
        <v>1233</v>
      </c>
      <c r="Z54" s="25" t="s">
        <v>2487</v>
      </c>
    </row>
    <row r="55" spans="1:26">
      <c r="A55" s="25" t="s">
        <v>1905</v>
      </c>
      <c r="B55" s="25" t="s">
        <v>375</v>
      </c>
      <c r="C55" s="25" t="s">
        <v>1902</v>
      </c>
      <c r="D55" s="25" t="s">
        <v>1337</v>
      </c>
      <c r="E55" s="25" t="s">
        <v>1903</v>
      </c>
      <c r="G55" s="25" t="s">
        <v>1904</v>
      </c>
      <c r="H55" s="25">
        <v>30</v>
      </c>
      <c r="I55" s="25" t="s">
        <v>3954</v>
      </c>
      <c r="J55" s="25" t="str">
        <f>VLOOKUP(I55,'records (3)'!$A:$C,2,FALSE)</f>
        <v>003IV000010rvHLYAY</v>
      </c>
      <c r="K55" s="25" t="s">
        <v>3955</v>
      </c>
      <c r="L55" s="25" t="s">
        <v>3956</v>
      </c>
      <c r="M55" s="25" t="s">
        <v>3954</v>
      </c>
      <c r="N55" s="25" t="str">
        <f>VLOOKUP($M55,'records (3)'!$A:$C,2,FALSE)</f>
        <v>003IV000010rvHLYAY</v>
      </c>
      <c r="O55" s="25" t="s">
        <v>3955</v>
      </c>
      <c r="P55" s="25" t="s">
        <v>3956</v>
      </c>
      <c r="Q55" s="25" t="s">
        <v>3751</v>
      </c>
      <c r="R55" s="25" t="s">
        <v>1907</v>
      </c>
      <c r="S55" s="25" t="s">
        <v>3744</v>
      </c>
      <c r="T55" s="25" t="s">
        <v>1901</v>
      </c>
      <c r="V55" s="25" t="s">
        <v>1233</v>
      </c>
      <c r="X55" s="25" t="s">
        <v>1233</v>
      </c>
      <c r="Z55" s="25" t="s">
        <v>1907</v>
      </c>
    </row>
    <row r="56" spans="1:26">
      <c r="A56" s="25" t="s">
        <v>3123</v>
      </c>
      <c r="B56" s="25" t="s">
        <v>765</v>
      </c>
      <c r="C56" s="25" t="s">
        <v>3120</v>
      </c>
      <c r="E56" s="25" t="s">
        <v>3121</v>
      </c>
      <c r="G56" s="25" t="s">
        <v>3122</v>
      </c>
      <c r="H56" s="25">
        <v>30</v>
      </c>
      <c r="I56" s="25" t="s">
        <v>3957</v>
      </c>
      <c r="J56" s="25" t="str">
        <f>VLOOKUP(I56,'records (3)'!$A:$C,2,FALSE)</f>
        <v>003IV000018MJ4DYAW</v>
      </c>
      <c r="K56" s="25" t="s">
        <v>3958</v>
      </c>
      <c r="L56" s="25" t="s">
        <v>3959</v>
      </c>
      <c r="M56" s="25" t="s">
        <v>3960</v>
      </c>
      <c r="N56" s="25" t="str">
        <f>VLOOKUP($M56,'records (3)'!$A:$C,2,FALSE)</f>
        <v>003IV000010s6R1YAI</v>
      </c>
      <c r="O56" s="25" t="s">
        <v>3961</v>
      </c>
      <c r="P56" s="25" t="s">
        <v>3126</v>
      </c>
      <c r="Q56" s="25" t="s">
        <v>3751</v>
      </c>
      <c r="R56" s="25" t="s">
        <v>3126</v>
      </c>
      <c r="S56" s="25" t="s">
        <v>3744</v>
      </c>
      <c r="T56" s="25" t="s">
        <v>3119</v>
      </c>
      <c r="V56" s="25" t="s">
        <v>1233</v>
      </c>
      <c r="X56" s="25" t="s">
        <v>1233</v>
      </c>
      <c r="Z56" s="25" t="s">
        <v>3126</v>
      </c>
    </row>
    <row r="57" spans="1:26">
      <c r="A57" s="25" t="s">
        <v>2075</v>
      </c>
      <c r="B57" s="25" t="s">
        <v>492</v>
      </c>
      <c r="C57" s="25" t="s">
        <v>2072</v>
      </c>
      <c r="D57" s="25" t="s">
        <v>1337</v>
      </c>
      <c r="E57" s="25" t="s">
        <v>2073</v>
      </c>
      <c r="G57" s="25" t="s">
        <v>2074</v>
      </c>
      <c r="H57" s="25">
        <v>30</v>
      </c>
      <c r="I57" s="25" t="s">
        <v>3962</v>
      </c>
      <c r="J57" s="25" t="str">
        <f>VLOOKUP(I57,'records (3)'!$A:$C,2,FALSE)</f>
        <v>003IV000010tWSLYA2</v>
      </c>
      <c r="K57" s="25" t="s">
        <v>3963</v>
      </c>
      <c r="L57" s="25" t="s">
        <v>3964</v>
      </c>
      <c r="M57" s="25" t="s">
        <v>3965</v>
      </c>
      <c r="N57" s="25" t="str">
        <f>VLOOKUP($M57,'records (3)'!$A:$C,2,FALSE)</f>
        <v>003IV000010tWSKYA2</v>
      </c>
      <c r="O57" s="25" t="s">
        <v>3966</v>
      </c>
      <c r="P57" s="25" t="s">
        <v>2077</v>
      </c>
      <c r="Q57" s="25" t="s">
        <v>3751</v>
      </c>
      <c r="R57" s="25" t="s">
        <v>2077</v>
      </c>
      <c r="S57" s="25" t="s">
        <v>3744</v>
      </c>
      <c r="T57" s="25" t="s">
        <v>2071</v>
      </c>
      <c r="V57" s="25" t="s">
        <v>1233</v>
      </c>
      <c r="X57" s="25" t="s">
        <v>1233</v>
      </c>
      <c r="Z57" s="25" t="s">
        <v>2077</v>
      </c>
    </row>
    <row r="58" spans="1:26">
      <c r="A58" s="25" t="s">
        <v>3250</v>
      </c>
      <c r="B58" s="25" t="s">
        <v>338</v>
      </c>
      <c r="C58" s="25" t="s">
        <v>3246</v>
      </c>
      <c r="D58" s="25" t="s">
        <v>1337</v>
      </c>
      <c r="E58" s="25" t="s">
        <v>3248</v>
      </c>
      <c r="G58" s="25" t="s">
        <v>3249</v>
      </c>
      <c r="H58" s="25">
        <v>30</v>
      </c>
      <c r="I58" s="25" t="s">
        <v>3967</v>
      </c>
      <c r="J58" s="25" t="str">
        <f>VLOOKUP(I58,'records (3)'!$A:$C,2,FALSE)</f>
        <v>003IV000010s6QvYAI</v>
      </c>
      <c r="K58" s="25" t="s">
        <v>3968</v>
      </c>
      <c r="L58" s="25" t="s">
        <v>3969</v>
      </c>
      <c r="M58" s="25" t="s">
        <v>3967</v>
      </c>
      <c r="N58" s="25" t="str">
        <f>VLOOKUP($M58,'records (3)'!$A:$C,2,FALSE)</f>
        <v>003IV000010s6QvYAI</v>
      </c>
      <c r="O58" s="25" t="s">
        <v>3968</v>
      </c>
      <c r="P58" s="25" t="s">
        <v>3969</v>
      </c>
      <c r="Q58" s="25" t="s">
        <v>3751</v>
      </c>
      <c r="R58" s="25" t="s">
        <v>3252</v>
      </c>
      <c r="S58" s="25" t="s">
        <v>3744</v>
      </c>
      <c r="T58" s="25" t="s">
        <v>3245</v>
      </c>
      <c r="U58" s="25" t="s">
        <v>3247</v>
      </c>
      <c r="V58" s="25" t="s">
        <v>1233</v>
      </c>
      <c r="X58" s="25" t="s">
        <v>1233</v>
      </c>
      <c r="Z58" s="25" t="s">
        <v>3252</v>
      </c>
    </row>
    <row r="59" spans="1:26">
      <c r="A59" s="25" t="s">
        <v>3156</v>
      </c>
      <c r="B59" s="25" t="s">
        <v>316</v>
      </c>
      <c r="C59" s="25" t="s">
        <v>3153</v>
      </c>
      <c r="D59" s="25" t="s">
        <v>1337</v>
      </c>
      <c r="E59" s="25" t="s">
        <v>3154</v>
      </c>
      <c r="G59" s="25" t="s">
        <v>3155</v>
      </c>
      <c r="H59" s="25">
        <v>30</v>
      </c>
      <c r="I59" s="25" t="s">
        <v>3970</v>
      </c>
      <c r="J59" s="25" t="str">
        <f>VLOOKUP(I59,'records (3)'!$A:$C,2,FALSE)</f>
        <v>003IV000010tRVSYA2</v>
      </c>
      <c r="K59" s="25" t="s">
        <v>3971</v>
      </c>
      <c r="L59" s="25" t="s">
        <v>3972</v>
      </c>
      <c r="M59" s="25" t="s">
        <v>3970</v>
      </c>
      <c r="N59" s="25" t="str">
        <f>VLOOKUP($M59,'records (3)'!$A:$C,2,FALSE)</f>
        <v>003IV000010tRVSYA2</v>
      </c>
      <c r="O59" s="25" t="s">
        <v>3971</v>
      </c>
      <c r="P59" s="25" t="s">
        <v>3972</v>
      </c>
      <c r="Q59" s="25" t="s">
        <v>3751</v>
      </c>
      <c r="R59" s="25" t="s">
        <v>3158</v>
      </c>
      <c r="S59" s="25" t="s">
        <v>3744</v>
      </c>
      <c r="T59" s="25" t="s">
        <v>3152</v>
      </c>
      <c r="V59" s="25" t="s">
        <v>1233</v>
      </c>
      <c r="X59" s="25" t="s">
        <v>1233</v>
      </c>
      <c r="Z59" s="25" t="s">
        <v>3158</v>
      </c>
    </row>
    <row r="60" spans="1:26">
      <c r="A60" s="25" t="s">
        <v>2869</v>
      </c>
      <c r="B60" s="25" t="s">
        <v>3973</v>
      </c>
      <c r="C60" s="25" t="s">
        <v>2866</v>
      </c>
      <c r="D60" s="25" t="s">
        <v>1337</v>
      </c>
      <c r="E60" s="25" t="s">
        <v>2867</v>
      </c>
      <c r="G60" s="25" t="s">
        <v>2868</v>
      </c>
      <c r="H60" s="25">
        <v>30</v>
      </c>
      <c r="I60" s="25" t="s">
        <v>3974</v>
      </c>
      <c r="J60" s="25" t="str">
        <f>VLOOKUP(I60,'records (3)'!$A:$C,2,FALSE)</f>
        <v>003IV000010t301YAA</v>
      </c>
      <c r="K60" s="25" t="s">
        <v>3975</v>
      </c>
      <c r="L60" s="25" t="s">
        <v>3976</v>
      </c>
      <c r="M60" s="25" t="s">
        <v>3974</v>
      </c>
      <c r="N60" s="25" t="str">
        <f>VLOOKUP($M60,'records (3)'!$A:$C,2,FALSE)</f>
        <v>003IV000010t301YAA</v>
      </c>
      <c r="O60" s="25" t="s">
        <v>3975</v>
      </c>
      <c r="P60" s="25" t="s">
        <v>3976</v>
      </c>
      <c r="Q60" s="25" t="s">
        <v>3751</v>
      </c>
      <c r="R60" s="25" t="s">
        <v>3977</v>
      </c>
      <c r="S60" s="25" t="s">
        <v>3744</v>
      </c>
      <c r="T60" s="25" t="s">
        <v>3978</v>
      </c>
      <c r="V60" s="25" t="s">
        <v>1233</v>
      </c>
      <c r="X60" s="25" t="s">
        <v>1233</v>
      </c>
      <c r="Z60" s="25" t="s">
        <v>3977</v>
      </c>
    </row>
    <row r="61" spans="1:26">
      <c r="A61" s="25" t="s">
        <v>2141</v>
      </c>
      <c r="B61" s="25" t="s">
        <v>31</v>
      </c>
      <c r="C61" s="25" t="s">
        <v>2138</v>
      </c>
      <c r="D61" s="25" t="s">
        <v>1337</v>
      </c>
      <c r="E61" s="25" t="s">
        <v>2139</v>
      </c>
      <c r="G61" s="25" t="s">
        <v>2140</v>
      </c>
      <c r="H61" s="25">
        <v>45</v>
      </c>
      <c r="I61" s="25" t="s">
        <v>3979</v>
      </c>
      <c r="J61" s="25" t="str">
        <f>VLOOKUP(I61,'records (3)'!$A:$C,2,FALSE)</f>
        <v>003IV000010sxGJYAY</v>
      </c>
      <c r="K61" s="25" t="s">
        <v>3980</v>
      </c>
      <c r="L61" s="25" t="s">
        <v>3981</v>
      </c>
      <c r="M61" s="25" t="s">
        <v>3982</v>
      </c>
      <c r="N61" s="25" t="str">
        <f>VLOOKUP($M61,'records (3)'!$A:$C,2,FALSE)</f>
        <v>003IV000010sxGpYAI</v>
      </c>
      <c r="O61" s="25" t="s">
        <v>3983</v>
      </c>
      <c r="P61" s="25" t="s">
        <v>2143</v>
      </c>
      <c r="Q61" s="25" t="s">
        <v>3751</v>
      </c>
      <c r="R61" s="25" t="s">
        <v>2143</v>
      </c>
      <c r="S61" s="25" t="s">
        <v>3744</v>
      </c>
      <c r="T61" s="25" t="s">
        <v>2137</v>
      </c>
      <c r="V61" s="25" t="s">
        <v>1233</v>
      </c>
      <c r="X61" s="25" t="s">
        <v>1233</v>
      </c>
      <c r="Z61" s="25" t="s">
        <v>2143</v>
      </c>
    </row>
    <row r="62" spans="1:26">
      <c r="A62" s="25" t="s">
        <v>2879</v>
      </c>
      <c r="B62" s="25" t="s">
        <v>847</v>
      </c>
      <c r="C62" s="25" t="s">
        <v>2875</v>
      </c>
      <c r="D62" s="25" t="s">
        <v>1337</v>
      </c>
      <c r="E62" s="25" t="s">
        <v>2877</v>
      </c>
      <c r="G62" s="25" t="s">
        <v>2878</v>
      </c>
      <c r="H62" s="25">
        <v>30</v>
      </c>
      <c r="I62" s="25" t="s">
        <v>3984</v>
      </c>
      <c r="J62" s="25" t="str">
        <f>VLOOKUP(I62,'records (3)'!$A:$C,2,FALSE)</f>
        <v>003IV000010tQHbYAM</v>
      </c>
      <c r="K62" s="25" t="s">
        <v>3985</v>
      </c>
      <c r="L62" s="25" t="s">
        <v>3986</v>
      </c>
      <c r="M62" s="25" t="s">
        <v>3984</v>
      </c>
      <c r="N62" s="25" t="str">
        <f>VLOOKUP($M62,'records (3)'!$A:$C,2,FALSE)</f>
        <v>003IV000010tQHbYAM</v>
      </c>
      <c r="O62" s="25" t="s">
        <v>3985</v>
      </c>
      <c r="P62" s="25" t="s">
        <v>3986</v>
      </c>
      <c r="Q62" s="25" t="s">
        <v>3751</v>
      </c>
      <c r="R62" s="25" t="s">
        <v>2881</v>
      </c>
      <c r="S62" s="25" t="s">
        <v>3744</v>
      </c>
      <c r="T62" s="25" t="s">
        <v>2874</v>
      </c>
      <c r="U62" s="25" t="s">
        <v>3987</v>
      </c>
      <c r="V62" s="25" t="s">
        <v>1233</v>
      </c>
      <c r="X62" s="25" t="s">
        <v>1233</v>
      </c>
      <c r="Z62" s="25" t="s">
        <v>2881</v>
      </c>
    </row>
    <row r="63" spans="1:26">
      <c r="A63" s="25" t="s">
        <v>3218</v>
      </c>
      <c r="B63" s="25" t="s">
        <v>357</v>
      </c>
      <c r="C63" s="25" t="s">
        <v>3215</v>
      </c>
      <c r="D63" s="25" t="s">
        <v>1337</v>
      </c>
      <c r="E63" s="25" t="s">
        <v>3216</v>
      </c>
      <c r="G63" s="25" t="s">
        <v>3217</v>
      </c>
      <c r="H63" s="25">
        <v>30</v>
      </c>
      <c r="I63" s="25" t="s">
        <v>3988</v>
      </c>
      <c r="J63" s="25" t="str">
        <f>VLOOKUP(I63,'records (3)'!$A:$C,2,FALSE)</f>
        <v>003IV000010t2g3YAA</v>
      </c>
      <c r="K63" s="25" t="s">
        <v>3989</v>
      </c>
      <c r="L63" s="25" t="s">
        <v>3990</v>
      </c>
      <c r="M63" s="25" t="s">
        <v>3991</v>
      </c>
      <c r="N63" s="25" t="str">
        <f>VLOOKUP($M63,'records (3)'!$A:$C,2,FALSE)</f>
        <v>003IV000010t2g2YAA</v>
      </c>
      <c r="O63" s="25" t="s">
        <v>3992</v>
      </c>
      <c r="P63" s="25" t="s">
        <v>3220</v>
      </c>
      <c r="Q63" s="25" t="s">
        <v>3751</v>
      </c>
      <c r="R63" s="25" t="s">
        <v>3220</v>
      </c>
      <c r="S63" s="25" t="s">
        <v>3744</v>
      </c>
      <c r="T63" s="25" t="s">
        <v>3214</v>
      </c>
      <c r="V63" s="25" t="s">
        <v>1233</v>
      </c>
      <c r="X63" s="25" t="s">
        <v>1233</v>
      </c>
      <c r="Z63" s="25" t="s">
        <v>3220</v>
      </c>
    </row>
    <row r="64" spans="1:26">
      <c r="A64" s="25" t="s">
        <v>2453</v>
      </c>
      <c r="B64" s="25" t="s">
        <v>320</v>
      </c>
      <c r="C64" s="25" t="s">
        <v>2450</v>
      </c>
      <c r="D64" s="25" t="s">
        <v>1337</v>
      </c>
      <c r="E64" s="25" t="s">
        <v>3993</v>
      </c>
      <c r="G64" s="25" t="s">
        <v>2452</v>
      </c>
      <c r="H64" s="25">
        <v>30</v>
      </c>
      <c r="I64" s="25" t="s">
        <v>3994</v>
      </c>
      <c r="J64" s="25" t="str">
        <f>VLOOKUP(I64,'records (3)'!$A:$C,2,FALSE)</f>
        <v>003IV000010t2QSYAY</v>
      </c>
      <c r="K64" s="25" t="s">
        <v>3995</v>
      </c>
      <c r="L64" s="25" t="s">
        <v>3996</v>
      </c>
      <c r="M64" s="25" t="s">
        <v>3997</v>
      </c>
      <c r="N64" s="25" t="str">
        <f>VLOOKUP($M64,'records (3)'!$A:$C,2,FALSE)</f>
        <v>003IV000010tRU3YAM</v>
      </c>
      <c r="O64" s="25" t="s">
        <v>3998</v>
      </c>
      <c r="P64" s="25" t="s">
        <v>3999</v>
      </c>
      <c r="Q64" s="25" t="s">
        <v>3751</v>
      </c>
      <c r="R64" s="25" t="s">
        <v>2455</v>
      </c>
      <c r="S64" s="25" t="s">
        <v>3744</v>
      </c>
      <c r="T64" s="25" t="s">
        <v>2449</v>
      </c>
      <c r="V64" s="25" t="s">
        <v>1233</v>
      </c>
      <c r="X64" s="25" t="s">
        <v>1233</v>
      </c>
      <c r="Z64" s="25" t="s">
        <v>2455</v>
      </c>
    </row>
    <row r="65" spans="1:26">
      <c r="A65" s="25" t="s">
        <v>1340</v>
      </c>
      <c r="B65" s="25" t="s">
        <v>925</v>
      </c>
      <c r="C65" s="25" t="s">
        <v>1336</v>
      </c>
      <c r="D65" s="25" t="s">
        <v>1337</v>
      </c>
      <c r="E65" s="25" t="s">
        <v>1338</v>
      </c>
      <c r="G65" s="25" t="s">
        <v>1339</v>
      </c>
      <c r="H65" s="25">
        <v>30</v>
      </c>
      <c r="I65" s="25" t="s">
        <v>4000</v>
      </c>
      <c r="J65" s="25" t="str">
        <f>VLOOKUP(I65,'records (3)'!$A:$C,2,FALSE)</f>
        <v>003IV000010tRVxYAM</v>
      </c>
      <c r="K65" s="25" t="s">
        <v>4001</v>
      </c>
      <c r="L65" s="25" t="s">
        <v>4002</v>
      </c>
      <c r="M65" s="25" t="s">
        <v>4000</v>
      </c>
      <c r="N65" s="25" t="str">
        <f>VLOOKUP($M65,'records (3)'!$A:$C,2,FALSE)</f>
        <v>003IV000010tRVxYAM</v>
      </c>
      <c r="O65" s="25" t="s">
        <v>4001</v>
      </c>
      <c r="P65" s="25" t="s">
        <v>4002</v>
      </c>
      <c r="Q65" s="25" t="s">
        <v>3751</v>
      </c>
      <c r="R65" s="25" t="s">
        <v>1342</v>
      </c>
      <c r="S65" s="25" t="s">
        <v>3744</v>
      </c>
      <c r="T65" s="25" t="s">
        <v>1335</v>
      </c>
      <c r="V65" s="25" t="s">
        <v>1233</v>
      </c>
      <c r="X65" s="25" t="s">
        <v>1233</v>
      </c>
      <c r="Z65" s="25" t="s">
        <v>1342</v>
      </c>
    </row>
    <row r="66" spans="1:26">
      <c r="A66" s="25" t="s">
        <v>3364</v>
      </c>
      <c r="B66" s="25" t="s">
        <v>466</v>
      </c>
      <c r="C66" s="25" t="s">
        <v>3361</v>
      </c>
      <c r="E66" s="25" t="s">
        <v>3362</v>
      </c>
      <c r="G66" s="25" t="s">
        <v>3363</v>
      </c>
      <c r="H66" s="25">
        <v>30</v>
      </c>
      <c r="I66" s="25" t="s">
        <v>4003</v>
      </c>
      <c r="J66" s="25" t="str">
        <f>VLOOKUP(I66,'records (3)'!$A:$C,2,FALSE)</f>
        <v>003IV000010su8EYAQ</v>
      </c>
      <c r="K66" s="25" t="s">
        <v>4004</v>
      </c>
      <c r="L66" s="25" t="s">
        <v>3366</v>
      </c>
      <c r="M66" s="25" t="s">
        <v>4003</v>
      </c>
      <c r="N66" s="25" t="str">
        <f>VLOOKUP($M66,'records (3)'!$A:$C,2,FALSE)</f>
        <v>003IV000010su8EYAQ</v>
      </c>
      <c r="O66" s="25" t="s">
        <v>4004</v>
      </c>
      <c r="P66" s="25" t="s">
        <v>3366</v>
      </c>
      <c r="Q66" s="25" t="s">
        <v>3751</v>
      </c>
      <c r="R66" s="25" t="s">
        <v>3366</v>
      </c>
      <c r="S66" s="25" t="s">
        <v>3744</v>
      </c>
      <c r="T66" s="25" t="s">
        <v>3360</v>
      </c>
      <c r="V66" s="25" t="s">
        <v>1233</v>
      </c>
      <c r="X66" s="25" t="s">
        <v>1233</v>
      </c>
      <c r="Z66" s="25" t="s">
        <v>3366</v>
      </c>
    </row>
    <row r="67" spans="1:26">
      <c r="A67" s="25" t="s">
        <v>1652</v>
      </c>
      <c r="B67" s="25" t="s">
        <v>610</v>
      </c>
      <c r="C67" s="25" t="s">
        <v>1649</v>
      </c>
      <c r="D67" s="25" t="s">
        <v>1337</v>
      </c>
      <c r="E67" s="25" t="s">
        <v>1650</v>
      </c>
      <c r="G67" s="25" t="s">
        <v>1651</v>
      </c>
      <c r="H67" s="25">
        <v>30</v>
      </c>
      <c r="I67" s="25" t="s">
        <v>4005</v>
      </c>
      <c r="J67" s="25" t="str">
        <f>VLOOKUP(I67,'records (3)'!$A:$C,2,FALSE)</f>
        <v>003IV000010t2ZCYAY</v>
      </c>
      <c r="K67" s="25" t="s">
        <v>4006</v>
      </c>
      <c r="L67" s="25" t="s">
        <v>4007</v>
      </c>
      <c r="M67" s="25" t="s">
        <v>4005</v>
      </c>
      <c r="N67" s="25" t="str">
        <f>VLOOKUP($M67,'records (3)'!$A:$C,2,FALSE)</f>
        <v>003IV000010t2ZCYAY</v>
      </c>
      <c r="O67" s="25" t="s">
        <v>4006</v>
      </c>
      <c r="P67" s="25" t="s">
        <v>4007</v>
      </c>
      <c r="Q67" s="25" t="s">
        <v>3751</v>
      </c>
      <c r="R67" s="25" t="s">
        <v>1654</v>
      </c>
      <c r="S67" s="25" t="s">
        <v>3744</v>
      </c>
      <c r="T67" s="25" t="s">
        <v>1648</v>
      </c>
      <c r="V67" s="25" t="s">
        <v>1233</v>
      </c>
      <c r="X67" s="25" t="s">
        <v>1233</v>
      </c>
      <c r="Z67" s="25" t="s">
        <v>1654</v>
      </c>
    </row>
    <row r="68" spans="1:26">
      <c r="A68" s="25" t="s">
        <v>1264</v>
      </c>
      <c r="B68" s="25" t="s">
        <v>91</v>
      </c>
      <c r="C68" s="25" t="s">
        <v>2829</v>
      </c>
      <c r="D68" s="25" t="s">
        <v>1337</v>
      </c>
      <c r="E68" s="25" t="s">
        <v>4008</v>
      </c>
      <c r="G68" s="25" t="s">
        <v>2830</v>
      </c>
      <c r="H68" s="25">
        <v>60</v>
      </c>
      <c r="I68" s="25" t="s">
        <v>4009</v>
      </c>
      <c r="J68" s="25" t="str">
        <f>VLOOKUP(I68,'records (3)'!$A:$C,2,FALSE)</f>
        <v>003IV000010tI5EYAU</v>
      </c>
      <c r="K68" s="25" t="s">
        <v>4010</v>
      </c>
      <c r="L68" s="25" t="s">
        <v>4011</v>
      </c>
      <c r="M68" s="25" t="s">
        <v>4009</v>
      </c>
      <c r="N68" s="25" t="str">
        <f>VLOOKUP($M68,'records (3)'!$A:$C,2,FALSE)</f>
        <v>003IV000010tI5EYAU</v>
      </c>
      <c r="O68" s="25" t="s">
        <v>4010</v>
      </c>
      <c r="P68" s="25" t="s">
        <v>4011</v>
      </c>
      <c r="Q68" s="25" t="s">
        <v>3751</v>
      </c>
      <c r="R68" s="25" t="s">
        <v>2832</v>
      </c>
      <c r="S68" s="25" t="s">
        <v>3744</v>
      </c>
      <c r="T68" s="25" t="s">
        <v>2828</v>
      </c>
      <c r="V68" s="25" t="s">
        <v>1233</v>
      </c>
      <c r="X68" s="25" t="s">
        <v>1233</v>
      </c>
      <c r="Z68" s="25" t="s">
        <v>2832</v>
      </c>
    </row>
    <row r="69" spans="1:26">
      <c r="A69" s="25" t="s">
        <v>3324</v>
      </c>
      <c r="B69" s="25" t="s">
        <v>148</v>
      </c>
      <c r="C69" s="25" t="s">
        <v>3321</v>
      </c>
      <c r="D69" s="25" t="s">
        <v>1337</v>
      </c>
      <c r="E69" s="25" t="s">
        <v>4012</v>
      </c>
      <c r="G69" s="25" t="s">
        <v>3323</v>
      </c>
      <c r="H69" s="25">
        <v>30</v>
      </c>
      <c r="I69" s="25" t="s">
        <v>4013</v>
      </c>
      <c r="J69" s="25" t="str">
        <f>VLOOKUP(I69,'records (3)'!$A:$C,2,FALSE)</f>
        <v>003IV000010tQIRYA2</v>
      </c>
      <c r="K69" s="25" t="s">
        <v>4014</v>
      </c>
      <c r="L69" s="25" t="s">
        <v>4015</v>
      </c>
      <c r="M69" s="25" t="s">
        <v>4013</v>
      </c>
      <c r="N69" s="25" t="str">
        <f>VLOOKUP($M69,'records (3)'!$A:$C,2,FALSE)</f>
        <v>003IV000010tQIRYA2</v>
      </c>
      <c r="O69" s="25" t="s">
        <v>4014</v>
      </c>
      <c r="P69" s="25" t="s">
        <v>4015</v>
      </c>
      <c r="Q69" s="25" t="s">
        <v>3751</v>
      </c>
      <c r="R69" s="25" t="s">
        <v>3326</v>
      </c>
      <c r="S69" s="25" t="s">
        <v>3744</v>
      </c>
      <c r="T69" s="25" t="s">
        <v>3320</v>
      </c>
      <c r="V69" s="25" t="s">
        <v>1233</v>
      </c>
      <c r="X69" s="25" t="s">
        <v>1233</v>
      </c>
      <c r="Z69" s="25" t="s">
        <v>3326</v>
      </c>
    </row>
    <row r="70" spans="1:26">
      <c r="A70" s="25" t="s">
        <v>1539</v>
      </c>
      <c r="B70" s="25" t="s">
        <v>4016</v>
      </c>
      <c r="C70" s="25" t="s">
        <v>1536</v>
      </c>
      <c r="D70" s="25" t="s">
        <v>1337</v>
      </c>
      <c r="E70" s="25" t="s">
        <v>1537</v>
      </c>
      <c r="G70" s="25" t="s">
        <v>1538</v>
      </c>
      <c r="H70" s="25">
        <v>30</v>
      </c>
      <c r="I70" s="25" t="s">
        <v>4017</v>
      </c>
      <c r="J70" s="25" t="str">
        <f>VLOOKUP(I70,'records (3)'!$A:$C,2,FALSE)</f>
        <v>003IV000010sxFqYAI</v>
      </c>
      <c r="K70" s="25" t="s">
        <v>4018</v>
      </c>
      <c r="L70" s="25" t="s">
        <v>1541</v>
      </c>
      <c r="M70" s="25" t="s">
        <v>4017</v>
      </c>
      <c r="N70" s="25" t="str">
        <f>VLOOKUP($M70,'records (3)'!$A:$C,2,FALSE)</f>
        <v>003IV000010sxFqYAI</v>
      </c>
      <c r="O70" s="25" t="s">
        <v>4018</v>
      </c>
      <c r="P70" s="25" t="s">
        <v>1541</v>
      </c>
      <c r="Q70" s="25" t="s">
        <v>3751</v>
      </c>
      <c r="R70" s="25" t="s">
        <v>1541</v>
      </c>
      <c r="S70" s="25" t="s">
        <v>3744</v>
      </c>
      <c r="T70" s="25" t="s">
        <v>1535</v>
      </c>
      <c r="V70" s="25" t="s">
        <v>1233</v>
      </c>
      <c r="X70" s="25" t="s">
        <v>1233</v>
      </c>
      <c r="Z70" s="25" t="s">
        <v>1541</v>
      </c>
    </row>
    <row r="71" spans="1:26">
      <c r="A71" s="25" t="s">
        <v>1826</v>
      </c>
      <c r="B71" s="25" t="s">
        <v>986</v>
      </c>
      <c r="C71" s="25" t="s">
        <v>1824</v>
      </c>
      <c r="D71" s="25" t="s">
        <v>1337</v>
      </c>
      <c r="E71" s="25" t="s">
        <v>1488</v>
      </c>
      <c r="G71" s="25" t="s">
        <v>1825</v>
      </c>
      <c r="H71" s="25">
        <v>30</v>
      </c>
      <c r="I71" s="25" t="s">
        <v>4019</v>
      </c>
      <c r="J71" s="25" t="str">
        <f>VLOOKUP(I71,'records (3)'!$A:$C,2,FALSE)</f>
        <v>003IV000010t2foYAA</v>
      </c>
      <c r="K71" s="25" t="s">
        <v>4020</v>
      </c>
      <c r="L71" s="25" t="s">
        <v>4021</v>
      </c>
      <c r="M71" s="25" t="s">
        <v>4019</v>
      </c>
      <c r="N71" s="25" t="str">
        <f>VLOOKUP($M71,'records (3)'!$A:$C,2,FALSE)</f>
        <v>003IV000010t2foYAA</v>
      </c>
      <c r="O71" s="25" t="s">
        <v>4020</v>
      </c>
      <c r="P71" s="25" t="s">
        <v>4021</v>
      </c>
      <c r="Q71" s="25" t="s">
        <v>3751</v>
      </c>
      <c r="R71" s="25" t="s">
        <v>1828</v>
      </c>
      <c r="S71" s="25" t="s">
        <v>3744</v>
      </c>
      <c r="T71" s="25" t="s">
        <v>1823</v>
      </c>
      <c r="V71" s="25" t="s">
        <v>1233</v>
      </c>
      <c r="X71" s="25" t="s">
        <v>1233</v>
      </c>
      <c r="Z71" s="25" t="s">
        <v>1828</v>
      </c>
    </row>
    <row r="72" spans="1:26">
      <c r="A72" s="25" t="s">
        <v>1866</v>
      </c>
      <c r="B72" s="25" t="s">
        <v>840</v>
      </c>
      <c r="C72" s="25" t="s">
        <v>1863</v>
      </c>
      <c r="D72" s="25" t="s">
        <v>1337</v>
      </c>
      <c r="E72" s="25" t="s">
        <v>1864</v>
      </c>
      <c r="G72" s="25" t="s">
        <v>1865</v>
      </c>
      <c r="H72" s="25">
        <v>30</v>
      </c>
      <c r="I72" s="25" t="s">
        <v>4022</v>
      </c>
      <c r="J72" s="25" t="str">
        <f>VLOOKUP(I72,'records (3)'!$A:$C,2,FALSE)</f>
        <v>003IV000010tWSNYA2</v>
      </c>
      <c r="K72" s="25" t="s">
        <v>4023</v>
      </c>
      <c r="L72" s="25" t="s">
        <v>4024</v>
      </c>
      <c r="M72" s="25" t="s">
        <v>4022</v>
      </c>
      <c r="N72" s="25" t="str">
        <f>VLOOKUP($M72,'records (3)'!$A:$C,2,FALSE)</f>
        <v>003IV000010tWSNYA2</v>
      </c>
      <c r="O72" s="25" t="s">
        <v>4023</v>
      </c>
      <c r="P72" s="25" t="s">
        <v>4024</v>
      </c>
      <c r="Q72" s="25" t="s">
        <v>3751</v>
      </c>
      <c r="R72" s="25" t="s">
        <v>1868</v>
      </c>
      <c r="S72" s="25" t="s">
        <v>3744</v>
      </c>
      <c r="T72" s="25" t="s">
        <v>1862</v>
      </c>
      <c r="V72" s="25" t="s">
        <v>1233</v>
      </c>
      <c r="X72" s="25" t="s">
        <v>1233</v>
      </c>
      <c r="Z72" s="25" t="s">
        <v>1868</v>
      </c>
    </row>
    <row r="73" spans="1:26">
      <c r="A73" s="25" t="s">
        <v>2299</v>
      </c>
      <c r="B73" s="25" t="s">
        <v>957</v>
      </c>
      <c r="C73" s="25" t="s">
        <v>2296</v>
      </c>
      <c r="D73" s="25" t="s">
        <v>1337</v>
      </c>
      <c r="E73" s="25" t="s">
        <v>2297</v>
      </c>
      <c r="G73" s="25" t="s">
        <v>2298</v>
      </c>
      <c r="H73" s="25">
        <v>30</v>
      </c>
      <c r="I73" s="25" t="s">
        <v>4025</v>
      </c>
      <c r="J73" s="25" t="str">
        <f>VLOOKUP(I73,'records (3)'!$A:$C,2,FALSE)</f>
        <v>003IV000010t2ZhYAI</v>
      </c>
      <c r="K73" s="25" t="s">
        <v>4026</v>
      </c>
      <c r="L73" s="25" t="s">
        <v>2301</v>
      </c>
      <c r="M73" s="25" t="s">
        <v>4025</v>
      </c>
      <c r="N73" s="25" t="str">
        <f>VLOOKUP($M73,'records (3)'!$A:$C,2,FALSE)</f>
        <v>003IV000010t2ZhYAI</v>
      </c>
      <c r="O73" s="25" t="s">
        <v>4026</v>
      </c>
      <c r="P73" s="25" t="s">
        <v>2301</v>
      </c>
      <c r="Q73" s="25" t="s">
        <v>3751</v>
      </c>
      <c r="R73" s="25" t="s">
        <v>2301</v>
      </c>
      <c r="S73" s="25" t="s">
        <v>3744</v>
      </c>
      <c r="T73" s="25" t="s">
        <v>2295</v>
      </c>
      <c r="V73" s="25" t="s">
        <v>1233</v>
      </c>
      <c r="X73" s="25" t="s">
        <v>1233</v>
      </c>
      <c r="Z73" s="25" t="s">
        <v>2301</v>
      </c>
    </row>
    <row r="74" spans="1:26">
      <c r="A74" s="25" t="s">
        <v>2928</v>
      </c>
      <c r="B74" s="25" t="s">
        <v>155</v>
      </c>
      <c r="C74" s="25" t="s">
        <v>2925</v>
      </c>
      <c r="D74" s="25" t="s">
        <v>1337</v>
      </c>
      <c r="E74" s="25" t="s">
        <v>2926</v>
      </c>
      <c r="G74" s="25" t="s">
        <v>2927</v>
      </c>
      <c r="H74" s="25">
        <v>30</v>
      </c>
      <c r="I74" s="25" t="s">
        <v>4027</v>
      </c>
      <c r="J74" s="25" t="str">
        <f>VLOOKUP(I74,'records (3)'!$A:$C,2,FALSE)</f>
        <v>003IV000010tRW4YAM</v>
      </c>
      <c r="K74" s="25" t="s">
        <v>4028</v>
      </c>
      <c r="L74" s="25" t="s">
        <v>2930</v>
      </c>
      <c r="M74" s="25" t="s">
        <v>4027</v>
      </c>
      <c r="N74" s="25" t="str">
        <f>VLOOKUP($M74,'records (3)'!$A:$C,2,FALSE)</f>
        <v>003IV000010tRW4YAM</v>
      </c>
      <c r="O74" s="25" t="s">
        <v>4028</v>
      </c>
      <c r="P74" s="25" t="s">
        <v>2930</v>
      </c>
      <c r="Q74" s="25" t="s">
        <v>3751</v>
      </c>
      <c r="R74" s="25" t="s">
        <v>2930</v>
      </c>
      <c r="S74" s="25" t="s">
        <v>3744</v>
      </c>
      <c r="T74" s="25" t="s">
        <v>2924</v>
      </c>
      <c r="V74" s="25" t="s">
        <v>1233</v>
      </c>
      <c r="X74" s="25" t="s">
        <v>1233</v>
      </c>
      <c r="Z74" s="25" t="s">
        <v>2930</v>
      </c>
    </row>
    <row r="75" spans="1:26">
      <c r="A75" s="25" t="s">
        <v>1628</v>
      </c>
      <c r="B75" s="25" t="s">
        <v>458</v>
      </c>
      <c r="C75" s="25" t="s">
        <v>1625</v>
      </c>
      <c r="D75" s="25" t="s">
        <v>1337</v>
      </c>
      <c r="E75" s="25" t="s">
        <v>4029</v>
      </c>
      <c r="G75" s="25" t="s">
        <v>1627</v>
      </c>
      <c r="H75" s="25">
        <v>30</v>
      </c>
      <c r="I75" s="25" t="s">
        <v>4030</v>
      </c>
      <c r="J75" s="25" t="str">
        <f>VLOOKUP(I75,'records (3)'!$A:$C,2,FALSE)</f>
        <v>003IV000010t2gOYAQ</v>
      </c>
      <c r="K75" s="25" t="s">
        <v>4031</v>
      </c>
      <c r="L75" s="25" t="s">
        <v>4032</v>
      </c>
      <c r="M75" s="25" t="s">
        <v>4033</v>
      </c>
      <c r="N75" s="25" t="str">
        <f>VLOOKUP($M75,'records (3)'!$A:$C,2,FALSE)</f>
        <v>003IV000010rvHQYAY</v>
      </c>
      <c r="O75" s="25" t="s">
        <v>4034</v>
      </c>
      <c r="P75" s="25" t="s">
        <v>1630</v>
      </c>
      <c r="Q75" s="25" t="s">
        <v>3751</v>
      </c>
      <c r="R75" s="25" t="s">
        <v>1630</v>
      </c>
      <c r="S75" s="25" t="s">
        <v>3744</v>
      </c>
      <c r="T75" s="25" t="s">
        <v>1624</v>
      </c>
      <c r="V75" s="25" t="s">
        <v>1233</v>
      </c>
      <c r="X75" s="25" t="s">
        <v>1233</v>
      </c>
      <c r="Z75" s="25" t="s">
        <v>1630</v>
      </c>
    </row>
    <row r="76" spans="1:26">
      <c r="A76" s="25" t="s">
        <v>1265</v>
      </c>
      <c r="B76" s="25" t="s">
        <v>43</v>
      </c>
      <c r="C76" s="25" t="s">
        <v>2304</v>
      </c>
      <c r="D76" s="25" t="s">
        <v>1337</v>
      </c>
      <c r="E76" s="25" t="s">
        <v>2305</v>
      </c>
      <c r="G76" s="25" t="s">
        <v>2306</v>
      </c>
      <c r="H76" s="25">
        <v>30</v>
      </c>
      <c r="I76" s="25" t="s">
        <v>4035</v>
      </c>
      <c r="J76" s="25" t="str">
        <f>VLOOKUP(I76,'records (3)'!$A:$C,2,FALSE)</f>
        <v>003IV000010rvHSYAY</v>
      </c>
      <c r="K76" s="25" t="s">
        <v>4036</v>
      </c>
      <c r="L76" s="25" t="s">
        <v>4037</v>
      </c>
      <c r="M76" s="25" t="s">
        <v>4035</v>
      </c>
      <c r="N76" s="25" t="str">
        <f>VLOOKUP($M76,'records (3)'!$A:$C,2,FALSE)</f>
        <v>003IV000010rvHSYAY</v>
      </c>
      <c r="O76" s="25" t="s">
        <v>4036</v>
      </c>
      <c r="P76" s="25" t="s">
        <v>4037</v>
      </c>
      <c r="Q76" s="25" t="s">
        <v>3751</v>
      </c>
      <c r="R76" s="25" t="s">
        <v>2308</v>
      </c>
      <c r="S76" s="25" t="s">
        <v>3744</v>
      </c>
      <c r="T76" s="25" t="s">
        <v>2303</v>
      </c>
      <c r="V76" s="25" t="s">
        <v>1233</v>
      </c>
      <c r="X76" s="25" t="s">
        <v>1233</v>
      </c>
      <c r="Z76" s="25" t="s">
        <v>2308</v>
      </c>
    </row>
    <row r="77" spans="1:26">
      <c r="A77" s="25" t="s">
        <v>2197</v>
      </c>
      <c r="B77" s="25" t="s">
        <v>816</v>
      </c>
      <c r="C77" s="25" t="s">
        <v>2194</v>
      </c>
      <c r="D77" s="25" t="s">
        <v>1337</v>
      </c>
      <c r="E77" s="25" t="s">
        <v>2195</v>
      </c>
      <c r="G77" s="25" t="s">
        <v>2196</v>
      </c>
      <c r="H77" s="25">
        <v>30</v>
      </c>
      <c r="I77" s="25" t="s">
        <v>4038</v>
      </c>
      <c r="J77" s="25" t="str">
        <f>VLOOKUP(I77,'records (3)'!$A:$C,2,FALSE)</f>
        <v>003IV000010tQHuYAM</v>
      </c>
      <c r="K77" s="25" t="s">
        <v>4039</v>
      </c>
      <c r="L77" s="25" t="s">
        <v>2199</v>
      </c>
      <c r="M77" s="25" t="s">
        <v>4038</v>
      </c>
      <c r="N77" s="25" t="str">
        <f>VLOOKUP($M77,'records (3)'!$A:$C,2,FALSE)</f>
        <v>003IV000010tQHuYAM</v>
      </c>
      <c r="O77" s="25" t="s">
        <v>4039</v>
      </c>
      <c r="P77" s="25" t="s">
        <v>2199</v>
      </c>
      <c r="Q77" s="25" t="s">
        <v>3751</v>
      </c>
      <c r="R77" s="25" t="s">
        <v>2199</v>
      </c>
      <c r="S77" s="25" t="s">
        <v>3744</v>
      </c>
      <c r="T77" s="25" t="s">
        <v>2193</v>
      </c>
      <c r="V77" s="25" t="s">
        <v>1233</v>
      </c>
      <c r="X77" s="25" t="s">
        <v>1233</v>
      </c>
      <c r="Z77" s="25" t="s">
        <v>2199</v>
      </c>
    </row>
    <row r="78" spans="1:26">
      <c r="A78" s="25" t="s">
        <v>3140</v>
      </c>
      <c r="B78" s="25" t="s">
        <v>178</v>
      </c>
      <c r="C78" s="25" t="s">
        <v>3137</v>
      </c>
      <c r="D78" s="25" t="s">
        <v>1337</v>
      </c>
      <c r="E78" s="25" t="s">
        <v>3138</v>
      </c>
      <c r="G78" s="25" t="s">
        <v>4040</v>
      </c>
      <c r="H78" s="25">
        <v>30</v>
      </c>
      <c r="I78" s="25" t="s">
        <v>4041</v>
      </c>
      <c r="J78" s="25" t="str">
        <f>VLOOKUP(I78,'records (3)'!$A:$C,2,FALSE)</f>
        <v>003IV000010tRytYAE</v>
      </c>
      <c r="K78" s="25" t="s">
        <v>4042</v>
      </c>
      <c r="L78" s="25" t="s">
        <v>3142</v>
      </c>
      <c r="M78" s="25" t="s">
        <v>4041</v>
      </c>
      <c r="N78" s="25" t="str">
        <f>VLOOKUP($M78,'records (3)'!$A:$C,2,FALSE)</f>
        <v>003IV000010tRytYAE</v>
      </c>
      <c r="O78" s="25" t="s">
        <v>4042</v>
      </c>
      <c r="P78" s="25" t="s">
        <v>3142</v>
      </c>
      <c r="Q78" s="25" t="s">
        <v>3751</v>
      </c>
      <c r="R78" s="25" t="s">
        <v>3142</v>
      </c>
      <c r="S78" s="25" t="s">
        <v>3744</v>
      </c>
      <c r="T78" s="25" t="s">
        <v>3136</v>
      </c>
      <c r="V78" s="25" t="s">
        <v>1233</v>
      </c>
      <c r="X78" s="25" t="s">
        <v>1233</v>
      </c>
      <c r="Z78" s="25" t="s">
        <v>3142</v>
      </c>
    </row>
    <row r="79" spans="1:26">
      <c r="A79" s="25" t="s">
        <v>3277</v>
      </c>
      <c r="B79" s="25" t="s">
        <v>208</v>
      </c>
      <c r="C79" s="25" t="s">
        <v>3273</v>
      </c>
      <c r="D79" s="25" t="s">
        <v>1337</v>
      </c>
      <c r="E79" s="25" t="s">
        <v>3275</v>
      </c>
      <c r="G79" s="25" t="s">
        <v>3276</v>
      </c>
      <c r="H79" s="25">
        <v>30</v>
      </c>
      <c r="I79" s="25" t="s">
        <v>4043</v>
      </c>
      <c r="J79" s="25" t="str">
        <f>VLOOKUP(I79,'records (3)'!$A:$C,2,FALSE)</f>
        <v>003IV000010t2jrYAA</v>
      </c>
      <c r="K79" s="25" t="s">
        <v>4044</v>
      </c>
      <c r="L79" s="25" t="s">
        <v>4045</v>
      </c>
      <c r="M79" s="25" t="s">
        <v>4043</v>
      </c>
      <c r="N79" s="25" t="str">
        <f>VLOOKUP($M79,'records (3)'!$A:$C,2,FALSE)</f>
        <v>003IV000010t2jrYAA</v>
      </c>
      <c r="O79" s="25" t="s">
        <v>4044</v>
      </c>
      <c r="P79" s="25" t="s">
        <v>4045</v>
      </c>
      <c r="Q79" s="25" t="s">
        <v>3751</v>
      </c>
      <c r="R79" s="25" t="s">
        <v>3279</v>
      </c>
      <c r="S79" s="25" t="s">
        <v>3744</v>
      </c>
      <c r="T79" s="25" t="s">
        <v>3272</v>
      </c>
      <c r="U79" s="25" t="s">
        <v>3274</v>
      </c>
      <c r="V79" s="25" t="s">
        <v>1233</v>
      </c>
      <c r="X79" s="25" t="s">
        <v>1233</v>
      </c>
      <c r="Z79" s="25" t="s">
        <v>3279</v>
      </c>
    </row>
    <row r="80" spans="1:26">
      <c r="A80" s="25" t="s">
        <v>2282</v>
      </c>
      <c r="B80" s="25" t="s">
        <v>94</v>
      </c>
      <c r="C80" s="25" t="s">
        <v>2279</v>
      </c>
      <c r="D80" s="25" t="s">
        <v>1337</v>
      </c>
      <c r="E80" s="25" t="s">
        <v>2280</v>
      </c>
      <c r="G80" s="25" t="s">
        <v>2281</v>
      </c>
      <c r="H80" s="25">
        <v>30</v>
      </c>
      <c r="I80" s="25" t="s">
        <v>4046</v>
      </c>
      <c r="J80" s="25" t="str">
        <f>VLOOKUP(I80,'records (3)'!$A:$C,2,FALSE)</f>
        <v>003IV000010t68lYAA</v>
      </c>
      <c r="K80" s="25" t="s">
        <v>4047</v>
      </c>
      <c r="L80" s="25" t="s">
        <v>4048</v>
      </c>
      <c r="M80" s="25" t="s">
        <v>4049</v>
      </c>
      <c r="N80" s="25" t="str">
        <f>VLOOKUP($M80,'records (3)'!$A:$C,2,FALSE)</f>
        <v>003IV000010tQHyYAM</v>
      </c>
      <c r="O80" s="25" t="s">
        <v>4050</v>
      </c>
      <c r="P80" s="25" t="s">
        <v>2284</v>
      </c>
      <c r="Q80" s="25" t="s">
        <v>3751</v>
      </c>
      <c r="R80" s="25" t="s">
        <v>2284</v>
      </c>
      <c r="S80" s="25" t="s">
        <v>3744</v>
      </c>
      <c r="T80" s="25" t="s">
        <v>2278</v>
      </c>
      <c r="V80" s="25" t="s">
        <v>1233</v>
      </c>
      <c r="X80" s="25" t="s">
        <v>1233</v>
      </c>
      <c r="Z80" s="25" t="s">
        <v>2284</v>
      </c>
    </row>
    <row r="81" spans="1:26">
      <c r="A81" s="25" t="s">
        <v>2762</v>
      </c>
      <c r="B81" s="25" t="s">
        <v>4051</v>
      </c>
      <c r="C81" s="25" t="s">
        <v>2759</v>
      </c>
      <c r="D81" s="25" t="s">
        <v>1337</v>
      </c>
      <c r="E81" s="25" t="s">
        <v>2760</v>
      </c>
      <c r="G81" s="25" t="s">
        <v>2761</v>
      </c>
      <c r="H81" s="25">
        <v>30</v>
      </c>
      <c r="I81" s="25" t="s">
        <v>4052</v>
      </c>
      <c r="J81" s="25" t="str">
        <f>VLOOKUP(I81,'records (3)'!$A:$C,2,FALSE)</f>
        <v>003IV000010su8uYAA</v>
      </c>
      <c r="K81" s="25" t="s">
        <v>4053</v>
      </c>
      <c r="L81" s="25" t="s">
        <v>4054</v>
      </c>
      <c r="M81" s="25" t="s">
        <v>4052</v>
      </c>
      <c r="N81" s="25" t="str">
        <f>VLOOKUP($M81,'records (3)'!$A:$C,2,FALSE)</f>
        <v>003IV000010su8uYAA</v>
      </c>
      <c r="O81" s="25" t="s">
        <v>4053</v>
      </c>
      <c r="P81" s="25" t="s">
        <v>4054</v>
      </c>
      <c r="Q81" s="25" t="s">
        <v>3751</v>
      </c>
      <c r="R81" s="25" t="s">
        <v>2764</v>
      </c>
      <c r="S81" s="25" t="s">
        <v>3744</v>
      </c>
      <c r="T81" s="25" t="s">
        <v>2758</v>
      </c>
      <c r="V81" s="25" t="s">
        <v>1233</v>
      </c>
      <c r="X81" s="25" t="s">
        <v>1233</v>
      </c>
      <c r="Z81" s="25" t="s">
        <v>2764</v>
      </c>
    </row>
    <row r="82" spans="1:26">
      <c r="A82" s="25" t="s">
        <v>2103</v>
      </c>
      <c r="B82" s="25" t="s">
        <v>341</v>
      </c>
      <c r="C82" s="25" t="s">
        <v>2100</v>
      </c>
      <c r="D82" s="25" t="s">
        <v>1337</v>
      </c>
      <c r="E82" s="25" t="s">
        <v>4055</v>
      </c>
      <c r="G82" s="25" t="s">
        <v>2102</v>
      </c>
      <c r="H82" s="25">
        <v>30</v>
      </c>
      <c r="I82" s="25" t="s">
        <v>4056</v>
      </c>
      <c r="J82" s="25" t="str">
        <f>VLOOKUP(I82,'records (3)'!$A:$C,2,FALSE)</f>
        <v>003IV000010s6QXYAY</v>
      </c>
      <c r="K82" s="25" t="s">
        <v>4057</v>
      </c>
      <c r="L82" s="25" t="s">
        <v>4058</v>
      </c>
      <c r="M82" s="25" t="s">
        <v>4059</v>
      </c>
      <c r="N82" s="25" t="str">
        <f>VLOOKUP($M82,'records (3)'!$A:$C,2,FALSE)</f>
        <v>003IV000010tSkMYAU</v>
      </c>
      <c r="O82" s="25" t="s">
        <v>4060</v>
      </c>
      <c r="P82" s="25" t="s">
        <v>4061</v>
      </c>
      <c r="Q82" s="25" t="s">
        <v>3751</v>
      </c>
      <c r="R82" s="25" t="s">
        <v>2105</v>
      </c>
      <c r="S82" s="25" t="s">
        <v>3744</v>
      </c>
      <c r="T82" s="25" t="s">
        <v>4062</v>
      </c>
      <c r="U82" s="25" t="s">
        <v>1840</v>
      </c>
      <c r="V82" s="25" t="s">
        <v>1233</v>
      </c>
      <c r="X82" s="25" t="s">
        <v>1233</v>
      </c>
      <c r="Z82" s="25" t="s">
        <v>2105</v>
      </c>
    </row>
    <row r="83" spans="1:26">
      <c r="A83" s="25" t="s">
        <v>2258</v>
      </c>
      <c r="B83" s="25" t="s">
        <v>21</v>
      </c>
      <c r="C83" s="25" t="s">
        <v>2064</v>
      </c>
      <c r="D83" s="25" t="s">
        <v>1337</v>
      </c>
      <c r="E83" s="25" t="s">
        <v>2065</v>
      </c>
      <c r="G83" s="25" t="s">
        <v>2257</v>
      </c>
      <c r="H83" s="25">
        <v>30</v>
      </c>
      <c r="I83" s="25" t="s">
        <v>4063</v>
      </c>
      <c r="J83" s="25" t="str">
        <f>VLOOKUP(I83,'records (3)'!$A:$C,2,FALSE)</f>
        <v>003IV000010su8rYAA</v>
      </c>
      <c r="K83" s="25" t="s">
        <v>4064</v>
      </c>
      <c r="L83" s="25" t="s">
        <v>4065</v>
      </c>
      <c r="M83" s="25" t="s">
        <v>4063</v>
      </c>
      <c r="N83" s="25" t="str">
        <f>VLOOKUP($M83,'records (3)'!$A:$C,2,FALSE)</f>
        <v>003IV000010su8rYAA</v>
      </c>
      <c r="O83" s="25" t="s">
        <v>4064</v>
      </c>
      <c r="P83" s="25" t="s">
        <v>4065</v>
      </c>
      <c r="Q83" s="25" t="s">
        <v>3751</v>
      </c>
      <c r="R83" s="25" t="s">
        <v>4065</v>
      </c>
      <c r="S83" s="25" t="s">
        <v>3744</v>
      </c>
      <c r="T83" s="25" t="s">
        <v>2256</v>
      </c>
      <c r="U83" s="25" t="s">
        <v>1832</v>
      </c>
      <c r="V83" s="25" t="s">
        <v>1233</v>
      </c>
      <c r="X83" s="25" t="s">
        <v>1233</v>
      </c>
      <c r="Z83" s="25" t="s">
        <v>2260</v>
      </c>
    </row>
    <row r="84" spans="1:26">
      <c r="A84" s="25" t="s">
        <v>3616</v>
      </c>
      <c r="B84" s="25" t="s">
        <v>897</v>
      </c>
      <c r="C84" s="25" t="s">
        <v>3613</v>
      </c>
      <c r="D84" s="25" t="s">
        <v>1337</v>
      </c>
      <c r="E84" s="25" t="s">
        <v>3614</v>
      </c>
      <c r="G84" s="25" t="s">
        <v>3615</v>
      </c>
      <c r="H84" s="25">
        <v>30</v>
      </c>
      <c r="I84" s="25" t="s">
        <v>4066</v>
      </c>
      <c r="J84" s="25" t="str">
        <f>VLOOKUP(I84,'records (3)'!$A:$C,2,FALSE)</f>
        <v>003IV000010t2kCYAQ</v>
      </c>
      <c r="K84" s="25" t="s">
        <v>4067</v>
      </c>
      <c r="L84" s="25" t="s">
        <v>4068</v>
      </c>
      <c r="M84" s="25" t="s">
        <v>4069</v>
      </c>
      <c r="N84" s="25" t="str">
        <f>VLOOKUP($M84,'records (3)'!$A:$C,2,FALSE)</f>
        <v>003IV000010t2k9YAA</v>
      </c>
      <c r="O84" s="25" t="s">
        <v>4070</v>
      </c>
      <c r="P84" s="25" t="s">
        <v>4071</v>
      </c>
      <c r="Q84" s="25" t="s">
        <v>3751</v>
      </c>
      <c r="S84" s="25" t="s">
        <v>3744</v>
      </c>
      <c r="T84" s="25" t="s">
        <v>3612</v>
      </c>
      <c r="V84" s="25" t="s">
        <v>3613</v>
      </c>
      <c r="X84" s="25" t="s">
        <v>3614</v>
      </c>
      <c r="Z84" s="25" t="s">
        <v>3615</v>
      </c>
    </row>
    <row r="85" spans="1:26">
      <c r="A85" s="25" t="s">
        <v>2620</v>
      </c>
      <c r="B85" s="25" t="s">
        <v>4072</v>
      </c>
      <c r="C85" s="25" t="s">
        <v>2617</v>
      </c>
      <c r="D85" s="25" t="s">
        <v>1337</v>
      </c>
      <c r="E85" s="25" t="s">
        <v>2618</v>
      </c>
      <c r="G85" s="25" t="s">
        <v>2619</v>
      </c>
      <c r="H85" s="25">
        <v>30</v>
      </c>
      <c r="I85" s="25" t="s">
        <v>4073</v>
      </c>
      <c r="J85" s="25" t="str">
        <f>VLOOKUP(I85,'records (3)'!$A:$C,2,FALSE)</f>
        <v>003IV000010t2FRYAY</v>
      </c>
      <c r="K85" s="25" t="s">
        <v>4074</v>
      </c>
      <c r="L85" s="25" t="s">
        <v>4075</v>
      </c>
      <c r="M85" s="25" t="s">
        <v>4073</v>
      </c>
      <c r="N85" s="25" t="str">
        <f>VLOOKUP($M85,'records (3)'!$A:$C,2,FALSE)</f>
        <v>003IV000010t2FRYAY</v>
      </c>
      <c r="O85" s="25" t="s">
        <v>4074</v>
      </c>
      <c r="P85" s="25" t="s">
        <v>4075</v>
      </c>
      <c r="Q85" s="25" t="s">
        <v>3751</v>
      </c>
      <c r="R85" s="25" t="s">
        <v>2622</v>
      </c>
      <c r="S85" s="25" t="s">
        <v>3744</v>
      </c>
      <c r="T85" s="25" t="s">
        <v>2616</v>
      </c>
      <c r="V85" s="25" t="s">
        <v>1233</v>
      </c>
      <c r="X85" s="25" t="s">
        <v>1233</v>
      </c>
      <c r="Z85" s="25" t="s">
        <v>2622</v>
      </c>
    </row>
    <row r="86" spans="1:26">
      <c r="A86" s="25" t="s">
        <v>1555</v>
      </c>
      <c r="B86" s="25" t="s">
        <v>482</v>
      </c>
      <c r="C86" s="25" t="s">
        <v>1552</v>
      </c>
      <c r="E86" s="25" t="s">
        <v>1553</v>
      </c>
      <c r="G86" s="25" t="s">
        <v>1554</v>
      </c>
      <c r="H86" s="25">
        <v>30</v>
      </c>
      <c r="I86" s="25" t="s">
        <v>4076</v>
      </c>
      <c r="J86" s="25" t="str">
        <f>VLOOKUP(I86,'records (3)'!$A:$C,2,FALSE)</f>
        <v>003IV000010tSkOYAU</v>
      </c>
      <c r="K86" s="25" t="s">
        <v>4077</v>
      </c>
      <c r="L86" s="25" t="s">
        <v>1557</v>
      </c>
      <c r="M86" s="25" t="s">
        <v>4076</v>
      </c>
      <c r="N86" s="25" t="str">
        <f>VLOOKUP($M86,'records (3)'!$A:$C,2,FALSE)</f>
        <v>003IV000010tSkOYAU</v>
      </c>
      <c r="O86" s="25" t="s">
        <v>4077</v>
      </c>
      <c r="P86" s="25" t="s">
        <v>1557</v>
      </c>
      <c r="Q86" s="25" t="s">
        <v>3751</v>
      </c>
      <c r="R86" s="25" t="s">
        <v>1557</v>
      </c>
      <c r="S86" s="25" t="s">
        <v>4078</v>
      </c>
      <c r="T86" s="25" t="s">
        <v>1551</v>
      </c>
      <c r="V86" s="25" t="s">
        <v>1233</v>
      </c>
      <c r="X86" s="25" t="s">
        <v>1233</v>
      </c>
      <c r="Z86" s="25" t="s">
        <v>1557</v>
      </c>
    </row>
    <row r="87" spans="1:26">
      <c r="A87" s="25" t="s">
        <v>3267</v>
      </c>
      <c r="B87" s="25" t="s">
        <v>239</v>
      </c>
      <c r="C87" s="25" t="s">
        <v>3263</v>
      </c>
      <c r="D87" s="25" t="s">
        <v>1337</v>
      </c>
      <c r="E87" s="25" t="s">
        <v>3265</v>
      </c>
      <c r="G87" s="25" t="s">
        <v>3266</v>
      </c>
      <c r="H87" s="25">
        <v>30</v>
      </c>
      <c r="I87" s="25" t="s">
        <v>4079</v>
      </c>
      <c r="J87" s="25" t="str">
        <f>VLOOKUP(I87,'records (3)'!$A:$C,2,FALSE)</f>
        <v>003IV000010tQHdYAM</v>
      </c>
      <c r="K87" s="25" t="s">
        <v>4080</v>
      </c>
      <c r="L87" s="25" t="s">
        <v>4081</v>
      </c>
      <c r="M87" s="25" t="s">
        <v>4082</v>
      </c>
      <c r="N87" s="25" t="str">
        <f>VLOOKUP($M87,'records (3)'!$A:$C,2,FALSE)</f>
        <v>003IV000010tQI0YAM</v>
      </c>
      <c r="O87" s="25" t="s">
        <v>4083</v>
      </c>
      <c r="P87" s="25" t="s">
        <v>3270</v>
      </c>
      <c r="Q87" s="25" t="s">
        <v>3751</v>
      </c>
      <c r="R87" s="25" t="s">
        <v>3270</v>
      </c>
      <c r="S87" s="25" t="s">
        <v>3744</v>
      </c>
      <c r="T87" s="25" t="s">
        <v>3262</v>
      </c>
      <c r="U87" s="25" t="s">
        <v>3264</v>
      </c>
      <c r="V87" s="25" t="s">
        <v>1233</v>
      </c>
      <c r="X87" s="25" t="s">
        <v>1233</v>
      </c>
      <c r="Z87" s="25" t="s">
        <v>3270</v>
      </c>
    </row>
    <row r="88" spans="1:26">
      <c r="A88" s="25" t="s">
        <v>1571</v>
      </c>
      <c r="B88" s="25" t="s">
        <v>107</v>
      </c>
      <c r="C88" s="25" t="s">
        <v>1568</v>
      </c>
      <c r="D88" s="25" t="s">
        <v>1337</v>
      </c>
      <c r="E88" s="25" t="s">
        <v>1569</v>
      </c>
      <c r="G88" s="25" t="s">
        <v>1570</v>
      </c>
      <c r="H88" s="25">
        <v>30</v>
      </c>
      <c r="I88" s="25" t="s">
        <v>4084</v>
      </c>
      <c r="J88" s="25" t="str">
        <f>VLOOKUP(I88,'records (3)'!$A:$C,2,FALSE)</f>
        <v>003IV000010t2kBYAQ</v>
      </c>
      <c r="K88" s="25" t="s">
        <v>4085</v>
      </c>
      <c r="L88" s="25" t="s">
        <v>4086</v>
      </c>
      <c r="M88" s="25" t="s">
        <v>4084</v>
      </c>
      <c r="N88" s="25" t="str">
        <f>VLOOKUP($M88,'records (3)'!$A:$C,2,FALSE)</f>
        <v>003IV000010t2kBYAQ</v>
      </c>
      <c r="O88" s="25" t="s">
        <v>4085</v>
      </c>
      <c r="P88" s="25" t="s">
        <v>4086</v>
      </c>
      <c r="Q88" s="25" t="s">
        <v>3751</v>
      </c>
      <c r="R88" s="25" t="s">
        <v>1573</v>
      </c>
      <c r="S88" s="25" t="s">
        <v>3744</v>
      </c>
      <c r="T88" s="25" t="s">
        <v>1567</v>
      </c>
      <c r="V88" s="25" t="s">
        <v>1233</v>
      </c>
      <c r="X88" s="25" t="s">
        <v>1233</v>
      </c>
      <c r="Z88" s="25" t="s">
        <v>1573</v>
      </c>
    </row>
    <row r="89" spans="1:26">
      <c r="A89" s="25" t="s">
        <v>2692</v>
      </c>
      <c r="B89" s="25" t="s">
        <v>452</v>
      </c>
      <c r="C89" s="25" t="s">
        <v>2688</v>
      </c>
      <c r="D89" s="25" t="s">
        <v>1337</v>
      </c>
      <c r="E89" s="25" t="s">
        <v>2690</v>
      </c>
      <c r="G89" s="25" t="s">
        <v>2691</v>
      </c>
      <c r="H89" s="25">
        <v>30</v>
      </c>
      <c r="I89" s="25" t="s">
        <v>4087</v>
      </c>
      <c r="J89" s="25" t="str">
        <f>VLOOKUP(I89,'records (3)'!$A:$C,2,FALSE)</f>
        <v>003IV000010t3BdYAI</v>
      </c>
      <c r="K89" s="25" t="s">
        <v>4088</v>
      </c>
      <c r="L89" s="25" t="s">
        <v>2694</v>
      </c>
      <c r="M89" s="25" t="s">
        <v>4089</v>
      </c>
      <c r="N89" s="25" t="str">
        <f>VLOOKUP($M89,'records (3)'!$A:$C,2,FALSE)</f>
        <v>003IV000010tIiFYAU</v>
      </c>
      <c r="O89" s="25" t="s">
        <v>4090</v>
      </c>
      <c r="P89" s="25" t="s">
        <v>4091</v>
      </c>
      <c r="Q89" s="25" t="s">
        <v>3751</v>
      </c>
      <c r="R89" s="25" t="s">
        <v>2694</v>
      </c>
      <c r="S89" s="25" t="s">
        <v>3744</v>
      </c>
      <c r="T89" s="25" t="s">
        <v>2687</v>
      </c>
      <c r="U89" s="25" t="s">
        <v>2689</v>
      </c>
      <c r="V89" s="25" t="s">
        <v>1233</v>
      </c>
      <c r="X89" s="25" t="s">
        <v>1233</v>
      </c>
      <c r="Z89" s="25" t="s">
        <v>2694</v>
      </c>
    </row>
    <row r="90" spans="1:26">
      <c r="A90" s="25" t="s">
        <v>2838</v>
      </c>
      <c r="B90" s="25" t="s">
        <v>500</v>
      </c>
      <c r="C90" s="25" t="s">
        <v>2835</v>
      </c>
      <c r="D90" s="25" t="s">
        <v>1337</v>
      </c>
      <c r="E90" s="25" t="s">
        <v>2836</v>
      </c>
      <c r="G90" s="25" t="s">
        <v>2837</v>
      </c>
      <c r="H90" s="25">
        <v>30</v>
      </c>
      <c r="I90" s="25" t="s">
        <v>4092</v>
      </c>
      <c r="J90" s="25" t="str">
        <f>VLOOKUP(I90,'records (3)'!$A:$C,2,FALSE)</f>
        <v>003IV000010tIiIYAU</v>
      </c>
      <c r="K90" s="25" t="s">
        <v>4093</v>
      </c>
      <c r="L90" s="25" t="s">
        <v>2840</v>
      </c>
      <c r="M90" s="25" t="s">
        <v>4094</v>
      </c>
      <c r="N90" s="25" t="str">
        <f>VLOOKUP($M90,'records (3)'!$A:$C,2,FALSE)</f>
        <v>003IV000010rnuiYAA</v>
      </c>
      <c r="O90" s="25" t="s">
        <v>4095</v>
      </c>
      <c r="P90" s="25" t="s">
        <v>4096</v>
      </c>
      <c r="Q90" s="25" t="s">
        <v>3751</v>
      </c>
      <c r="R90" s="25" t="s">
        <v>2840</v>
      </c>
      <c r="S90" s="25" t="s">
        <v>3744</v>
      </c>
      <c r="T90" s="25" t="s">
        <v>2834</v>
      </c>
      <c r="V90" s="25" t="s">
        <v>1233</v>
      </c>
      <c r="X90" s="25" t="s">
        <v>1233</v>
      </c>
      <c r="Z90" s="25" t="s">
        <v>2840</v>
      </c>
    </row>
    <row r="91" spans="1:26">
      <c r="A91" s="25" t="s">
        <v>2158</v>
      </c>
      <c r="B91" s="25" t="s">
        <v>126</v>
      </c>
      <c r="C91" s="25" t="s">
        <v>2154</v>
      </c>
      <c r="E91" s="25" t="s">
        <v>2156</v>
      </c>
      <c r="G91" s="25" t="s">
        <v>4097</v>
      </c>
      <c r="H91" s="25">
        <v>30</v>
      </c>
      <c r="I91" s="25" t="s">
        <v>4098</v>
      </c>
      <c r="J91" s="25" t="str">
        <f>VLOOKUP(I91,'records (3)'!$A:$C,2,FALSE)</f>
        <v>003IV000010tJXdYAM</v>
      </c>
      <c r="K91" s="25" t="s">
        <v>1832</v>
      </c>
      <c r="L91" s="25" t="s">
        <v>2160</v>
      </c>
      <c r="M91" s="25" t="s">
        <v>4098</v>
      </c>
      <c r="N91" s="25" t="str">
        <f>VLOOKUP($M91,'records (3)'!$A:$C,2,FALSE)</f>
        <v>003IV000010tJXdYAM</v>
      </c>
      <c r="O91" s="25" t="s">
        <v>1832</v>
      </c>
      <c r="P91" s="25" t="s">
        <v>2160</v>
      </c>
      <c r="Q91" s="25" t="s">
        <v>3751</v>
      </c>
      <c r="R91" s="25" t="s">
        <v>2160</v>
      </c>
      <c r="S91" s="25" t="s">
        <v>3744</v>
      </c>
      <c r="T91" s="25" t="s">
        <v>2153</v>
      </c>
      <c r="U91" s="25" t="s">
        <v>2155</v>
      </c>
      <c r="V91" s="25" t="s">
        <v>1233</v>
      </c>
      <c r="X91" s="25" t="s">
        <v>1233</v>
      </c>
      <c r="Z91" s="25" t="s">
        <v>2160</v>
      </c>
    </row>
    <row r="92" spans="1:26">
      <c r="A92" s="25" t="s">
        <v>2189</v>
      </c>
      <c r="B92" s="25" t="s">
        <v>1020</v>
      </c>
      <c r="C92" s="25" t="s">
        <v>2186</v>
      </c>
      <c r="D92" s="25" t="s">
        <v>1337</v>
      </c>
      <c r="E92" s="25" t="s">
        <v>2187</v>
      </c>
      <c r="G92" s="25" t="s">
        <v>2188</v>
      </c>
      <c r="H92" s="25">
        <v>30</v>
      </c>
      <c r="I92" s="25" t="s">
        <v>4099</v>
      </c>
      <c r="J92" s="25" t="str">
        <f>VLOOKUP(I92,'records (3)'!$A:$C,2,FALSE)</f>
        <v>003IV000010tQHfYAM</v>
      </c>
      <c r="K92" s="25" t="s">
        <v>4100</v>
      </c>
      <c r="L92" s="25" t="s">
        <v>2191</v>
      </c>
      <c r="M92" s="25" t="s">
        <v>4099</v>
      </c>
      <c r="N92" s="25" t="str">
        <f>VLOOKUP($M92,'records (3)'!$A:$C,2,FALSE)</f>
        <v>003IV000010tQHfYAM</v>
      </c>
      <c r="O92" s="25" t="s">
        <v>4100</v>
      </c>
      <c r="P92" s="25" t="s">
        <v>2191</v>
      </c>
      <c r="Q92" s="25" t="s">
        <v>3751</v>
      </c>
      <c r="R92" s="25" t="s">
        <v>2191</v>
      </c>
      <c r="S92" s="25" t="s">
        <v>3744</v>
      </c>
      <c r="T92" s="25" t="s">
        <v>2185</v>
      </c>
      <c r="V92" s="25" t="s">
        <v>1233</v>
      </c>
      <c r="X92" s="25" t="s">
        <v>1233</v>
      </c>
      <c r="Z92" s="25" t="s">
        <v>2191</v>
      </c>
    </row>
    <row r="93" spans="1:26">
      <c r="A93" s="25" t="s">
        <v>3202</v>
      </c>
      <c r="B93" s="25" t="s">
        <v>97</v>
      </c>
      <c r="C93" s="25" t="s">
        <v>3199</v>
      </c>
      <c r="D93" s="25" t="s">
        <v>1337</v>
      </c>
      <c r="E93" s="25" t="s">
        <v>3200</v>
      </c>
      <c r="G93" s="25" t="s">
        <v>3201</v>
      </c>
      <c r="H93" s="25">
        <v>30</v>
      </c>
      <c r="I93" s="25" t="s">
        <v>4101</v>
      </c>
      <c r="J93" s="25" t="str">
        <f>VLOOKUP(I93,'records (3)'!$A:$C,2,FALSE)</f>
        <v>003IV000010sxGuYAI</v>
      </c>
      <c r="K93" s="25" t="s">
        <v>4102</v>
      </c>
      <c r="L93" s="25" t="s">
        <v>3204</v>
      </c>
      <c r="M93" s="25" t="s">
        <v>4101</v>
      </c>
      <c r="N93" s="25" t="str">
        <f>VLOOKUP($M93,'records (3)'!$A:$C,2,FALSE)</f>
        <v>003IV000010sxGuYAI</v>
      </c>
      <c r="O93" s="25" t="s">
        <v>4102</v>
      </c>
      <c r="P93" s="25" t="s">
        <v>3204</v>
      </c>
      <c r="Q93" s="25" t="s">
        <v>3751</v>
      </c>
      <c r="R93" s="25" t="s">
        <v>3204</v>
      </c>
      <c r="S93" s="25" t="s">
        <v>3744</v>
      </c>
      <c r="T93" s="25" t="s">
        <v>3198</v>
      </c>
      <c r="V93" s="25" t="s">
        <v>1233</v>
      </c>
      <c r="X93" s="25" t="s">
        <v>1233</v>
      </c>
      <c r="Z93" s="25" t="s">
        <v>3204</v>
      </c>
    </row>
    <row r="94" spans="1:26">
      <c r="A94" s="25" t="s">
        <v>1612</v>
      </c>
      <c r="B94" s="25" t="s">
        <v>293</v>
      </c>
      <c r="C94" s="25" t="s">
        <v>1609</v>
      </c>
      <c r="D94" s="25" t="s">
        <v>1337</v>
      </c>
      <c r="E94" s="25" t="s">
        <v>1610</v>
      </c>
      <c r="G94" s="25" t="s">
        <v>1611</v>
      </c>
      <c r="H94" s="25">
        <v>30</v>
      </c>
      <c r="I94" s="25" t="s">
        <v>4103</v>
      </c>
      <c r="J94" s="25" t="str">
        <f>VLOOKUP(I94,'records (3)'!$A:$C,2,FALSE)</f>
        <v>003IV000010s6QzYAI</v>
      </c>
      <c r="K94" s="25" t="s">
        <v>4104</v>
      </c>
      <c r="L94" s="25" t="s">
        <v>4105</v>
      </c>
      <c r="M94" s="25" t="s">
        <v>4103</v>
      </c>
      <c r="N94" s="25" t="str">
        <f>VLOOKUP($M94,'records (3)'!$A:$C,2,FALSE)</f>
        <v>003IV000010s6QzYAI</v>
      </c>
      <c r="O94" s="25" t="s">
        <v>4104</v>
      </c>
      <c r="P94" s="25" t="s">
        <v>4105</v>
      </c>
      <c r="Q94" s="25" t="s">
        <v>3751</v>
      </c>
      <c r="R94" s="25" t="s">
        <v>1614</v>
      </c>
      <c r="S94" s="25" t="s">
        <v>3744</v>
      </c>
      <c r="T94" s="25" t="s">
        <v>1608</v>
      </c>
      <c r="V94" s="25" t="s">
        <v>1233</v>
      </c>
      <c r="X94" s="25" t="s">
        <v>1233</v>
      </c>
      <c r="Z94" s="25" t="s">
        <v>1614</v>
      </c>
    </row>
    <row r="95" spans="1:26">
      <c r="A95" s="25" t="s">
        <v>3512</v>
      </c>
      <c r="B95" s="25" t="s">
        <v>56</v>
      </c>
      <c r="C95" s="25" t="s">
        <v>3509</v>
      </c>
      <c r="D95" s="25" t="s">
        <v>1337</v>
      </c>
      <c r="E95" s="25" t="s">
        <v>3510</v>
      </c>
      <c r="G95" s="25" t="s">
        <v>3511</v>
      </c>
      <c r="H95" s="25">
        <v>30</v>
      </c>
      <c r="I95" s="25" t="s">
        <v>4106</v>
      </c>
      <c r="J95" s="25" t="str">
        <f>VLOOKUP(I95,'records (3)'!$A:$C,2,FALSE)</f>
        <v>003IV000010sxGnYAI</v>
      </c>
      <c r="K95" s="25" t="s">
        <v>4107</v>
      </c>
      <c r="L95" s="25" t="s">
        <v>3514</v>
      </c>
      <c r="M95" s="25" t="s">
        <v>4106</v>
      </c>
      <c r="N95" s="25" t="str">
        <f>VLOOKUP($M95,'records (3)'!$A:$C,2,FALSE)</f>
        <v>003IV000010sxGnYAI</v>
      </c>
      <c r="O95" s="25" t="s">
        <v>4107</v>
      </c>
      <c r="P95" s="25" t="s">
        <v>3514</v>
      </c>
      <c r="Q95" s="25" t="s">
        <v>3751</v>
      </c>
      <c r="R95" s="25" t="s">
        <v>3514</v>
      </c>
      <c r="S95" s="25" t="s">
        <v>3744</v>
      </c>
      <c r="T95" s="25" t="s">
        <v>3508</v>
      </c>
      <c r="V95" s="25" t="s">
        <v>1233</v>
      </c>
      <c r="X95" s="25" t="s">
        <v>1233</v>
      </c>
      <c r="Z95" s="25" t="s">
        <v>3514</v>
      </c>
    </row>
    <row r="96" spans="1:26">
      <c r="A96" s="25" t="s">
        <v>2095</v>
      </c>
      <c r="B96" s="25" t="s">
        <v>631</v>
      </c>
      <c r="C96" s="25" t="s">
        <v>2092</v>
      </c>
      <c r="D96" s="25" t="s">
        <v>1337</v>
      </c>
      <c r="E96" s="25" t="s">
        <v>2093</v>
      </c>
      <c r="G96" s="25" t="s">
        <v>2094</v>
      </c>
      <c r="H96" s="25">
        <v>30</v>
      </c>
      <c r="I96" s="25" t="s">
        <v>4108</v>
      </c>
      <c r="J96" s="25" t="str">
        <f>VLOOKUP(I96,'records (3)'!$A:$C,2,FALSE)</f>
        <v>003IV000010t3eLYAQ</v>
      </c>
      <c r="K96" s="25" t="s">
        <v>4109</v>
      </c>
      <c r="L96" s="25" t="s">
        <v>2097</v>
      </c>
      <c r="M96" s="25" t="s">
        <v>4108</v>
      </c>
      <c r="N96" s="25" t="str">
        <f>VLOOKUP($M96,'records (3)'!$A:$C,2,FALSE)</f>
        <v>003IV000010t3eLYAQ</v>
      </c>
      <c r="O96" s="25" t="s">
        <v>4109</v>
      </c>
      <c r="P96" s="25" t="s">
        <v>2097</v>
      </c>
      <c r="Q96" s="25" t="s">
        <v>3751</v>
      </c>
      <c r="R96" s="25" t="s">
        <v>2097</v>
      </c>
      <c r="S96" s="25" t="s">
        <v>3744</v>
      </c>
      <c r="T96" s="25" t="s">
        <v>2091</v>
      </c>
      <c r="V96" s="25" t="s">
        <v>1233</v>
      </c>
      <c r="X96" s="25" t="s">
        <v>1233</v>
      </c>
      <c r="Z96" s="25" t="s">
        <v>2097</v>
      </c>
    </row>
    <row r="97" spans="1:26">
      <c r="A97" s="25" t="s">
        <v>3300</v>
      </c>
      <c r="B97" s="25" t="s">
        <v>791</v>
      </c>
      <c r="C97" s="25" t="s">
        <v>3297</v>
      </c>
      <c r="D97" s="25" t="s">
        <v>1337</v>
      </c>
      <c r="E97" s="25" t="s">
        <v>3298</v>
      </c>
      <c r="G97" s="25" t="s">
        <v>3299</v>
      </c>
      <c r="H97" s="25">
        <v>30</v>
      </c>
      <c r="I97" s="25" t="s">
        <v>4110</v>
      </c>
      <c r="J97" s="25" t="str">
        <f>VLOOKUP(I97,'records (3)'!$A:$C,2,FALSE)</f>
        <v>003IV000010tQI2YAM</v>
      </c>
      <c r="K97" s="25" t="s">
        <v>4111</v>
      </c>
      <c r="L97" s="25" t="s">
        <v>4112</v>
      </c>
      <c r="M97" s="25" t="s">
        <v>4110</v>
      </c>
      <c r="N97" s="25" t="str">
        <f>VLOOKUP($M97,'records (3)'!$A:$C,2,FALSE)</f>
        <v>003IV000010tQI2YAM</v>
      </c>
      <c r="O97" s="25" t="s">
        <v>4111</v>
      </c>
      <c r="P97" s="25" t="s">
        <v>4112</v>
      </c>
      <c r="Q97" s="25" t="s">
        <v>3751</v>
      </c>
      <c r="R97" s="25" t="s">
        <v>3302</v>
      </c>
      <c r="S97" s="25" t="s">
        <v>3744</v>
      </c>
      <c r="T97" s="25" t="s">
        <v>3296</v>
      </c>
      <c r="V97" s="25" t="s">
        <v>1233</v>
      </c>
      <c r="X97" s="25" t="s">
        <v>1233</v>
      </c>
      <c r="Z97" s="25" t="s">
        <v>3302</v>
      </c>
    </row>
    <row r="98" spans="1:26">
      <c r="A98" s="25" t="s">
        <v>2675</v>
      </c>
      <c r="B98" s="25" t="s">
        <v>167</v>
      </c>
      <c r="C98" s="25" t="s">
        <v>2672</v>
      </c>
      <c r="D98" s="25" t="s">
        <v>1337</v>
      </c>
      <c r="E98" s="25" t="s">
        <v>2673</v>
      </c>
      <c r="G98" s="25" t="s">
        <v>2674</v>
      </c>
      <c r="H98" s="25">
        <v>30</v>
      </c>
      <c r="I98" s="25" t="s">
        <v>4113</v>
      </c>
      <c r="J98" s="25" t="str">
        <f>VLOOKUP(I98,'records (3)'!$A:$C,2,FALSE)</f>
        <v>003IV000010tIdxYAE</v>
      </c>
      <c r="K98" s="25" t="s">
        <v>4114</v>
      </c>
      <c r="L98" s="25" t="s">
        <v>4115</v>
      </c>
      <c r="M98" s="25" t="s">
        <v>4113</v>
      </c>
      <c r="N98" s="25" t="str">
        <f>VLOOKUP($M98,'records (3)'!$A:$C,2,FALSE)</f>
        <v>003IV000010tIdxYAE</v>
      </c>
      <c r="O98" s="25" t="s">
        <v>4114</v>
      </c>
      <c r="P98" s="25" t="s">
        <v>4115</v>
      </c>
      <c r="Q98" s="25" t="s">
        <v>3751</v>
      </c>
      <c r="R98" s="25" t="s">
        <v>2677</v>
      </c>
      <c r="S98" s="25" t="s">
        <v>3744</v>
      </c>
      <c r="T98" s="25" t="s">
        <v>2671</v>
      </c>
      <c r="V98" s="25" t="s">
        <v>1233</v>
      </c>
      <c r="X98" s="25" t="s">
        <v>1233</v>
      </c>
      <c r="Z98" s="25" t="s">
        <v>2677</v>
      </c>
    </row>
    <row r="99" spans="1:26">
      <c r="A99" s="25" t="s">
        <v>1685</v>
      </c>
      <c r="B99" s="25" t="s">
        <v>997</v>
      </c>
      <c r="C99" s="25" t="s">
        <v>1682</v>
      </c>
      <c r="D99" s="25" t="s">
        <v>1337</v>
      </c>
      <c r="E99" s="25" t="s">
        <v>1683</v>
      </c>
      <c r="G99" s="25" t="s">
        <v>1684</v>
      </c>
      <c r="H99" s="25">
        <v>30</v>
      </c>
      <c r="I99" s="25" t="s">
        <v>4116</v>
      </c>
      <c r="J99" s="25" t="str">
        <f>VLOOKUP(I99,'records (3)'!$A:$C,2,FALSE)</f>
        <v>003IV000010tRW1YAM</v>
      </c>
      <c r="K99" s="25" t="s">
        <v>4117</v>
      </c>
      <c r="L99" s="25" t="s">
        <v>4118</v>
      </c>
      <c r="M99" s="25" t="s">
        <v>4119</v>
      </c>
      <c r="N99" s="25" t="str">
        <f>VLOOKUP($M99,'records (3)'!$A:$C,2,FALSE)</f>
        <v>003IV000010t2zrYAA</v>
      </c>
      <c r="O99" s="25" t="s">
        <v>4120</v>
      </c>
      <c r="P99" s="25" t="s">
        <v>4121</v>
      </c>
      <c r="Q99" s="25" t="s">
        <v>3751</v>
      </c>
      <c r="R99" s="25" t="s">
        <v>1687</v>
      </c>
      <c r="S99" s="25" t="s">
        <v>3744</v>
      </c>
      <c r="T99" s="25" t="s">
        <v>1681</v>
      </c>
      <c r="V99" s="25" t="s">
        <v>1233</v>
      </c>
      <c r="X99" s="25" t="s">
        <v>1233</v>
      </c>
      <c r="Z99" s="25" t="s">
        <v>1687</v>
      </c>
    </row>
    <row r="100" spans="1:26">
      <c r="A100" s="25" t="s">
        <v>1803</v>
      </c>
      <c r="B100" s="25" t="s">
        <v>851</v>
      </c>
      <c r="C100" s="25" t="s">
        <v>1800</v>
      </c>
      <c r="D100" s="25" t="s">
        <v>1337</v>
      </c>
      <c r="E100" s="25" t="s">
        <v>4122</v>
      </c>
      <c r="G100" s="25" t="s">
        <v>1802</v>
      </c>
      <c r="H100" s="25">
        <v>30</v>
      </c>
      <c r="I100" s="25" t="s">
        <v>4123</v>
      </c>
      <c r="J100" s="25" t="str">
        <f>VLOOKUP(I100,'records (3)'!$A:$C,2,FALSE)</f>
        <v>003IV000010tRW6YAM</v>
      </c>
      <c r="K100" s="25" t="s">
        <v>4124</v>
      </c>
      <c r="L100" s="25" t="s">
        <v>4125</v>
      </c>
      <c r="M100" s="25" t="s">
        <v>4123</v>
      </c>
      <c r="N100" s="25" t="str">
        <f>VLOOKUP($M100,'records (3)'!$A:$C,2,FALSE)</f>
        <v>003IV000010tRW6YAM</v>
      </c>
      <c r="O100" s="25" t="s">
        <v>4124</v>
      </c>
      <c r="P100" s="25" t="s">
        <v>4125</v>
      </c>
      <c r="Q100" s="25" t="s">
        <v>3751</v>
      </c>
      <c r="R100" s="25" t="s">
        <v>1805</v>
      </c>
      <c r="S100" s="25" t="s">
        <v>3744</v>
      </c>
      <c r="T100" s="25" t="s">
        <v>1799</v>
      </c>
      <c r="U100" s="25" t="s">
        <v>851</v>
      </c>
      <c r="V100" s="25" t="s">
        <v>1233</v>
      </c>
      <c r="X100" s="25" t="s">
        <v>1233</v>
      </c>
      <c r="Z100" s="25" t="s">
        <v>1805</v>
      </c>
    </row>
    <row r="101" spans="1:26">
      <c r="A101" s="25" t="s">
        <v>3187</v>
      </c>
      <c r="B101" s="25" t="s">
        <v>885</v>
      </c>
      <c r="C101" s="25" t="s">
        <v>3184</v>
      </c>
      <c r="D101" s="25" t="s">
        <v>1337</v>
      </c>
      <c r="E101" s="25" t="s">
        <v>3185</v>
      </c>
      <c r="G101" s="25" t="s">
        <v>3186</v>
      </c>
      <c r="H101" s="25">
        <v>30</v>
      </c>
      <c r="I101" s="25" t="s">
        <v>4126</v>
      </c>
      <c r="J101" s="25" t="str">
        <f>VLOOKUP(I101,'records (3)'!$A:$C,2,FALSE)</f>
        <v>003IV000010tWSyYAM</v>
      </c>
      <c r="K101" s="25" t="s">
        <v>4127</v>
      </c>
      <c r="L101" s="25" t="s">
        <v>4128</v>
      </c>
      <c r="M101" s="25" t="s">
        <v>4126</v>
      </c>
      <c r="N101" s="25" t="str">
        <f>VLOOKUP($M101,'records (3)'!$A:$C,2,FALSE)</f>
        <v>003IV000010tWSyYAM</v>
      </c>
      <c r="O101" s="25" t="s">
        <v>4127</v>
      </c>
      <c r="P101" s="25" t="s">
        <v>4128</v>
      </c>
      <c r="Q101" s="25" t="s">
        <v>3751</v>
      </c>
      <c r="R101" s="25" t="s">
        <v>3189</v>
      </c>
      <c r="S101" s="25" t="s">
        <v>3744</v>
      </c>
      <c r="T101" s="25" t="s">
        <v>3183</v>
      </c>
      <c r="V101" s="25" t="s">
        <v>1233</v>
      </c>
      <c r="X101" s="25" t="s">
        <v>1233</v>
      </c>
      <c r="Z101" s="25" t="s">
        <v>3189</v>
      </c>
    </row>
    <row r="102" spans="1:26">
      <c r="A102" s="25" t="s">
        <v>1266</v>
      </c>
      <c r="B102" s="25" t="s">
        <v>111</v>
      </c>
      <c r="C102" s="25" t="s">
        <v>2798</v>
      </c>
      <c r="D102" s="25" t="s">
        <v>1337</v>
      </c>
      <c r="E102" s="25" t="s">
        <v>2799</v>
      </c>
      <c r="G102" s="25" t="s">
        <v>2800</v>
      </c>
      <c r="H102" s="25">
        <v>30</v>
      </c>
      <c r="I102" s="25" t="s">
        <v>4129</v>
      </c>
      <c r="J102" s="25" t="str">
        <f>VLOOKUP(I102,'records (3)'!$A:$C,2,FALSE)</f>
        <v>003IV000010tJZPYA2</v>
      </c>
      <c r="K102" s="25" t="s">
        <v>4130</v>
      </c>
      <c r="L102" s="25" t="s">
        <v>2802</v>
      </c>
      <c r="M102" s="25" t="s">
        <v>4129</v>
      </c>
      <c r="N102" s="25" t="str">
        <f>VLOOKUP($M102,'records (3)'!$A:$C,2,FALSE)</f>
        <v>003IV000010tJZPYA2</v>
      </c>
      <c r="O102" s="25" t="s">
        <v>4130</v>
      </c>
      <c r="P102" s="25" t="s">
        <v>2802</v>
      </c>
      <c r="Q102" s="25" t="s">
        <v>3751</v>
      </c>
      <c r="R102" s="25" t="s">
        <v>2802</v>
      </c>
      <c r="S102" s="25" t="s">
        <v>3744</v>
      </c>
      <c r="T102" s="25" t="s">
        <v>111</v>
      </c>
      <c r="V102" s="25" t="s">
        <v>1233</v>
      </c>
      <c r="X102" s="25" t="s">
        <v>1233</v>
      </c>
      <c r="Z102" s="25" t="s">
        <v>2802</v>
      </c>
    </row>
    <row r="103" spans="1:26">
      <c r="A103" s="25" t="s">
        <v>1355</v>
      </c>
      <c r="B103" s="25" t="s">
        <v>773</v>
      </c>
      <c r="C103" s="25" t="s">
        <v>1352</v>
      </c>
      <c r="D103" s="25" t="s">
        <v>1337</v>
      </c>
      <c r="E103" s="25" t="s">
        <v>1353</v>
      </c>
      <c r="G103" s="25" t="s">
        <v>1354</v>
      </c>
      <c r="H103" s="25">
        <v>30</v>
      </c>
      <c r="I103" s="25" t="s">
        <v>4131</v>
      </c>
      <c r="J103" s="25" t="str">
        <f>VLOOKUP(I103,'records (3)'!$A:$C,2,FALSE)</f>
        <v>003IV000010tQIMYA2</v>
      </c>
      <c r="K103" s="25" t="s">
        <v>4132</v>
      </c>
      <c r="L103" s="25" t="s">
        <v>4133</v>
      </c>
      <c r="M103" s="25" t="s">
        <v>4131</v>
      </c>
      <c r="N103" s="25" t="str">
        <f>VLOOKUP($M103,'records (3)'!$A:$C,2,FALSE)</f>
        <v>003IV000010tQIMYA2</v>
      </c>
      <c r="O103" s="25" t="s">
        <v>4132</v>
      </c>
      <c r="P103" s="25" t="s">
        <v>4133</v>
      </c>
      <c r="Q103" s="25" t="s">
        <v>3751</v>
      </c>
      <c r="R103" s="25" t="s">
        <v>1358</v>
      </c>
      <c r="S103" s="25" t="s">
        <v>3744</v>
      </c>
      <c r="T103" s="25" t="s">
        <v>773</v>
      </c>
      <c r="V103" s="25" t="s">
        <v>1233</v>
      </c>
      <c r="X103" s="25" t="s">
        <v>1233</v>
      </c>
      <c r="Z103" s="25" t="s">
        <v>1358</v>
      </c>
    </row>
    <row r="104" spans="1:26">
      <c r="A104" s="25" t="s">
        <v>3582</v>
      </c>
      <c r="B104" s="25" t="s">
        <v>937</v>
      </c>
      <c r="C104" s="25" t="s">
        <v>3579</v>
      </c>
      <c r="D104" s="25" t="s">
        <v>1337</v>
      </c>
      <c r="E104" s="25" t="s">
        <v>3580</v>
      </c>
      <c r="G104" s="25" t="s">
        <v>3581</v>
      </c>
      <c r="H104" s="25">
        <v>30</v>
      </c>
      <c r="I104" s="25" t="s">
        <v>4134</v>
      </c>
      <c r="J104" s="25" t="str">
        <f>VLOOKUP(I104,'records (3)'!$A:$C,2,FALSE)</f>
        <v>003IV000010su8sYAA</v>
      </c>
      <c r="K104" s="25" t="s">
        <v>4135</v>
      </c>
      <c r="L104" s="25" t="s">
        <v>4136</v>
      </c>
      <c r="M104" s="25" t="s">
        <v>4134</v>
      </c>
      <c r="N104" s="25" t="str">
        <f>VLOOKUP($M104,'records (3)'!$A:$C,2,FALSE)</f>
        <v>003IV000010su8sYAA</v>
      </c>
      <c r="O104" s="25" t="s">
        <v>4135</v>
      </c>
      <c r="P104" s="25" t="s">
        <v>4136</v>
      </c>
      <c r="Q104" s="25" t="s">
        <v>3751</v>
      </c>
      <c r="S104" s="25" t="s">
        <v>3744</v>
      </c>
      <c r="T104" s="25" t="s">
        <v>3578</v>
      </c>
      <c r="U104" s="25" t="s">
        <v>1832</v>
      </c>
      <c r="V104" s="25" t="s">
        <v>3579</v>
      </c>
      <c r="X104" s="25" t="s">
        <v>3580</v>
      </c>
      <c r="Z104" s="25" t="s">
        <v>3581</v>
      </c>
    </row>
    <row r="105" spans="1:26">
      <c r="A105" s="25" t="s">
        <v>3623</v>
      </c>
      <c r="B105" s="25" t="s">
        <v>882</v>
      </c>
      <c r="C105" s="25" t="s">
        <v>3620</v>
      </c>
      <c r="D105" s="25" t="s">
        <v>1337</v>
      </c>
      <c r="E105" s="25" t="s">
        <v>3621</v>
      </c>
      <c r="G105" s="25" t="s">
        <v>3622</v>
      </c>
      <c r="H105" s="25">
        <v>30</v>
      </c>
      <c r="I105" s="25" t="s">
        <v>4137</v>
      </c>
      <c r="J105" s="25" t="str">
        <f>VLOOKUP(I105,'records (3)'!$A:$C,2,FALSE)</f>
        <v>003IV000010tQI6YAM</v>
      </c>
      <c r="K105" s="25" t="s">
        <v>4138</v>
      </c>
      <c r="L105" s="25" t="s">
        <v>4139</v>
      </c>
      <c r="M105" s="25" t="s">
        <v>4140</v>
      </c>
      <c r="N105" s="25" t="str">
        <f>VLOOKUP($M105,'records (3)'!$A:$C,2,FALSE)</f>
        <v>003IV000010tQI5YAM</v>
      </c>
      <c r="O105" s="25" t="s">
        <v>4141</v>
      </c>
      <c r="P105" s="25" t="s">
        <v>4142</v>
      </c>
      <c r="Q105" s="25" t="s">
        <v>3751</v>
      </c>
      <c r="S105" s="25" t="s">
        <v>3744</v>
      </c>
      <c r="T105" s="25" t="s">
        <v>3619</v>
      </c>
      <c r="V105" s="25" t="s">
        <v>3620</v>
      </c>
      <c r="X105" s="25" t="s">
        <v>3621</v>
      </c>
      <c r="Z105" s="25" t="s">
        <v>3622</v>
      </c>
    </row>
    <row r="106" spans="1:26">
      <c r="A106" s="25" t="s">
        <v>2754</v>
      </c>
      <c r="B106" s="25" t="s">
        <v>918</v>
      </c>
      <c r="C106" s="25" t="s">
        <v>2750</v>
      </c>
      <c r="D106" s="25" t="s">
        <v>1337</v>
      </c>
      <c r="E106" s="25" t="s">
        <v>2752</v>
      </c>
      <c r="G106" s="25" t="s">
        <v>2753</v>
      </c>
      <c r="H106" s="25">
        <v>30</v>
      </c>
      <c r="I106" s="25" t="s">
        <v>4143</v>
      </c>
      <c r="J106" s="25" t="str">
        <f>VLOOKUP(I106,'records (3)'!$A:$C,2,FALSE)</f>
        <v>003IV000010tRW3YAM</v>
      </c>
      <c r="K106" s="25" t="s">
        <v>4144</v>
      </c>
      <c r="L106" s="25" t="s">
        <v>2756</v>
      </c>
      <c r="M106" s="25" t="s">
        <v>4143</v>
      </c>
      <c r="N106" s="25" t="str">
        <f>VLOOKUP($M106,'records (3)'!$A:$C,2,FALSE)</f>
        <v>003IV000010tRW3YAM</v>
      </c>
      <c r="O106" s="25" t="s">
        <v>4144</v>
      </c>
      <c r="P106" s="25" t="s">
        <v>2756</v>
      </c>
      <c r="Q106" s="25" t="s">
        <v>3751</v>
      </c>
      <c r="R106" s="25" t="s">
        <v>2756</v>
      </c>
      <c r="S106" s="25" t="s">
        <v>3744</v>
      </c>
      <c r="T106" s="25" t="s">
        <v>2749</v>
      </c>
      <c r="U106" s="25" t="s">
        <v>2751</v>
      </c>
      <c r="V106" s="25" t="s">
        <v>1233</v>
      </c>
      <c r="X106" s="25" t="s">
        <v>1233</v>
      </c>
      <c r="Z106" s="25" t="s">
        <v>2756</v>
      </c>
    </row>
    <row r="107" spans="1:26">
      <c r="A107" s="25" t="s">
        <v>3481</v>
      </c>
      <c r="B107" s="25" t="s">
        <v>39</v>
      </c>
      <c r="C107" s="25" t="s">
        <v>3478</v>
      </c>
      <c r="D107" s="25" t="s">
        <v>1337</v>
      </c>
      <c r="E107" s="25" t="s">
        <v>3479</v>
      </c>
      <c r="G107" s="25" t="s">
        <v>4145</v>
      </c>
      <c r="H107" s="25">
        <v>30</v>
      </c>
      <c r="I107" s="25" t="s">
        <v>4146</v>
      </c>
      <c r="J107" s="25" t="str">
        <f>VLOOKUP(I107,'records (3)'!$A:$C,2,FALSE)</f>
        <v>003IV000010su9AYAQ</v>
      </c>
      <c r="K107" s="25" t="s">
        <v>4147</v>
      </c>
      <c r="L107" s="25" t="s">
        <v>3483</v>
      </c>
      <c r="M107" s="25" t="s">
        <v>4148</v>
      </c>
      <c r="N107" s="25" t="str">
        <f>VLOOKUP($M107,'records (3)'!$A:$C,2,FALSE)</f>
        <v>003IV000010su99YAA</v>
      </c>
      <c r="O107" s="25" t="s">
        <v>4149</v>
      </c>
      <c r="P107" s="25" t="s">
        <v>4150</v>
      </c>
      <c r="Q107" s="25" t="s">
        <v>3751</v>
      </c>
      <c r="R107" s="25" t="s">
        <v>3483</v>
      </c>
      <c r="S107" s="25" t="s">
        <v>3744</v>
      </c>
      <c r="T107" s="25" t="s">
        <v>3477</v>
      </c>
      <c r="V107" s="25" t="s">
        <v>1233</v>
      </c>
      <c r="X107" s="25" t="s">
        <v>1233</v>
      </c>
      <c r="Z107" s="25" t="s">
        <v>3483</v>
      </c>
    </row>
    <row r="108" spans="1:26">
      <c r="A108" s="25" t="s">
        <v>1795</v>
      </c>
      <c r="B108" s="25" t="s">
        <v>411</v>
      </c>
      <c r="C108" s="25" t="s">
        <v>1793</v>
      </c>
      <c r="D108" s="25" t="s">
        <v>1337</v>
      </c>
      <c r="E108" s="25" t="s">
        <v>1479</v>
      </c>
      <c r="G108" s="25" t="s">
        <v>1794</v>
      </c>
      <c r="H108" s="25">
        <v>30</v>
      </c>
      <c r="I108" s="25" t="s">
        <v>4151</v>
      </c>
      <c r="J108" s="25" t="str">
        <f>VLOOKUP(I108,'records (3)'!$A:$C,2,FALSE)</f>
        <v>003IV000010tIe4YAE</v>
      </c>
      <c r="K108" s="25" t="s">
        <v>4152</v>
      </c>
      <c r="L108" s="25" t="s">
        <v>1797</v>
      </c>
      <c r="M108" s="25" t="s">
        <v>4151</v>
      </c>
      <c r="N108" s="25" t="str">
        <f>VLOOKUP($M108,'records (3)'!$A:$C,2,FALSE)</f>
        <v>003IV000010tIe4YAE</v>
      </c>
      <c r="O108" s="25" t="s">
        <v>4152</v>
      </c>
      <c r="P108" s="25" t="s">
        <v>1797</v>
      </c>
      <c r="Q108" s="25" t="s">
        <v>3751</v>
      </c>
      <c r="R108" s="25" t="s">
        <v>1797</v>
      </c>
      <c r="S108" s="25" t="s">
        <v>3744</v>
      </c>
      <c r="T108" s="25" t="s">
        <v>1792</v>
      </c>
      <c r="V108" s="25" t="s">
        <v>1233</v>
      </c>
      <c r="X108" s="25" t="s">
        <v>1233</v>
      </c>
      <c r="Z108" s="25" t="s">
        <v>1797</v>
      </c>
    </row>
    <row r="109" spans="1:26">
      <c r="A109" s="25" t="s">
        <v>2117</v>
      </c>
      <c r="B109" s="25" t="s">
        <v>734</v>
      </c>
      <c r="C109" s="25" t="s">
        <v>2115</v>
      </c>
      <c r="D109" s="25" t="s">
        <v>1337</v>
      </c>
      <c r="E109" s="25" t="s">
        <v>1553</v>
      </c>
      <c r="G109" s="25" t="s">
        <v>2116</v>
      </c>
      <c r="H109" s="25">
        <v>30</v>
      </c>
      <c r="I109" s="25" t="s">
        <v>4153</v>
      </c>
      <c r="J109" s="25" t="str">
        <f>VLOOKUP(I109,'records (3)'!$A:$C,2,FALSE)</f>
        <v>003IV000010tQIIYA2</v>
      </c>
      <c r="K109" s="25" t="s">
        <v>4154</v>
      </c>
      <c r="L109" s="25" t="s">
        <v>2119</v>
      </c>
      <c r="M109" s="25" t="s">
        <v>4153</v>
      </c>
      <c r="N109" s="25" t="str">
        <f>VLOOKUP($M109,'records (3)'!$A:$C,2,FALSE)</f>
        <v>003IV000010tQIIYA2</v>
      </c>
      <c r="O109" s="25" t="s">
        <v>4154</v>
      </c>
      <c r="P109" s="25" t="s">
        <v>2119</v>
      </c>
      <c r="Q109" s="25" t="s">
        <v>3751</v>
      </c>
      <c r="R109" s="25" t="s">
        <v>2119</v>
      </c>
      <c r="S109" s="25" t="s">
        <v>3744</v>
      </c>
      <c r="T109" s="25" t="s">
        <v>2114</v>
      </c>
      <c r="V109" s="25" t="s">
        <v>1233</v>
      </c>
      <c r="X109" s="25" t="s">
        <v>1233</v>
      </c>
      <c r="Z109" s="25" t="s">
        <v>2119</v>
      </c>
    </row>
    <row r="110" spans="1:26">
      <c r="A110" s="25" t="s">
        <v>3490</v>
      </c>
      <c r="B110" s="25" t="s">
        <v>585</v>
      </c>
      <c r="C110" s="25" t="s">
        <v>3486</v>
      </c>
      <c r="E110" s="25" t="s">
        <v>3488</v>
      </c>
      <c r="G110" s="25" t="s">
        <v>3489</v>
      </c>
      <c r="H110" s="25">
        <v>30</v>
      </c>
      <c r="I110" s="25" t="s">
        <v>4155</v>
      </c>
      <c r="J110" s="25" t="str">
        <f>VLOOKUP(I110,'records (3)'!$A:$C,2,FALSE)</f>
        <v>003IV000010tIdoYAE</v>
      </c>
      <c r="K110" s="25" t="s">
        <v>4156</v>
      </c>
      <c r="L110" s="25" t="s">
        <v>4157</v>
      </c>
      <c r="M110" s="25" t="s">
        <v>4158</v>
      </c>
      <c r="N110" s="25" t="str">
        <f>VLOOKUP($M110,'records (3)'!$A:$C,2,FALSE)</f>
        <v>003IV000010tRWiYAM</v>
      </c>
      <c r="O110" s="25" t="s">
        <v>4159</v>
      </c>
      <c r="P110" s="25" t="s">
        <v>3492</v>
      </c>
      <c r="Q110" s="25" t="s">
        <v>3751</v>
      </c>
      <c r="R110" s="25" t="s">
        <v>3492</v>
      </c>
      <c r="S110" s="25" t="s">
        <v>3744</v>
      </c>
      <c r="T110" s="25" t="s">
        <v>3485</v>
      </c>
      <c r="U110" s="25" t="s">
        <v>3487</v>
      </c>
      <c r="V110" s="25" t="s">
        <v>1233</v>
      </c>
      <c r="X110" s="25" t="s">
        <v>1233</v>
      </c>
      <c r="Z110" s="25" t="s">
        <v>3492</v>
      </c>
    </row>
    <row r="111" spans="1:26">
      <c r="A111" s="25" t="s">
        <v>1636</v>
      </c>
      <c r="B111" s="25" t="s">
        <v>478</v>
      </c>
      <c r="C111" s="25" t="s">
        <v>1633</v>
      </c>
      <c r="E111" s="25" t="s">
        <v>1634</v>
      </c>
      <c r="G111" s="25" t="s">
        <v>1635</v>
      </c>
      <c r="H111" s="25">
        <v>30</v>
      </c>
      <c r="I111" s="25" t="s">
        <v>4160</v>
      </c>
      <c r="J111" s="25" t="str">
        <f>VLOOKUP(I111,'records (3)'!$A:$C,2,FALSE)</f>
        <v>003IV000010s6QxYAI</v>
      </c>
      <c r="K111" s="25" t="s">
        <v>4161</v>
      </c>
      <c r="L111" s="25" t="s">
        <v>4162</v>
      </c>
      <c r="M111" s="25" t="s">
        <v>4160</v>
      </c>
      <c r="N111" s="25" t="str">
        <f>VLOOKUP($M111,'records (3)'!$A:$C,2,FALSE)</f>
        <v>003IV000010s6QxYAI</v>
      </c>
      <c r="O111" s="25" t="s">
        <v>4161</v>
      </c>
      <c r="P111" s="25" t="s">
        <v>4162</v>
      </c>
      <c r="Q111" s="25" t="s">
        <v>3751</v>
      </c>
      <c r="R111" s="25" t="s">
        <v>1638</v>
      </c>
      <c r="S111" s="25" t="s">
        <v>3744</v>
      </c>
      <c r="T111" s="25" t="s">
        <v>1632</v>
      </c>
      <c r="V111" s="25" t="s">
        <v>1233</v>
      </c>
      <c r="X111" s="25" t="s">
        <v>1233</v>
      </c>
      <c r="Z111" s="25" t="s">
        <v>1638</v>
      </c>
    </row>
    <row r="112" spans="1:26">
      <c r="A112" s="25" t="s">
        <v>2421</v>
      </c>
      <c r="B112" s="25" t="s">
        <v>861</v>
      </c>
      <c r="C112" s="25" t="s">
        <v>2417</v>
      </c>
      <c r="D112" s="25" t="s">
        <v>1337</v>
      </c>
      <c r="E112" s="25" t="s">
        <v>2419</v>
      </c>
      <c r="G112" s="25" t="s">
        <v>2420</v>
      </c>
      <c r="H112" s="25">
        <v>30</v>
      </c>
      <c r="I112" s="25" t="s">
        <v>4163</v>
      </c>
      <c r="J112" s="25" t="str">
        <f>VLOOKUP(I112,'records (3)'!$A:$C,2,FALSE)</f>
        <v>003IV000010scriYAA</v>
      </c>
      <c r="K112" s="25" t="s">
        <v>4164</v>
      </c>
      <c r="L112" s="25" t="s">
        <v>4165</v>
      </c>
      <c r="M112" s="25" t="s">
        <v>4163</v>
      </c>
      <c r="N112" s="25" t="str">
        <f>VLOOKUP($M112,'records (3)'!$A:$C,2,FALSE)</f>
        <v>003IV000010scriYAA</v>
      </c>
      <c r="O112" s="25" t="s">
        <v>4164</v>
      </c>
      <c r="P112" s="25" t="s">
        <v>4165</v>
      </c>
      <c r="Q112" s="25" t="s">
        <v>3751</v>
      </c>
      <c r="R112" s="25" t="s">
        <v>2406</v>
      </c>
      <c r="S112" s="25" t="s">
        <v>3744</v>
      </c>
      <c r="T112" s="25" t="s">
        <v>2416</v>
      </c>
      <c r="U112" s="25" t="s">
        <v>4166</v>
      </c>
      <c r="V112" s="25" t="s">
        <v>1233</v>
      </c>
      <c r="X112" s="25" t="s">
        <v>1233</v>
      </c>
      <c r="Z112" s="25" t="s">
        <v>2406</v>
      </c>
    </row>
    <row r="113" spans="1:26">
      <c r="A113" s="25" t="s">
        <v>2052</v>
      </c>
      <c r="B113" s="25" t="s">
        <v>323</v>
      </c>
      <c r="C113" s="25" t="s">
        <v>1249</v>
      </c>
      <c r="D113" s="25" t="s">
        <v>1337</v>
      </c>
      <c r="E113" s="25" t="s">
        <v>2050</v>
      </c>
      <c r="G113" s="25" t="s">
        <v>2051</v>
      </c>
      <c r="H113" s="25">
        <v>30</v>
      </c>
      <c r="I113" s="25" t="s">
        <v>4167</v>
      </c>
      <c r="J113" s="25" t="str">
        <f>VLOOKUP(I113,'records (3)'!$A:$C,2,FALSE)</f>
        <v>003IV000010s6QyYAI</v>
      </c>
      <c r="K113" s="25" t="s">
        <v>4168</v>
      </c>
      <c r="L113" s="25" t="s">
        <v>2054</v>
      </c>
      <c r="M113" s="25" t="s">
        <v>4167</v>
      </c>
      <c r="N113" s="25" t="str">
        <f>VLOOKUP($M113,'records (3)'!$A:$C,2,FALSE)</f>
        <v>003IV000010s6QyYAI</v>
      </c>
      <c r="O113" s="25" t="s">
        <v>4168</v>
      </c>
      <c r="P113" s="25" t="s">
        <v>2054</v>
      </c>
      <c r="Q113" s="25" t="s">
        <v>3751</v>
      </c>
      <c r="R113" s="25" t="s">
        <v>2054</v>
      </c>
      <c r="S113" s="25" t="s">
        <v>3744</v>
      </c>
      <c r="T113" s="25" t="s">
        <v>2049</v>
      </c>
      <c r="V113" s="25" t="s">
        <v>1233</v>
      </c>
      <c r="X113" s="25" t="s">
        <v>1233</v>
      </c>
      <c r="Z113" s="25" t="s">
        <v>2054</v>
      </c>
    </row>
    <row r="114" spans="1:26">
      <c r="A114" s="25" t="s">
        <v>1364</v>
      </c>
      <c r="B114" s="25" t="s">
        <v>4169</v>
      </c>
      <c r="C114" s="25" t="s">
        <v>1361</v>
      </c>
      <c r="D114" s="25" t="s">
        <v>1337</v>
      </c>
      <c r="E114" s="25" t="s">
        <v>1362</v>
      </c>
      <c r="G114" s="25" t="s">
        <v>1363</v>
      </c>
      <c r="H114" s="25">
        <v>30</v>
      </c>
      <c r="I114" s="25" t="s">
        <v>4170</v>
      </c>
      <c r="J114" s="25" t="str">
        <f>VLOOKUP(I114,'records (3)'!$A:$C,2,FALSE)</f>
        <v>003IV000010t1XAYAY</v>
      </c>
      <c r="K114" s="25" t="s">
        <v>4171</v>
      </c>
      <c r="L114" s="25" t="s">
        <v>4172</v>
      </c>
      <c r="M114" s="25" t="s">
        <v>4170</v>
      </c>
      <c r="N114" s="25" t="str">
        <f>VLOOKUP($M114,'records (3)'!$A:$C,2,FALSE)</f>
        <v>003IV000010t1XAYAY</v>
      </c>
      <c r="O114" s="25" t="s">
        <v>4171</v>
      </c>
      <c r="P114" s="25" t="s">
        <v>4172</v>
      </c>
      <c r="Q114" s="25" t="s">
        <v>3751</v>
      </c>
      <c r="R114" s="25" t="s">
        <v>1366</v>
      </c>
      <c r="S114" s="25" t="s">
        <v>3744</v>
      </c>
      <c r="T114" s="25" t="s">
        <v>1360</v>
      </c>
      <c r="V114" s="25" t="s">
        <v>1233</v>
      </c>
      <c r="X114" s="25" t="s">
        <v>1233</v>
      </c>
      <c r="Z114" s="25" t="s">
        <v>1366</v>
      </c>
    </row>
    <row r="115" spans="1:26">
      <c r="A115" s="25" t="s">
        <v>3084</v>
      </c>
      <c r="B115" s="25" t="s">
        <v>761</v>
      </c>
      <c r="C115" s="25" t="s">
        <v>3081</v>
      </c>
      <c r="D115" s="25" t="s">
        <v>1337</v>
      </c>
      <c r="E115" s="25" t="s">
        <v>3082</v>
      </c>
      <c r="G115" s="25" t="s">
        <v>3083</v>
      </c>
      <c r="H115" s="25">
        <v>30</v>
      </c>
      <c r="I115" s="25" t="s">
        <v>4173</v>
      </c>
      <c r="J115" s="25" t="str">
        <f>VLOOKUP(I115,'records (3)'!$A:$C,2,FALSE)</f>
        <v>003IV000010tRUFYA2</v>
      </c>
      <c r="K115" s="25" t="s">
        <v>4174</v>
      </c>
      <c r="L115" s="25" t="s">
        <v>3086</v>
      </c>
      <c r="M115" s="25" t="s">
        <v>4175</v>
      </c>
      <c r="N115" s="25" t="str">
        <f>VLOOKUP($M115,'records (3)'!$A:$C,2,FALSE)</f>
        <v>003IV000010tIiVYAU</v>
      </c>
      <c r="O115" s="25" t="s">
        <v>4176</v>
      </c>
      <c r="P115" s="25" t="s">
        <v>4177</v>
      </c>
      <c r="Q115" s="25" t="s">
        <v>3751</v>
      </c>
      <c r="R115" s="25" t="s">
        <v>3086</v>
      </c>
      <c r="S115" s="25" t="s">
        <v>3744</v>
      </c>
      <c r="T115" s="25" t="s">
        <v>3080</v>
      </c>
      <c r="V115" s="25" t="s">
        <v>1233</v>
      </c>
      <c r="X115" s="25" t="s">
        <v>1233</v>
      </c>
      <c r="Z115" s="25" t="s">
        <v>3086</v>
      </c>
    </row>
    <row r="116" spans="1:26">
      <c r="A116" s="25" t="s">
        <v>2824</v>
      </c>
      <c r="B116" s="25" t="s">
        <v>875</v>
      </c>
      <c r="C116" s="25" t="s">
        <v>2821</v>
      </c>
      <c r="D116" s="25" t="s">
        <v>1337</v>
      </c>
      <c r="E116" s="25" t="s">
        <v>2822</v>
      </c>
      <c r="G116" s="25" t="s">
        <v>2823</v>
      </c>
      <c r="H116" s="25">
        <v>30</v>
      </c>
      <c r="I116" s="25" t="s">
        <v>4178</v>
      </c>
      <c r="J116" s="25" t="str">
        <f>VLOOKUP(I116,'records (3)'!$A:$C,2,FALSE)</f>
        <v>003IV000010tRWkYAM</v>
      </c>
      <c r="K116" s="25" t="s">
        <v>4179</v>
      </c>
      <c r="L116" s="25" t="s">
        <v>2826</v>
      </c>
      <c r="M116" s="25" t="s">
        <v>4178</v>
      </c>
      <c r="N116" s="25" t="str">
        <f>VLOOKUP($M116,'records (3)'!$A:$C,2,FALSE)</f>
        <v>003IV000010tRWkYAM</v>
      </c>
      <c r="O116" s="25" t="s">
        <v>4179</v>
      </c>
      <c r="P116" s="25" t="s">
        <v>2826</v>
      </c>
      <c r="Q116" s="25" t="s">
        <v>3751</v>
      </c>
      <c r="R116" s="25" t="s">
        <v>2826</v>
      </c>
      <c r="S116" s="25" t="s">
        <v>3744</v>
      </c>
      <c r="T116" s="25" t="s">
        <v>2820</v>
      </c>
      <c r="U116" s="25" t="s">
        <v>1847</v>
      </c>
      <c r="V116" s="25" t="s">
        <v>1233</v>
      </c>
      <c r="X116" s="25" t="s">
        <v>1233</v>
      </c>
      <c r="Z116" s="25" t="s">
        <v>2826</v>
      </c>
    </row>
    <row r="117" spans="1:26">
      <c r="A117" s="25" t="s">
        <v>2778</v>
      </c>
      <c r="B117" s="25" t="s">
        <v>1044</v>
      </c>
      <c r="C117" s="25" t="s">
        <v>2775</v>
      </c>
      <c r="D117" s="25" t="s">
        <v>1337</v>
      </c>
      <c r="E117" s="25" t="s">
        <v>4180</v>
      </c>
      <c r="G117" s="25" t="s">
        <v>2777</v>
      </c>
      <c r="H117" s="25">
        <v>30</v>
      </c>
      <c r="I117" s="25" t="s">
        <v>4181</v>
      </c>
      <c r="J117" s="25" t="str">
        <f>VLOOKUP(I117,'records (3)'!$A:$C,2,FALSE)</f>
        <v>003IV000010tRdYYAU</v>
      </c>
      <c r="K117" s="25" t="s">
        <v>4182</v>
      </c>
      <c r="L117" s="25" t="s">
        <v>2780</v>
      </c>
      <c r="M117" s="25" t="s">
        <v>4181</v>
      </c>
      <c r="N117" s="25" t="str">
        <f>VLOOKUP($M117,'records (3)'!$A:$C,2,FALSE)</f>
        <v>003IV000010tRdYYAU</v>
      </c>
      <c r="O117" s="25" t="s">
        <v>4182</v>
      </c>
      <c r="P117" s="25" t="s">
        <v>2780</v>
      </c>
      <c r="Q117" s="25" t="s">
        <v>3751</v>
      </c>
      <c r="R117" s="25" t="s">
        <v>2780</v>
      </c>
      <c r="S117" s="25" t="s">
        <v>3744</v>
      </c>
      <c r="T117" s="25" t="s">
        <v>2774</v>
      </c>
      <c r="V117" s="25" t="s">
        <v>1233</v>
      </c>
      <c r="X117" s="25" t="s">
        <v>1233</v>
      </c>
      <c r="Z117" s="25" t="s">
        <v>2780</v>
      </c>
    </row>
    <row r="118" spans="1:26">
      <c r="A118" s="25" t="s">
        <v>2737</v>
      </c>
      <c r="B118" s="25" t="s">
        <v>14</v>
      </c>
      <c r="C118" s="25" t="s">
        <v>1454</v>
      </c>
      <c r="D118" s="25" t="s">
        <v>1337</v>
      </c>
      <c r="E118" s="25" t="s">
        <v>1455</v>
      </c>
      <c r="G118" s="25" t="s">
        <v>1456</v>
      </c>
      <c r="H118" s="25">
        <v>30</v>
      </c>
      <c r="I118" s="25" t="s">
        <v>4183</v>
      </c>
      <c r="J118" s="25" t="str">
        <f>VLOOKUP(I118,'records (3)'!$A:$C,2,FALSE)</f>
        <v>003IV000010tJZXYA2</v>
      </c>
      <c r="K118" s="25" t="s">
        <v>4184</v>
      </c>
      <c r="L118" s="25" t="s">
        <v>4185</v>
      </c>
      <c r="M118" s="25" t="s">
        <v>4183</v>
      </c>
      <c r="N118" s="25" t="str">
        <f>VLOOKUP($M118,'records (3)'!$A:$C,2,FALSE)</f>
        <v>003IV000010tJZXYA2</v>
      </c>
      <c r="O118" s="25" t="s">
        <v>4184</v>
      </c>
      <c r="P118" s="25" t="s">
        <v>4185</v>
      </c>
      <c r="Q118" s="25" t="s">
        <v>3751</v>
      </c>
      <c r="R118" s="25" t="s">
        <v>2739</v>
      </c>
      <c r="S118" s="25" t="s">
        <v>3744</v>
      </c>
      <c r="T118" s="25" t="s">
        <v>2736</v>
      </c>
      <c r="V118" s="25" t="s">
        <v>1233</v>
      </c>
      <c r="X118" s="25" t="s">
        <v>1233</v>
      </c>
      <c r="Z118" s="25" t="s">
        <v>2739</v>
      </c>
    </row>
    <row r="119" spans="1:26">
      <c r="A119" s="25" t="s">
        <v>1728</v>
      </c>
      <c r="B119" s="25" t="s">
        <v>27</v>
      </c>
      <c r="C119" s="25" t="s">
        <v>1725</v>
      </c>
      <c r="D119" s="25" t="s">
        <v>1337</v>
      </c>
      <c r="E119" s="25" t="s">
        <v>1726</v>
      </c>
      <c r="G119" s="25" t="s">
        <v>1727</v>
      </c>
      <c r="H119" s="25">
        <v>30</v>
      </c>
      <c r="I119" s="25" t="s">
        <v>4186</v>
      </c>
      <c r="J119" s="25" t="str">
        <f>VLOOKUP(I119,'records (3)'!$A:$C,2,FALSE)</f>
        <v>003IV000010tJZVYA2</v>
      </c>
      <c r="K119" s="25" t="s">
        <v>4187</v>
      </c>
      <c r="L119" s="25" t="s">
        <v>1730</v>
      </c>
      <c r="M119" s="25" t="s">
        <v>4186</v>
      </c>
      <c r="N119" s="25" t="str">
        <f>VLOOKUP($M119,'records (3)'!$A:$C,2,FALSE)</f>
        <v>003IV000010tJZVYA2</v>
      </c>
      <c r="O119" s="25" t="s">
        <v>4187</v>
      </c>
      <c r="P119" s="25" t="s">
        <v>1730</v>
      </c>
      <c r="Q119" s="25" t="s">
        <v>3751</v>
      </c>
      <c r="R119" s="25" t="s">
        <v>1730</v>
      </c>
      <c r="S119" s="25" t="s">
        <v>3744</v>
      </c>
      <c r="T119" s="25" t="s">
        <v>1724</v>
      </c>
      <c r="V119" s="25" t="s">
        <v>1233</v>
      </c>
      <c r="X119" s="25" t="s">
        <v>1233</v>
      </c>
      <c r="Z119" s="25" t="s">
        <v>1730</v>
      </c>
    </row>
    <row r="120" spans="1:26">
      <c r="A120" s="25" t="s">
        <v>2045</v>
      </c>
      <c r="B120" s="25" t="s">
        <v>201</v>
      </c>
      <c r="C120" s="25" t="s">
        <v>2042</v>
      </c>
      <c r="D120" s="25" t="s">
        <v>1337</v>
      </c>
      <c r="E120" s="25" t="s">
        <v>2043</v>
      </c>
      <c r="G120" s="25" t="s">
        <v>2044</v>
      </c>
      <c r="H120" s="25">
        <v>30</v>
      </c>
      <c r="I120" s="25" t="s">
        <v>4188</v>
      </c>
      <c r="J120" s="25" t="str">
        <f>VLOOKUP(I120,'records (3)'!$A:$C,2,FALSE)</f>
        <v>003IV000010tL9NYAU</v>
      </c>
      <c r="K120" s="25" t="s">
        <v>4189</v>
      </c>
      <c r="L120" s="25" t="s">
        <v>4190</v>
      </c>
      <c r="M120" s="25" t="s">
        <v>4191</v>
      </c>
      <c r="N120" s="25" t="str">
        <f>VLOOKUP($M120,'records (3)'!$A:$C,2,FALSE)</f>
        <v>003IV000010tRViYAM</v>
      </c>
      <c r="O120" s="25" t="s">
        <v>4192</v>
      </c>
      <c r="P120" s="25" t="s">
        <v>2047</v>
      </c>
      <c r="Q120" s="25" t="s">
        <v>3751</v>
      </c>
      <c r="R120" s="25" t="s">
        <v>2047</v>
      </c>
      <c r="S120" s="25" t="s">
        <v>3744</v>
      </c>
      <c r="T120" s="25" t="s">
        <v>2041</v>
      </c>
      <c r="V120" s="25" t="s">
        <v>1233</v>
      </c>
      <c r="X120" s="25" t="s">
        <v>1233</v>
      </c>
      <c r="Z120" s="25" t="s">
        <v>2047</v>
      </c>
    </row>
    <row r="121" spans="1:26">
      <c r="A121" s="25" t="s">
        <v>2320</v>
      </c>
      <c r="B121" s="25" t="s">
        <v>361</v>
      </c>
      <c r="C121" s="25" t="s">
        <v>2317</v>
      </c>
      <c r="D121" s="25" t="s">
        <v>1337</v>
      </c>
      <c r="E121" s="25" t="s">
        <v>2318</v>
      </c>
      <c r="G121" s="25" t="s">
        <v>2319</v>
      </c>
      <c r="H121" s="25">
        <v>30</v>
      </c>
      <c r="I121" s="25" t="s">
        <v>4193</v>
      </c>
      <c r="J121" s="25" t="str">
        <f>VLOOKUP(I121,'records (3)'!$A:$C,2,FALSE)</f>
        <v>003IV000010t4BOYAY</v>
      </c>
      <c r="K121" s="25" t="s">
        <v>4194</v>
      </c>
      <c r="L121" s="25" t="s">
        <v>2322</v>
      </c>
      <c r="M121" s="25" t="s">
        <v>4193</v>
      </c>
      <c r="N121" s="25" t="str">
        <f>VLOOKUP($M121,'records (3)'!$A:$C,2,FALSE)</f>
        <v>003IV000010t4BOYAY</v>
      </c>
      <c r="O121" s="25" t="s">
        <v>4194</v>
      </c>
      <c r="P121" s="25" t="s">
        <v>2322</v>
      </c>
      <c r="Q121" s="25" t="s">
        <v>3751</v>
      </c>
      <c r="R121" s="25" t="s">
        <v>2322</v>
      </c>
      <c r="S121" s="25" t="s">
        <v>3744</v>
      </c>
      <c r="T121" s="25" t="s">
        <v>2316</v>
      </c>
      <c r="V121" s="25" t="s">
        <v>1233</v>
      </c>
      <c r="X121" s="25" t="s">
        <v>1233</v>
      </c>
      <c r="Z121" s="25" t="s">
        <v>2322</v>
      </c>
    </row>
    <row r="122" spans="1:26">
      <c r="A122" s="25" t="s">
        <v>1267</v>
      </c>
      <c r="B122" s="25" t="s">
        <v>72</v>
      </c>
      <c r="C122" s="25" t="s">
        <v>3554</v>
      </c>
      <c r="D122" s="25" t="s">
        <v>1337</v>
      </c>
      <c r="E122" s="25" t="s">
        <v>3556</v>
      </c>
      <c r="G122" s="25" t="s">
        <v>3557</v>
      </c>
      <c r="H122" s="25">
        <v>30</v>
      </c>
      <c r="I122" s="25" t="s">
        <v>4195</v>
      </c>
      <c r="J122" s="25" t="str">
        <f>VLOOKUP(I122,'records (3)'!$A:$C,2,FALSE)</f>
        <v>003IV000010su8YYAQ</v>
      </c>
      <c r="K122" s="25" t="s">
        <v>4196</v>
      </c>
      <c r="L122" s="25" t="s">
        <v>4197</v>
      </c>
      <c r="M122" s="25" t="s">
        <v>4195</v>
      </c>
      <c r="N122" s="25" t="str">
        <f>VLOOKUP($M122,'records (3)'!$A:$C,2,FALSE)</f>
        <v>003IV000010su8YYAQ</v>
      </c>
      <c r="O122" s="25" t="s">
        <v>4196</v>
      </c>
      <c r="P122" s="25" t="s">
        <v>4197</v>
      </c>
      <c r="Q122" s="25" t="s">
        <v>3751</v>
      </c>
      <c r="R122" s="25" t="s">
        <v>3559</v>
      </c>
      <c r="S122" s="25" t="s">
        <v>3744</v>
      </c>
      <c r="T122" s="25" t="s">
        <v>3553</v>
      </c>
      <c r="U122" s="25" t="s">
        <v>3555</v>
      </c>
      <c r="V122" s="25" t="s">
        <v>1233</v>
      </c>
      <c r="X122" s="25" t="s">
        <v>1233</v>
      </c>
      <c r="Z122" s="25" t="s">
        <v>3559</v>
      </c>
    </row>
    <row r="123" spans="1:26">
      <c r="A123" s="25" t="s">
        <v>1268</v>
      </c>
      <c r="B123" s="25" t="s">
        <v>940</v>
      </c>
      <c r="C123" s="25" t="s">
        <v>1698</v>
      </c>
      <c r="D123" s="25" t="s">
        <v>1337</v>
      </c>
      <c r="E123" s="25" t="s">
        <v>1699</v>
      </c>
      <c r="G123" s="25" t="s">
        <v>1841</v>
      </c>
      <c r="H123" s="25">
        <v>30</v>
      </c>
      <c r="I123" s="25" t="s">
        <v>4198</v>
      </c>
      <c r="J123" s="25" t="str">
        <f>VLOOKUP(I123,'records (3)'!$A:$C,2,FALSE)</f>
        <v>003IV000010tJXYYA2</v>
      </c>
      <c r="K123" s="25" t="s">
        <v>4199</v>
      </c>
      <c r="L123" s="25" t="s">
        <v>4200</v>
      </c>
      <c r="M123" s="25" t="s">
        <v>4198</v>
      </c>
      <c r="N123" s="25" t="str">
        <f>VLOOKUP($M123,'records (3)'!$A:$C,2,FALSE)</f>
        <v>003IV000010tJXYYA2</v>
      </c>
      <c r="O123" s="25" t="s">
        <v>4199</v>
      </c>
      <c r="P123" s="25" t="s">
        <v>4200</v>
      </c>
      <c r="Q123" s="25" t="s">
        <v>3751</v>
      </c>
      <c r="R123" s="25" t="s">
        <v>1843</v>
      </c>
      <c r="S123" s="25" t="s">
        <v>3744</v>
      </c>
      <c r="T123" s="25" t="s">
        <v>1839</v>
      </c>
      <c r="U123" s="25" t="s">
        <v>1840</v>
      </c>
      <c r="V123" s="25" t="s">
        <v>1233</v>
      </c>
      <c r="X123" s="25" t="s">
        <v>1233</v>
      </c>
      <c r="Z123" s="25" t="s">
        <v>1843</v>
      </c>
    </row>
    <row r="124" spans="1:26">
      <c r="A124" s="25" t="s">
        <v>1913</v>
      </c>
      <c r="B124" s="25" t="s">
        <v>1010</v>
      </c>
      <c r="C124" s="25" t="s">
        <v>1910</v>
      </c>
      <c r="D124" s="25" t="s">
        <v>1337</v>
      </c>
      <c r="E124" s="25" t="s">
        <v>1911</v>
      </c>
      <c r="G124" s="25" t="s">
        <v>1912</v>
      </c>
      <c r="H124" s="25">
        <v>30</v>
      </c>
      <c r="I124" s="25" t="s">
        <v>4201</v>
      </c>
      <c r="J124" s="25" t="str">
        <f>VLOOKUP(I124,'records (3)'!$A:$C,2,FALSE)</f>
        <v>003IV000010tRW7YAM</v>
      </c>
      <c r="K124" s="25" t="s">
        <v>4202</v>
      </c>
      <c r="L124" s="25" t="s">
        <v>4203</v>
      </c>
      <c r="M124" s="25" t="s">
        <v>4201</v>
      </c>
      <c r="N124" s="25" t="str">
        <f>VLOOKUP($M124,'records (3)'!$A:$C,2,FALSE)</f>
        <v>003IV000010tRW7YAM</v>
      </c>
      <c r="O124" s="25" t="s">
        <v>4202</v>
      </c>
      <c r="P124" s="25" t="s">
        <v>4203</v>
      </c>
      <c r="Q124" s="25" t="s">
        <v>3751</v>
      </c>
      <c r="R124" s="25" t="s">
        <v>1915</v>
      </c>
      <c r="S124" s="25" t="s">
        <v>3744</v>
      </c>
      <c r="T124" s="25" t="s">
        <v>1909</v>
      </c>
      <c r="V124" s="25" t="s">
        <v>1233</v>
      </c>
      <c r="X124" s="25" t="s">
        <v>1233</v>
      </c>
      <c r="Z124" s="25" t="s">
        <v>1915</v>
      </c>
    </row>
    <row r="125" spans="1:26">
      <c r="A125" s="25" t="s">
        <v>2370</v>
      </c>
      <c r="B125" s="25" t="s">
        <v>503</v>
      </c>
      <c r="C125" s="25" t="s">
        <v>2366</v>
      </c>
      <c r="D125" s="25" t="s">
        <v>1337</v>
      </c>
      <c r="E125" s="25" t="s">
        <v>2368</v>
      </c>
      <c r="G125" s="25" t="s">
        <v>2369</v>
      </c>
      <c r="H125" s="25">
        <v>30</v>
      </c>
      <c r="I125" s="25" t="s">
        <v>4204</v>
      </c>
      <c r="J125" s="25" t="str">
        <f>VLOOKUP(I125,'records (3)'!$A:$C,2,FALSE)</f>
        <v>003IV000010tIiUYAU</v>
      </c>
      <c r="K125" s="25" t="s">
        <v>4205</v>
      </c>
      <c r="L125" s="25" t="s">
        <v>2372</v>
      </c>
      <c r="M125" s="25" t="s">
        <v>4204</v>
      </c>
      <c r="N125" s="25" t="str">
        <f>VLOOKUP($M125,'records (3)'!$A:$C,2,FALSE)</f>
        <v>003IV000010tIiUYAU</v>
      </c>
      <c r="O125" s="25" t="s">
        <v>4205</v>
      </c>
      <c r="P125" s="25" t="s">
        <v>2372</v>
      </c>
      <c r="Q125" s="25" t="s">
        <v>3751</v>
      </c>
      <c r="R125" s="25" t="s">
        <v>2372</v>
      </c>
      <c r="S125" s="25" t="s">
        <v>3744</v>
      </c>
      <c r="T125" s="25" t="s">
        <v>2365</v>
      </c>
      <c r="U125" s="25" t="s">
        <v>2367</v>
      </c>
      <c r="V125" s="25" t="s">
        <v>1233</v>
      </c>
      <c r="X125" s="25" t="s">
        <v>1233</v>
      </c>
      <c r="Z125" s="25" t="s">
        <v>2372</v>
      </c>
    </row>
    <row r="126" spans="1:26">
      <c r="A126" s="25" t="s">
        <v>3466</v>
      </c>
      <c r="B126" s="25" t="s">
        <v>915</v>
      </c>
      <c r="C126" s="25" t="s">
        <v>3463</v>
      </c>
      <c r="E126" s="25" t="s">
        <v>3464</v>
      </c>
      <c r="G126" s="25" t="s">
        <v>3465</v>
      </c>
      <c r="H126" s="25">
        <v>30</v>
      </c>
      <c r="I126" s="25" t="s">
        <v>4206</v>
      </c>
      <c r="J126" s="25" t="str">
        <f>VLOOKUP(I126,'records (3)'!$A:$C,2,FALSE)</f>
        <v>003IV000010tPaUYAU</v>
      </c>
      <c r="K126" s="25" t="s">
        <v>4207</v>
      </c>
      <c r="L126" s="25" t="s">
        <v>4208</v>
      </c>
      <c r="M126" s="25" t="s">
        <v>4206</v>
      </c>
      <c r="N126" s="25" t="str">
        <f>VLOOKUP($M126,'records (3)'!$A:$C,2,FALSE)</f>
        <v>003IV000010tPaUYAU</v>
      </c>
      <c r="O126" s="25" t="s">
        <v>4207</v>
      </c>
      <c r="P126" s="25" t="s">
        <v>4208</v>
      </c>
      <c r="Q126" s="25" t="s">
        <v>3751</v>
      </c>
      <c r="R126" s="25" t="s">
        <v>3468</v>
      </c>
      <c r="S126" s="25" t="s">
        <v>3744</v>
      </c>
      <c r="T126" s="25" t="s">
        <v>3462</v>
      </c>
      <c r="V126" s="25" t="s">
        <v>1233</v>
      </c>
      <c r="X126" s="25" t="s">
        <v>1233</v>
      </c>
      <c r="Z126" s="25" t="s">
        <v>3468</v>
      </c>
    </row>
    <row r="127" spans="1:26">
      <c r="A127" s="25" t="s">
        <v>1269</v>
      </c>
      <c r="B127" s="25" t="s">
        <v>1270</v>
      </c>
      <c r="C127" s="25" t="s">
        <v>2383</v>
      </c>
      <c r="D127" s="25" t="s">
        <v>1337</v>
      </c>
      <c r="E127" s="25" t="s">
        <v>2384</v>
      </c>
      <c r="G127" s="25" t="s">
        <v>2385</v>
      </c>
      <c r="H127" s="25">
        <v>30</v>
      </c>
      <c r="I127" s="25" t="s">
        <v>4209</v>
      </c>
      <c r="J127" s="25" t="str">
        <f>VLOOKUP(I127,'records (3)'!$A:$C,2,FALSE)</f>
        <v>003IV000010sqKfYAI</v>
      </c>
      <c r="K127" s="25" t="s">
        <v>4210</v>
      </c>
      <c r="L127" s="25" t="s">
        <v>4211</v>
      </c>
      <c r="M127" s="25" t="s">
        <v>4209</v>
      </c>
      <c r="N127" s="25" t="str">
        <f>VLOOKUP($M127,'records (3)'!$A:$C,2,FALSE)</f>
        <v>003IV000010sqKfYAI</v>
      </c>
      <c r="O127" s="25" t="s">
        <v>4210</v>
      </c>
      <c r="P127" s="25" t="s">
        <v>4211</v>
      </c>
      <c r="Q127" s="25" t="s">
        <v>3751</v>
      </c>
      <c r="R127" s="25" t="s">
        <v>2387</v>
      </c>
      <c r="S127" s="25" t="s">
        <v>3744</v>
      </c>
      <c r="T127" s="25" t="s">
        <v>2382</v>
      </c>
      <c r="U127" s="25" t="s">
        <v>1425</v>
      </c>
      <c r="V127" s="25" t="s">
        <v>1233</v>
      </c>
      <c r="X127" s="25" t="s">
        <v>1233</v>
      </c>
      <c r="Z127" s="25" t="s">
        <v>2387</v>
      </c>
    </row>
    <row r="128" spans="1:26">
      <c r="A128" s="25" t="s">
        <v>1395</v>
      </c>
      <c r="B128" s="25" t="s">
        <v>723</v>
      </c>
      <c r="C128" s="25" t="s">
        <v>1392</v>
      </c>
      <c r="D128" s="25" t="s">
        <v>1337</v>
      </c>
      <c r="E128" s="25" t="s">
        <v>1393</v>
      </c>
      <c r="G128" s="25" t="s">
        <v>1394</v>
      </c>
      <c r="H128" s="25">
        <v>30</v>
      </c>
      <c r="I128" s="25" t="s">
        <v>4212</v>
      </c>
      <c r="J128" s="25" t="str">
        <f>VLOOKUP(I128,'records (3)'!$A:$C,2,FALSE)</f>
        <v>003IV000010sxGoYAI</v>
      </c>
      <c r="K128" s="25" t="s">
        <v>4213</v>
      </c>
      <c r="L128" s="25" t="s">
        <v>4214</v>
      </c>
      <c r="M128" s="25" t="s">
        <v>4215</v>
      </c>
      <c r="N128" s="25" t="str">
        <f>VLOOKUP($M128,'records (3)'!$A:$C,2,FALSE)</f>
        <v>003IV000010tIdmYAE</v>
      </c>
      <c r="O128" s="25" t="s">
        <v>4216</v>
      </c>
      <c r="P128" s="25" t="s">
        <v>4217</v>
      </c>
      <c r="Q128" s="25" t="s">
        <v>3751</v>
      </c>
      <c r="R128" s="25" t="s">
        <v>1397</v>
      </c>
      <c r="S128" s="25" t="s">
        <v>3744</v>
      </c>
      <c r="T128" s="25" t="s">
        <v>1391</v>
      </c>
      <c r="V128" s="25" t="s">
        <v>1233</v>
      </c>
      <c r="X128" s="25" t="s">
        <v>1233</v>
      </c>
      <c r="Z128" s="25" t="s">
        <v>1397</v>
      </c>
    </row>
    <row r="129" spans="1:26">
      <c r="A129" s="25" t="s">
        <v>1938</v>
      </c>
      <c r="B129" s="25" t="s">
        <v>331</v>
      </c>
      <c r="C129" s="25" t="s">
        <v>1935</v>
      </c>
      <c r="D129" s="25" t="s">
        <v>1337</v>
      </c>
      <c r="E129" s="25" t="s">
        <v>1936</v>
      </c>
      <c r="G129" s="25" t="s">
        <v>1937</v>
      </c>
      <c r="H129" s="25">
        <v>30</v>
      </c>
      <c r="I129" s="25" t="s">
        <v>4218</v>
      </c>
      <c r="J129" s="25" t="str">
        <f>VLOOKUP(I129,'records (3)'!$A:$C,2,FALSE)</f>
        <v>003IV000010tRWmYAM</v>
      </c>
      <c r="K129" s="25" t="s">
        <v>4219</v>
      </c>
      <c r="L129" s="25" t="s">
        <v>4220</v>
      </c>
      <c r="M129" s="25" t="s">
        <v>4218</v>
      </c>
      <c r="N129" s="25" t="str">
        <f>VLOOKUP($M129,'records (3)'!$A:$C,2,FALSE)</f>
        <v>003IV000010tRWmYAM</v>
      </c>
      <c r="O129" s="25" t="s">
        <v>4219</v>
      </c>
      <c r="P129" s="25" t="s">
        <v>4220</v>
      </c>
      <c r="Q129" s="25" t="s">
        <v>3751</v>
      </c>
      <c r="R129" s="25" t="s">
        <v>1940</v>
      </c>
      <c r="S129" s="25" t="s">
        <v>3744</v>
      </c>
      <c r="T129" s="25" t="s">
        <v>1934</v>
      </c>
      <c r="V129" s="25" t="s">
        <v>1233</v>
      </c>
      <c r="X129" s="25" t="s">
        <v>1233</v>
      </c>
      <c r="Z129" s="25" t="s">
        <v>1940</v>
      </c>
    </row>
    <row r="130" spans="1:26">
      <c r="A130" s="25" t="s">
        <v>2522</v>
      </c>
      <c r="B130" s="25" t="s">
        <v>496</v>
      </c>
      <c r="C130" s="25" t="s">
        <v>2519</v>
      </c>
      <c r="D130" s="25" t="s">
        <v>1337</v>
      </c>
      <c r="E130" s="25" t="s">
        <v>2520</v>
      </c>
      <c r="G130" s="25" t="s">
        <v>2521</v>
      </c>
      <c r="H130" s="25">
        <v>30</v>
      </c>
      <c r="I130" s="25" t="s">
        <v>4221</v>
      </c>
      <c r="J130" s="25" t="str">
        <f>VLOOKUP(I130,'records (3)'!$A:$C,2,FALSE)</f>
        <v>003IV000010tPaOYAU</v>
      </c>
      <c r="K130" s="25" t="s">
        <v>4222</v>
      </c>
      <c r="L130" s="25" t="s">
        <v>4223</v>
      </c>
      <c r="M130" s="25" t="s">
        <v>4224</v>
      </c>
      <c r="N130" s="25" t="str">
        <f>VLOOKUP($M130,'records (3)'!$A:$C,2,FALSE)</f>
        <v>003IV000010tPaPYAU</v>
      </c>
      <c r="O130" s="25" t="s">
        <v>4225</v>
      </c>
      <c r="P130" s="25" t="s">
        <v>2524</v>
      </c>
      <c r="Q130" s="25" t="s">
        <v>3751</v>
      </c>
      <c r="R130" s="25" t="s">
        <v>2524</v>
      </c>
      <c r="S130" s="25" t="s">
        <v>3744</v>
      </c>
      <c r="T130" s="25" t="s">
        <v>2518</v>
      </c>
      <c r="V130" s="25" t="s">
        <v>1233</v>
      </c>
      <c r="X130" s="25" t="s">
        <v>1233</v>
      </c>
      <c r="Z130" s="25" t="s">
        <v>2524</v>
      </c>
    </row>
    <row r="131" spans="1:26">
      <c r="A131" s="25" t="s">
        <v>2846</v>
      </c>
      <c r="B131" s="25" t="s">
        <v>769</v>
      </c>
      <c r="C131" s="25" t="s">
        <v>2843</v>
      </c>
      <c r="D131" s="25" t="s">
        <v>1337</v>
      </c>
      <c r="E131" s="25" t="s">
        <v>4226</v>
      </c>
      <c r="G131" s="25" t="s">
        <v>2845</v>
      </c>
      <c r="H131" s="25">
        <v>30</v>
      </c>
      <c r="I131" s="25" t="s">
        <v>4227</v>
      </c>
      <c r="J131" s="25" t="str">
        <f>VLOOKUP(I131,'records (3)'!$A:$C,2,FALSE)</f>
        <v>003IV000010rLDWYA2</v>
      </c>
      <c r="K131" s="25" t="s">
        <v>4228</v>
      </c>
      <c r="L131" s="25" t="s">
        <v>4229</v>
      </c>
      <c r="M131" s="25" t="s">
        <v>4227</v>
      </c>
      <c r="N131" s="25" t="str">
        <f>VLOOKUP($M131,'records (3)'!$A:$C,2,FALSE)</f>
        <v>003IV000010rLDWYA2</v>
      </c>
      <c r="O131" s="25" t="s">
        <v>4228</v>
      </c>
      <c r="P131" s="25" t="s">
        <v>4229</v>
      </c>
      <c r="Q131" s="25" t="s">
        <v>3751</v>
      </c>
      <c r="R131" s="25" t="s">
        <v>2848</v>
      </c>
      <c r="S131" s="25" t="s">
        <v>3744</v>
      </c>
      <c r="T131" s="25" t="s">
        <v>2842</v>
      </c>
      <c r="V131" s="25" t="s">
        <v>1233</v>
      </c>
      <c r="X131" s="25" t="s">
        <v>1233</v>
      </c>
      <c r="Z131" s="25" t="s">
        <v>2848</v>
      </c>
    </row>
    <row r="132" spans="1:26">
      <c r="A132" s="25" t="s">
        <v>3000</v>
      </c>
      <c r="B132" s="25" t="s">
        <v>79</v>
      </c>
      <c r="C132" s="25" t="s">
        <v>2998</v>
      </c>
      <c r="D132" s="25" t="s">
        <v>1337</v>
      </c>
      <c r="E132" s="25" t="s">
        <v>1903</v>
      </c>
      <c r="G132" s="25" t="s">
        <v>2999</v>
      </c>
      <c r="H132" s="25">
        <v>30</v>
      </c>
      <c r="I132" s="25" t="s">
        <v>4230</v>
      </c>
      <c r="J132" s="25" t="str">
        <f>VLOOKUP(I132,'records (3)'!$A:$C,2,FALSE)</f>
        <v>003IV000010su8JYAQ</v>
      </c>
      <c r="K132" s="25" t="s">
        <v>4231</v>
      </c>
      <c r="L132" s="25" t="s">
        <v>4232</v>
      </c>
      <c r="M132" s="25" t="s">
        <v>4233</v>
      </c>
      <c r="N132" s="25" t="str">
        <f>VLOOKUP($M132,'records (3)'!$A:$C,2,FALSE)</f>
        <v>003IV000010tQHlYAM</v>
      </c>
      <c r="O132" s="25" t="s">
        <v>4234</v>
      </c>
      <c r="P132" s="25" t="s">
        <v>3002</v>
      </c>
      <c r="Q132" s="25" t="s">
        <v>3751</v>
      </c>
      <c r="R132" s="25" t="s">
        <v>3002</v>
      </c>
      <c r="S132" s="25" t="s">
        <v>3744</v>
      </c>
      <c r="T132" s="25" t="s">
        <v>2997</v>
      </c>
      <c r="U132" s="25" t="s">
        <v>2333</v>
      </c>
      <c r="V132" s="25" t="s">
        <v>1233</v>
      </c>
      <c r="X132" s="25" t="s">
        <v>1233</v>
      </c>
      <c r="Z132" s="25" t="s">
        <v>3002</v>
      </c>
    </row>
    <row r="133" spans="1:26">
      <c r="A133" s="25" t="s">
        <v>2993</v>
      </c>
      <c r="B133" s="25" t="s">
        <v>823</v>
      </c>
      <c r="C133" s="25" t="s">
        <v>2584</v>
      </c>
      <c r="D133" s="25" t="s">
        <v>1337</v>
      </c>
      <c r="E133" s="25" t="s">
        <v>1228</v>
      </c>
      <c r="G133" s="25" t="s">
        <v>2992</v>
      </c>
      <c r="H133" s="25">
        <v>30</v>
      </c>
      <c r="I133" s="25" t="s">
        <v>4235</v>
      </c>
      <c r="J133" s="25" t="str">
        <f>VLOOKUP(I133,'records (3)'!$A:$C,2,FALSE)</f>
        <v>003IV000010su89YAA</v>
      </c>
      <c r="K133" s="25" t="s">
        <v>4236</v>
      </c>
      <c r="L133" s="25" t="s">
        <v>2995</v>
      </c>
      <c r="M133" s="25" t="s">
        <v>4235</v>
      </c>
      <c r="N133" s="25" t="str">
        <f>VLOOKUP($M133,'records (3)'!$A:$C,2,FALSE)</f>
        <v>003IV000010su89YAA</v>
      </c>
      <c r="O133" s="25" t="s">
        <v>4236</v>
      </c>
      <c r="P133" s="25" t="s">
        <v>2995</v>
      </c>
      <c r="Q133" s="25" t="s">
        <v>3751</v>
      </c>
      <c r="R133" s="25" t="s">
        <v>2995</v>
      </c>
      <c r="S133" s="25" t="s">
        <v>3744</v>
      </c>
      <c r="T133" s="25" t="s">
        <v>2991</v>
      </c>
      <c r="V133" s="25" t="s">
        <v>1233</v>
      </c>
      <c r="X133" s="25" t="s">
        <v>1233</v>
      </c>
      <c r="Z133" s="25" t="s">
        <v>2995</v>
      </c>
    </row>
    <row r="134" spans="1:26">
      <c r="A134" s="25" t="s">
        <v>1677</v>
      </c>
      <c r="B134" s="25" t="s">
        <v>833</v>
      </c>
      <c r="C134" s="25" t="s">
        <v>1674</v>
      </c>
      <c r="E134" s="25" t="s">
        <v>1675</v>
      </c>
      <c r="G134" s="25" t="s">
        <v>1676</v>
      </c>
      <c r="H134" s="25">
        <v>45</v>
      </c>
      <c r="I134" s="25" t="s">
        <v>4237</v>
      </c>
      <c r="J134" s="25" t="str">
        <f>VLOOKUP(I134,'records (3)'!$A:$C,2,FALSE)</f>
        <v>003IV000010tIe0YAE</v>
      </c>
      <c r="K134" s="25" t="s">
        <v>4238</v>
      </c>
      <c r="L134" s="25" t="s">
        <v>1679</v>
      </c>
      <c r="M134" s="25" t="s">
        <v>4237</v>
      </c>
      <c r="N134" s="25" t="str">
        <f>VLOOKUP($M134,'records (3)'!$A:$C,2,FALSE)</f>
        <v>003IV000010tIe0YAE</v>
      </c>
      <c r="O134" s="25" t="s">
        <v>4238</v>
      </c>
      <c r="P134" s="25" t="s">
        <v>1679</v>
      </c>
      <c r="Q134" s="25" t="s">
        <v>3751</v>
      </c>
      <c r="R134" s="25" t="s">
        <v>1679</v>
      </c>
      <c r="S134" s="25" t="s">
        <v>3744</v>
      </c>
      <c r="T134" s="25" t="s">
        <v>1673</v>
      </c>
      <c r="V134" s="25" t="s">
        <v>1233</v>
      </c>
      <c r="X134" s="25" t="s">
        <v>1233</v>
      </c>
      <c r="Z134" s="25" t="s">
        <v>1679</v>
      </c>
    </row>
    <row r="135" spans="1:26">
      <c r="A135" s="25" t="s">
        <v>2949</v>
      </c>
      <c r="B135" s="25" t="s">
        <v>820</v>
      </c>
      <c r="C135" s="25" t="s">
        <v>2947</v>
      </c>
      <c r="D135" s="25" t="s">
        <v>1337</v>
      </c>
      <c r="E135" s="25" t="s">
        <v>2435</v>
      </c>
      <c r="G135" s="25" t="s">
        <v>2948</v>
      </c>
      <c r="H135" s="25">
        <v>30</v>
      </c>
      <c r="I135" s="25" t="s">
        <v>4239</v>
      </c>
      <c r="J135" s="25" t="str">
        <f>VLOOKUP(I135,'records (3)'!$A:$C,2,FALSE)</f>
        <v>003IV000010tRWEYA2</v>
      </c>
      <c r="K135" s="25" t="s">
        <v>4240</v>
      </c>
      <c r="M135" s="25" t="s">
        <v>4239</v>
      </c>
      <c r="N135" s="25" t="str">
        <f>VLOOKUP($M135,'records (3)'!$A:$C,2,FALSE)</f>
        <v>003IV000010tRWEYA2</v>
      </c>
      <c r="O135" s="25" t="s">
        <v>4240</v>
      </c>
      <c r="Q135" s="25" t="s">
        <v>3751</v>
      </c>
      <c r="R135" s="25" t="s">
        <v>2951</v>
      </c>
      <c r="S135" s="25" t="s">
        <v>3744</v>
      </c>
      <c r="T135" s="25" t="s">
        <v>2946</v>
      </c>
      <c r="V135" s="25" t="s">
        <v>1233</v>
      </c>
      <c r="X135" s="25" t="s">
        <v>1233</v>
      </c>
      <c r="Z135" s="25" t="s">
        <v>2951</v>
      </c>
    </row>
    <row r="136" spans="1:26">
      <c r="A136" s="25" t="s">
        <v>3332</v>
      </c>
      <c r="B136" s="25" t="s">
        <v>982</v>
      </c>
      <c r="C136" s="25" t="s">
        <v>3329</v>
      </c>
      <c r="D136" s="25" t="s">
        <v>1337</v>
      </c>
      <c r="E136" s="25" t="s">
        <v>3330</v>
      </c>
      <c r="G136" s="25" t="s">
        <v>3331</v>
      </c>
      <c r="H136" s="25">
        <v>30</v>
      </c>
      <c r="I136" s="25" t="s">
        <v>4241</v>
      </c>
      <c r="J136" s="25" t="str">
        <f>VLOOKUP(I136,'records (3)'!$A:$C,2,FALSE)</f>
        <v>003IV000010tIiDYAU</v>
      </c>
      <c r="K136" s="25" t="s">
        <v>4242</v>
      </c>
      <c r="L136" s="25" t="s">
        <v>4243</v>
      </c>
      <c r="M136" s="25" t="s">
        <v>4244</v>
      </c>
      <c r="N136" s="25" t="str">
        <f>VLOOKUP($M136,'records (3)'!$A:$C,2,FALSE)</f>
        <v>003IV000010tRTeYAM</v>
      </c>
      <c r="O136" s="25" t="s">
        <v>4245</v>
      </c>
      <c r="P136" s="25" t="s">
        <v>3334</v>
      </c>
      <c r="Q136" s="25" t="s">
        <v>3751</v>
      </c>
      <c r="R136" s="25" t="s">
        <v>3334</v>
      </c>
      <c r="S136" s="25" t="s">
        <v>3744</v>
      </c>
      <c r="T136" s="25" t="s">
        <v>3328</v>
      </c>
      <c r="U136" s="25" t="s">
        <v>1439</v>
      </c>
      <c r="V136" s="25" t="s">
        <v>1233</v>
      </c>
      <c r="X136" s="25" t="s">
        <v>1233</v>
      </c>
      <c r="Z136" s="25" t="s">
        <v>3334</v>
      </c>
    </row>
    <row r="137" spans="1:26">
      <c r="A137" s="25" t="s">
        <v>1874</v>
      </c>
      <c r="B137" s="25" t="s">
        <v>368</v>
      </c>
      <c r="C137" s="25" t="s">
        <v>1871</v>
      </c>
      <c r="D137" s="25" t="s">
        <v>1337</v>
      </c>
      <c r="E137" s="25" t="s">
        <v>1872</v>
      </c>
      <c r="G137" s="25" t="s">
        <v>1873</v>
      </c>
      <c r="H137" s="25">
        <v>30</v>
      </c>
      <c r="I137" s="25" t="s">
        <v>4246</v>
      </c>
      <c r="J137" s="25" t="str">
        <f>VLOOKUP(I137,'records (3)'!$A:$C,2,FALSE)</f>
        <v>003IV000010tWSzYAM</v>
      </c>
      <c r="K137" s="25" t="s">
        <v>4247</v>
      </c>
      <c r="M137" s="25" t="s">
        <v>4248</v>
      </c>
      <c r="N137" s="25" t="str">
        <f>VLOOKUP($M137,'records (3)'!$A:$C,2,FALSE)</f>
        <v>003IV000010tQICYA2</v>
      </c>
      <c r="O137" s="25" t="s">
        <v>4249</v>
      </c>
      <c r="P137" s="25" t="s">
        <v>4250</v>
      </c>
      <c r="Q137" s="25" t="s">
        <v>3751</v>
      </c>
      <c r="R137" s="25" t="s">
        <v>1876</v>
      </c>
      <c r="S137" s="25" t="s">
        <v>3744</v>
      </c>
      <c r="T137" s="25" t="s">
        <v>1870</v>
      </c>
      <c r="V137" s="25" t="s">
        <v>1233</v>
      </c>
      <c r="X137" s="25" t="s">
        <v>1233</v>
      </c>
      <c r="Z137" s="25" t="s">
        <v>1876</v>
      </c>
    </row>
    <row r="138" spans="1:26">
      <c r="A138" s="25" t="s">
        <v>1481</v>
      </c>
      <c r="B138" s="25" t="s">
        <v>806</v>
      </c>
      <c r="C138" s="25" t="s">
        <v>1477</v>
      </c>
      <c r="D138" s="25" t="s">
        <v>1337</v>
      </c>
      <c r="E138" s="25" t="s">
        <v>1479</v>
      </c>
      <c r="G138" s="25" t="s">
        <v>1480</v>
      </c>
      <c r="H138" s="25">
        <v>30</v>
      </c>
      <c r="I138" s="25" t="s">
        <v>4251</v>
      </c>
      <c r="J138" s="25" t="str">
        <f>VLOOKUP(I138,'records (3)'!$A:$C,2,FALSE)</f>
        <v>003IV000010tJXjYAM</v>
      </c>
      <c r="K138" s="25" t="s">
        <v>4252</v>
      </c>
      <c r="L138" s="25" t="s">
        <v>4253</v>
      </c>
      <c r="M138" s="25" t="s">
        <v>4251</v>
      </c>
      <c r="N138" s="25" t="str">
        <f>VLOOKUP($M138,'records (3)'!$A:$C,2,FALSE)</f>
        <v>003IV000010tJXjYAM</v>
      </c>
      <c r="O138" s="25" t="s">
        <v>4252</v>
      </c>
      <c r="P138" s="25" t="s">
        <v>4253</v>
      </c>
      <c r="Q138" s="25" t="s">
        <v>3751</v>
      </c>
      <c r="R138" s="25" t="s">
        <v>4254</v>
      </c>
      <c r="S138" s="25" t="s">
        <v>3744</v>
      </c>
      <c r="T138" s="25" t="s">
        <v>1476</v>
      </c>
      <c r="U138" s="25" t="s">
        <v>1478</v>
      </c>
      <c r="V138" s="25" t="s">
        <v>1233</v>
      </c>
      <c r="X138" s="25" t="s">
        <v>1233</v>
      </c>
      <c r="Z138" s="25" t="s">
        <v>4255</v>
      </c>
    </row>
    <row r="139" spans="1:26">
      <c r="A139" s="25" t="s">
        <v>2530</v>
      </c>
      <c r="B139" s="25" t="s">
        <v>664</v>
      </c>
      <c r="C139" s="25" t="s">
        <v>2527</v>
      </c>
      <c r="D139" s="25" t="s">
        <v>1337</v>
      </c>
      <c r="E139" s="25" t="s">
        <v>2528</v>
      </c>
      <c r="G139" s="25" t="s">
        <v>2529</v>
      </c>
      <c r="H139" s="25">
        <v>30</v>
      </c>
      <c r="I139" s="25" t="s">
        <v>4256</v>
      </c>
      <c r="J139" s="25" t="str">
        <f>VLOOKUP(I139,'records (3)'!$A:$C,2,FALSE)</f>
        <v>003IV000010su9CYAQ</v>
      </c>
      <c r="K139" s="25" t="s">
        <v>4257</v>
      </c>
      <c r="L139" s="25" t="s">
        <v>2532</v>
      </c>
      <c r="M139" s="25" t="s">
        <v>4256</v>
      </c>
      <c r="N139" s="25" t="str">
        <f>VLOOKUP($M139,'records (3)'!$A:$C,2,FALSE)</f>
        <v>003IV000010su9CYAQ</v>
      </c>
      <c r="O139" s="25" t="s">
        <v>4257</v>
      </c>
      <c r="P139" s="25" t="s">
        <v>2532</v>
      </c>
      <c r="Q139" s="25" t="s">
        <v>3751</v>
      </c>
      <c r="R139" s="25" t="s">
        <v>2532</v>
      </c>
      <c r="S139" s="25" t="s">
        <v>3744</v>
      </c>
      <c r="T139" s="25" t="s">
        <v>2526</v>
      </c>
      <c r="V139" s="25" t="s">
        <v>1233</v>
      </c>
      <c r="X139" s="25" t="s">
        <v>1233</v>
      </c>
      <c r="Z139" s="25" t="s">
        <v>2532</v>
      </c>
    </row>
    <row r="140" spans="1:26">
      <c r="A140" s="25" t="s">
        <v>2167</v>
      </c>
      <c r="B140" s="25" t="s">
        <v>114</v>
      </c>
      <c r="C140" s="25" t="s">
        <v>2163</v>
      </c>
      <c r="D140" s="25" t="s">
        <v>1337</v>
      </c>
      <c r="E140" s="25" t="s">
        <v>2165</v>
      </c>
      <c r="G140" s="25" t="s">
        <v>2166</v>
      </c>
      <c r="H140" s="25">
        <v>30</v>
      </c>
      <c r="I140" s="25" t="s">
        <v>4258</v>
      </c>
      <c r="J140" s="25" t="str">
        <f>VLOOKUP(I140,'records (3)'!$A:$C,2,FALSE)</f>
        <v>003IV000010tIeBYAU</v>
      </c>
      <c r="K140" s="25" t="s">
        <v>4259</v>
      </c>
      <c r="L140" s="25" t="s">
        <v>4260</v>
      </c>
      <c r="M140" s="25" t="s">
        <v>4258</v>
      </c>
      <c r="N140" s="25" t="str">
        <f>VLOOKUP($M140,'records (3)'!$A:$C,2,FALSE)</f>
        <v>003IV000010tIeBYAU</v>
      </c>
      <c r="O140" s="25" t="s">
        <v>4259</v>
      </c>
      <c r="P140" s="25" t="s">
        <v>4260</v>
      </c>
      <c r="Q140" s="25" t="s">
        <v>3751</v>
      </c>
      <c r="R140" s="25" t="s">
        <v>2169</v>
      </c>
      <c r="S140" s="25" t="s">
        <v>3744</v>
      </c>
      <c r="T140" s="25" t="s">
        <v>2162</v>
      </c>
      <c r="U140" s="25" t="s">
        <v>2164</v>
      </c>
      <c r="V140" s="25" t="s">
        <v>1233</v>
      </c>
      <c r="X140" s="25" t="s">
        <v>1233</v>
      </c>
      <c r="Z140" s="25" t="s">
        <v>2169</v>
      </c>
    </row>
    <row r="141" spans="1:26">
      <c r="A141" s="25" t="s">
        <v>3015</v>
      </c>
      <c r="B141" s="25" t="s">
        <v>1062</v>
      </c>
      <c r="C141" s="25" t="s">
        <v>3012</v>
      </c>
      <c r="E141" s="25" t="s">
        <v>3013</v>
      </c>
      <c r="G141" s="25" t="s">
        <v>3014</v>
      </c>
      <c r="H141" s="25">
        <v>30</v>
      </c>
      <c r="I141" s="25" t="s">
        <v>4261</v>
      </c>
      <c r="J141" s="25" t="str">
        <f>VLOOKUP(I141,'records (3)'!$A:$C,2,FALSE)</f>
        <v>003IV000010tJasYAE</v>
      </c>
      <c r="K141" s="25" t="s">
        <v>4262</v>
      </c>
      <c r="L141" s="25" t="s">
        <v>3017</v>
      </c>
      <c r="M141" s="25" t="s">
        <v>4261</v>
      </c>
      <c r="N141" s="25" t="str">
        <f>VLOOKUP($M141,'records (3)'!$A:$C,2,FALSE)</f>
        <v>003IV000010tJasYAE</v>
      </c>
      <c r="O141" s="25" t="s">
        <v>4262</v>
      </c>
      <c r="P141" s="25" t="s">
        <v>3017</v>
      </c>
      <c r="Q141" s="25" t="s">
        <v>3751</v>
      </c>
      <c r="R141" s="25" t="s">
        <v>3017</v>
      </c>
      <c r="S141" s="25" t="s">
        <v>3744</v>
      </c>
      <c r="T141" s="25" t="s">
        <v>3011</v>
      </c>
      <c r="V141" s="25" t="s">
        <v>1233</v>
      </c>
      <c r="X141" s="25" t="s">
        <v>1233</v>
      </c>
      <c r="Z141" s="25" t="s">
        <v>3017</v>
      </c>
    </row>
    <row r="142" spans="1:26">
      <c r="A142" s="25" t="s">
        <v>3653</v>
      </c>
      <c r="B142" s="25" t="s">
        <v>739</v>
      </c>
      <c r="C142" s="25" t="s">
        <v>3650</v>
      </c>
      <c r="D142" s="25" t="s">
        <v>1337</v>
      </c>
      <c r="E142" s="25" t="s">
        <v>3651</v>
      </c>
      <c r="G142" s="25" t="s">
        <v>3652</v>
      </c>
      <c r="H142" s="25">
        <v>45</v>
      </c>
      <c r="I142" s="25" t="s">
        <v>4263</v>
      </c>
      <c r="J142" s="25" t="str">
        <f>VLOOKUP(I142,'records (3)'!$A:$C,2,FALSE)</f>
        <v>003IV000010tIeeYAE</v>
      </c>
      <c r="K142" s="25" t="s">
        <v>4264</v>
      </c>
      <c r="L142" s="25" t="s">
        <v>4265</v>
      </c>
      <c r="M142" s="25" t="s">
        <v>4263</v>
      </c>
      <c r="N142" s="25" t="str">
        <f>VLOOKUP($M142,'records (3)'!$A:$C,2,FALSE)</f>
        <v>003IV000010tIeeYAE</v>
      </c>
      <c r="O142" s="25" t="s">
        <v>4264</v>
      </c>
      <c r="P142" s="25" t="s">
        <v>4265</v>
      </c>
      <c r="Q142" s="25" t="s">
        <v>3751</v>
      </c>
      <c r="S142" s="25" t="s">
        <v>3744</v>
      </c>
      <c r="T142" s="25" t="s">
        <v>3649</v>
      </c>
      <c r="U142" s="25" t="s">
        <v>1840</v>
      </c>
      <c r="V142" s="25" t="s">
        <v>3650</v>
      </c>
      <c r="X142" s="25" t="s">
        <v>3651</v>
      </c>
      <c r="Z142" s="25" t="s">
        <v>3652</v>
      </c>
    </row>
    <row r="143" spans="1:26">
      <c r="A143" s="25" t="s">
        <v>1819</v>
      </c>
      <c r="B143" s="25" t="s">
        <v>864</v>
      </c>
      <c r="C143" s="25" t="s">
        <v>1816</v>
      </c>
      <c r="D143" s="25" t="s">
        <v>1337</v>
      </c>
      <c r="E143" s="25" t="s">
        <v>1817</v>
      </c>
      <c r="G143" s="25" t="s">
        <v>4266</v>
      </c>
      <c r="H143" s="25">
        <v>30</v>
      </c>
      <c r="I143" s="25" t="s">
        <v>4267</v>
      </c>
      <c r="J143" s="25" t="str">
        <f>VLOOKUP(I143,'records (3)'!$A:$C,2,FALSE)</f>
        <v>003IV000010su8xYAA</v>
      </c>
      <c r="K143" s="25" t="s">
        <v>4268</v>
      </c>
      <c r="L143" s="25" t="s">
        <v>4269</v>
      </c>
      <c r="M143" s="25" t="s">
        <v>4267</v>
      </c>
      <c r="N143" s="25" t="str">
        <f>VLOOKUP($M143,'records (3)'!$A:$C,2,FALSE)</f>
        <v>003IV000010su8xYAA</v>
      </c>
      <c r="O143" s="25" t="s">
        <v>4268</v>
      </c>
      <c r="P143" s="25" t="s">
        <v>4269</v>
      </c>
      <c r="Q143" s="25" t="s">
        <v>3751</v>
      </c>
      <c r="R143" s="25" t="s">
        <v>1821</v>
      </c>
      <c r="S143" s="25" t="s">
        <v>3744</v>
      </c>
      <c r="T143" s="25" t="s">
        <v>1815</v>
      </c>
      <c r="V143" s="25" t="s">
        <v>1233</v>
      </c>
      <c r="X143" s="25" t="s">
        <v>1233</v>
      </c>
      <c r="Z143" s="25" t="s">
        <v>1821</v>
      </c>
    </row>
    <row r="144" spans="1:26">
      <c r="A144" s="25" t="s">
        <v>2901</v>
      </c>
      <c r="B144" s="25" t="s">
        <v>1181</v>
      </c>
      <c r="C144" s="25" t="s">
        <v>1454</v>
      </c>
      <c r="D144" s="25" t="s">
        <v>1337</v>
      </c>
      <c r="E144" s="25" t="s">
        <v>2899</v>
      </c>
      <c r="G144" s="25" t="s">
        <v>2900</v>
      </c>
      <c r="H144" s="25">
        <v>45</v>
      </c>
      <c r="I144" s="25" t="s">
        <v>4270</v>
      </c>
      <c r="J144" s="25" t="str">
        <f>VLOOKUP(I144,'records (3)'!$A:$C,2,FALSE)</f>
        <v>003IV000010tRUIYA2</v>
      </c>
      <c r="K144" s="25" t="s">
        <v>4271</v>
      </c>
      <c r="L144" s="25" t="s">
        <v>4272</v>
      </c>
      <c r="M144" s="25" t="s">
        <v>4273</v>
      </c>
      <c r="N144" s="25" t="str">
        <f>VLOOKUP($M144,'records (3)'!$A:$C,2,FALSE)</f>
        <v>003IV000010tRyuYAE</v>
      </c>
      <c r="O144" s="25" t="s">
        <v>4274</v>
      </c>
      <c r="P144" s="25" t="s">
        <v>4275</v>
      </c>
      <c r="Q144" s="25" t="s">
        <v>3751</v>
      </c>
      <c r="R144" s="25" t="s">
        <v>2903</v>
      </c>
      <c r="S144" s="25" t="s">
        <v>3744</v>
      </c>
      <c r="T144" s="25" t="s">
        <v>2898</v>
      </c>
      <c r="V144" s="25" t="s">
        <v>1233</v>
      </c>
      <c r="X144" s="25" t="s">
        <v>1233</v>
      </c>
      <c r="Z144" s="25" t="s">
        <v>2903</v>
      </c>
    </row>
    <row r="145" spans="1:26">
      <c r="A145" s="25" t="s">
        <v>3377</v>
      </c>
      <c r="B145" s="25" t="s">
        <v>650</v>
      </c>
      <c r="C145" s="25" t="s">
        <v>3375</v>
      </c>
      <c r="D145" s="25" t="s">
        <v>1337</v>
      </c>
      <c r="E145" s="25" t="s">
        <v>3338</v>
      </c>
      <c r="G145" s="25" t="s">
        <v>3376</v>
      </c>
      <c r="H145" s="25">
        <v>30</v>
      </c>
      <c r="I145" s="25" t="s">
        <v>4276</v>
      </c>
      <c r="J145" s="25" t="str">
        <f>VLOOKUP(I145,'records (3)'!$A:$C,2,FALSE)</f>
        <v>003IV000010su8AYAQ</v>
      </c>
      <c r="K145" s="25" t="s">
        <v>4277</v>
      </c>
      <c r="L145" s="25" t="s">
        <v>4278</v>
      </c>
      <c r="M145" s="25" t="s">
        <v>4276</v>
      </c>
      <c r="N145" s="25" t="str">
        <f>VLOOKUP($M145,'records (3)'!$A:$C,2,FALSE)</f>
        <v>003IV000010su8AYAQ</v>
      </c>
      <c r="O145" s="25" t="s">
        <v>4277</v>
      </c>
      <c r="P145" s="25" t="s">
        <v>4278</v>
      </c>
      <c r="Q145" s="25" t="s">
        <v>3751</v>
      </c>
      <c r="R145" s="25" t="s">
        <v>3379</v>
      </c>
      <c r="S145" s="25" t="s">
        <v>3744</v>
      </c>
      <c r="T145" s="25" t="s">
        <v>3374</v>
      </c>
      <c r="V145" s="25" t="s">
        <v>1233</v>
      </c>
      <c r="X145" s="25" t="s">
        <v>1233</v>
      </c>
      <c r="Z145" s="25" t="s">
        <v>3379</v>
      </c>
    </row>
    <row r="146" spans="1:26">
      <c r="A146" s="25" t="s">
        <v>1271</v>
      </c>
      <c r="B146" s="25" t="s">
        <v>530</v>
      </c>
      <c r="C146" s="25" t="s">
        <v>1400</v>
      </c>
      <c r="D146" s="25" t="s">
        <v>1337</v>
      </c>
      <c r="E146" s="25" t="s">
        <v>4279</v>
      </c>
      <c r="G146" s="25" t="s">
        <v>1403</v>
      </c>
      <c r="H146" s="25">
        <v>45</v>
      </c>
      <c r="I146" s="25" t="s">
        <v>4280</v>
      </c>
      <c r="J146" s="25" t="str">
        <f>VLOOKUP(I146,'records (3)'!$A:$C,2,FALSE)</f>
        <v>003IV000010tIiJYAU</v>
      </c>
      <c r="K146" s="25" t="s">
        <v>4281</v>
      </c>
      <c r="L146" s="25" t="s">
        <v>4282</v>
      </c>
      <c r="M146" s="25" t="s">
        <v>4283</v>
      </c>
      <c r="N146" s="25" t="str">
        <f>VLOOKUP($M146,'records (3)'!$A:$C,2,FALSE)</f>
        <v>003IV000010t7J0YAI</v>
      </c>
      <c r="O146" s="25" t="s">
        <v>4284</v>
      </c>
      <c r="P146" s="25" t="s">
        <v>4285</v>
      </c>
      <c r="Q146" s="25" t="s">
        <v>3751</v>
      </c>
      <c r="R146" s="25" t="s">
        <v>1405</v>
      </c>
      <c r="S146" s="25" t="s">
        <v>3744</v>
      </c>
      <c r="T146" s="25" t="s">
        <v>1399</v>
      </c>
      <c r="U146" s="25" t="s">
        <v>1401</v>
      </c>
      <c r="V146" s="25" t="s">
        <v>1233</v>
      </c>
      <c r="X146" s="25" t="s">
        <v>1233</v>
      </c>
      <c r="Z146" s="25" t="s">
        <v>1405</v>
      </c>
    </row>
    <row r="147" spans="1:26">
      <c r="A147" s="25" t="s">
        <v>1272</v>
      </c>
      <c r="B147" s="25" t="s">
        <v>976</v>
      </c>
      <c r="C147" s="25" t="s">
        <v>2672</v>
      </c>
      <c r="D147" s="25" t="s">
        <v>1337</v>
      </c>
      <c r="E147" s="25" t="s">
        <v>3233</v>
      </c>
      <c r="G147" s="25" t="s">
        <v>3234</v>
      </c>
      <c r="H147" s="25">
        <v>30</v>
      </c>
      <c r="I147" s="25" t="s">
        <v>4286</v>
      </c>
      <c r="J147" s="25" t="str">
        <f>VLOOKUP(I147,'records (3)'!$A:$C,2,FALSE)</f>
        <v>003IV000010tHIpYAM</v>
      </c>
      <c r="K147" s="25" t="s">
        <v>4287</v>
      </c>
      <c r="L147" s="25" t="s">
        <v>4288</v>
      </c>
      <c r="M147" s="25" t="s">
        <v>4286</v>
      </c>
      <c r="N147" s="25" t="str">
        <f>VLOOKUP($M147,'records (3)'!$A:$C,2,FALSE)</f>
        <v>003IV000010tHIpYAM</v>
      </c>
      <c r="O147" s="25" t="s">
        <v>4287</v>
      </c>
      <c r="P147" s="25" t="s">
        <v>4288</v>
      </c>
      <c r="Q147" s="25" t="s">
        <v>3751</v>
      </c>
      <c r="R147" s="25" t="s">
        <v>3236</v>
      </c>
      <c r="S147" s="25" t="s">
        <v>3744</v>
      </c>
      <c r="T147" s="25" t="s">
        <v>3231</v>
      </c>
      <c r="U147" s="25" t="s">
        <v>3232</v>
      </c>
      <c r="V147" s="25" t="s">
        <v>1233</v>
      </c>
      <c r="X147" s="25" t="s">
        <v>1233</v>
      </c>
      <c r="Z147" s="25" t="s">
        <v>3236</v>
      </c>
    </row>
    <row r="148" spans="1:26">
      <c r="A148" s="25" t="s">
        <v>2290</v>
      </c>
      <c r="B148" s="25" t="s">
        <v>947</v>
      </c>
      <c r="C148" s="25" t="s">
        <v>2287</v>
      </c>
      <c r="D148" s="25" t="s">
        <v>1337</v>
      </c>
      <c r="E148" s="25" t="s">
        <v>2288</v>
      </c>
      <c r="G148" s="25" t="s">
        <v>2289</v>
      </c>
      <c r="H148" s="25">
        <v>30</v>
      </c>
      <c r="I148" s="25" t="s">
        <v>4289</v>
      </c>
      <c r="J148" s="25" t="str">
        <f>VLOOKUP(I148,'records (3)'!$A:$C,2,FALSE)</f>
        <v>003IV000010tIeJYAU</v>
      </c>
      <c r="K148" s="25" t="s">
        <v>4290</v>
      </c>
      <c r="L148" s="25" t="s">
        <v>4291</v>
      </c>
      <c r="M148" s="25" t="s">
        <v>4289</v>
      </c>
      <c r="N148" s="25" t="str">
        <f>VLOOKUP($M148,'records (3)'!$A:$C,2,FALSE)</f>
        <v>003IV000010tIeJYAU</v>
      </c>
      <c r="O148" s="25" t="s">
        <v>4290</v>
      </c>
      <c r="P148" s="25" t="s">
        <v>4291</v>
      </c>
      <c r="Q148" s="25" t="s">
        <v>3751</v>
      </c>
      <c r="R148" s="25" t="s">
        <v>4292</v>
      </c>
      <c r="S148" s="25" t="s">
        <v>3744</v>
      </c>
      <c r="T148" s="25" t="s">
        <v>2286</v>
      </c>
      <c r="V148" s="25" t="s">
        <v>1233</v>
      </c>
      <c r="X148" s="25" t="s">
        <v>1233</v>
      </c>
      <c r="Z148" s="25" t="s">
        <v>2293</v>
      </c>
    </row>
    <row r="149" spans="1:26">
      <c r="A149" s="25" t="s">
        <v>1921</v>
      </c>
      <c r="B149" s="25" t="s">
        <v>780</v>
      </c>
      <c r="C149" s="25" t="s">
        <v>1918</v>
      </c>
      <c r="D149" s="25" t="s">
        <v>1337</v>
      </c>
      <c r="E149" s="25" t="s">
        <v>1919</v>
      </c>
      <c r="G149" s="25" t="s">
        <v>1920</v>
      </c>
      <c r="H149" s="25">
        <v>30</v>
      </c>
      <c r="I149" s="25" t="s">
        <v>4293</v>
      </c>
      <c r="J149" s="25" t="str">
        <f>VLOOKUP(I149,'records (3)'!$A:$C,2,FALSE)</f>
        <v>003IV000010tIeLYAU</v>
      </c>
      <c r="K149" s="25" t="s">
        <v>4294</v>
      </c>
      <c r="L149" s="25" t="s">
        <v>1923</v>
      </c>
      <c r="M149" s="25" t="s">
        <v>4293</v>
      </c>
      <c r="N149" s="25" t="str">
        <f>VLOOKUP($M149,'records (3)'!$A:$C,2,FALSE)</f>
        <v>003IV000010tIeLYAU</v>
      </c>
      <c r="O149" s="25" t="s">
        <v>4294</v>
      </c>
      <c r="P149" s="25" t="s">
        <v>1923</v>
      </c>
      <c r="Q149" s="25" t="s">
        <v>3751</v>
      </c>
      <c r="R149" s="25" t="s">
        <v>1923</v>
      </c>
      <c r="S149" s="25" t="s">
        <v>3744</v>
      </c>
      <c r="T149" s="25" t="s">
        <v>1917</v>
      </c>
      <c r="V149" s="25" t="s">
        <v>1233</v>
      </c>
      <c r="X149" s="25" t="s">
        <v>1233</v>
      </c>
      <c r="Z149" s="25" t="s">
        <v>1923</v>
      </c>
    </row>
    <row r="150" spans="1:26">
      <c r="A150" s="25" t="s">
        <v>1743</v>
      </c>
      <c r="B150" s="25" t="s">
        <v>592</v>
      </c>
      <c r="C150" s="25" t="s">
        <v>1740</v>
      </c>
      <c r="D150" s="25" t="s">
        <v>1337</v>
      </c>
      <c r="E150" s="25" t="s">
        <v>1741</v>
      </c>
      <c r="G150" s="25" t="s">
        <v>4295</v>
      </c>
      <c r="H150" s="25">
        <v>30</v>
      </c>
      <c r="I150" s="25" t="s">
        <v>4296</v>
      </c>
      <c r="J150" s="25" t="str">
        <f>VLOOKUP(I150,'records (3)'!$A:$C,2,FALSE)</f>
        <v>003IV000010tIdvYAE</v>
      </c>
      <c r="K150" s="25" t="s">
        <v>4297</v>
      </c>
      <c r="L150" s="25" t="s">
        <v>4298</v>
      </c>
      <c r="M150" s="25" t="s">
        <v>4296</v>
      </c>
      <c r="N150" s="25" t="str">
        <f>VLOOKUP($M150,'records (3)'!$A:$C,2,FALSE)</f>
        <v>003IV000010tIdvYAE</v>
      </c>
      <c r="O150" s="25" t="s">
        <v>4297</v>
      </c>
      <c r="P150" s="25" t="s">
        <v>4298</v>
      </c>
      <c r="Q150" s="25" t="s">
        <v>3751</v>
      </c>
      <c r="R150" s="25" t="s">
        <v>1745</v>
      </c>
      <c r="S150" s="25" t="s">
        <v>3744</v>
      </c>
      <c r="T150" s="25" t="s">
        <v>1739</v>
      </c>
      <c r="V150" s="25" t="s">
        <v>1233</v>
      </c>
      <c r="X150" s="25" t="s">
        <v>1233</v>
      </c>
      <c r="Z150" s="25" t="s">
        <v>1745</v>
      </c>
    </row>
    <row r="151" spans="1:26">
      <c r="A151" s="25" t="s">
        <v>2546</v>
      </c>
      <c r="B151" s="25" t="s">
        <v>308</v>
      </c>
      <c r="C151" s="25" t="s">
        <v>2543</v>
      </c>
      <c r="D151" s="25" t="s">
        <v>1337</v>
      </c>
      <c r="E151" s="25" t="s">
        <v>2544</v>
      </c>
      <c r="G151" s="25" t="s">
        <v>2545</v>
      </c>
      <c r="H151" s="25">
        <v>30</v>
      </c>
      <c r="I151" s="25" t="s">
        <v>4299</v>
      </c>
      <c r="J151" s="25" t="str">
        <f>VLOOKUP(I151,'records (3)'!$A:$C,2,FALSE)</f>
        <v>003IV000010sxGsYAI</v>
      </c>
      <c r="K151" s="25" t="s">
        <v>4300</v>
      </c>
      <c r="L151" s="25" t="s">
        <v>4301</v>
      </c>
      <c r="M151" s="25" t="s">
        <v>4299</v>
      </c>
      <c r="N151" s="25" t="str">
        <f>VLOOKUP($M151,'records (3)'!$A:$C,2,FALSE)</f>
        <v>003IV000010sxGsYAI</v>
      </c>
      <c r="O151" s="25" t="s">
        <v>4300</v>
      </c>
      <c r="P151" s="25" t="s">
        <v>4301</v>
      </c>
      <c r="Q151" s="25" t="s">
        <v>3751</v>
      </c>
      <c r="R151" s="25" t="s">
        <v>2548</v>
      </c>
      <c r="S151" s="25" t="s">
        <v>3744</v>
      </c>
      <c r="T151" s="25" t="s">
        <v>2542</v>
      </c>
      <c r="V151" s="25" t="s">
        <v>1233</v>
      </c>
      <c r="X151" s="25" t="s">
        <v>1233</v>
      </c>
      <c r="Z151" s="25" t="s">
        <v>2548</v>
      </c>
    </row>
    <row r="152" spans="1:26">
      <c r="A152" s="25" t="s">
        <v>1701</v>
      </c>
      <c r="B152" s="25" t="s">
        <v>513</v>
      </c>
      <c r="C152" s="25" t="s">
        <v>1698</v>
      </c>
      <c r="D152" s="25" t="s">
        <v>1337</v>
      </c>
      <c r="E152" s="25" t="s">
        <v>1699</v>
      </c>
      <c r="G152" s="25" t="s">
        <v>1700</v>
      </c>
      <c r="H152" s="25">
        <v>30</v>
      </c>
      <c r="I152" s="25" t="s">
        <v>4302</v>
      </c>
      <c r="J152" s="25" t="str">
        <f>VLOOKUP(I152,'records (3)'!$A:$C,2,FALSE)</f>
        <v>003IV000010tIiQYAU</v>
      </c>
      <c r="K152" s="25" t="s">
        <v>4303</v>
      </c>
      <c r="L152" s="25" t="s">
        <v>1703</v>
      </c>
      <c r="M152" s="25" t="s">
        <v>4302</v>
      </c>
      <c r="N152" s="25" t="str">
        <f>VLOOKUP($M152,'records (3)'!$A:$C,2,FALSE)</f>
        <v>003IV000010tIiQYAU</v>
      </c>
      <c r="O152" s="25" t="s">
        <v>4303</v>
      </c>
      <c r="P152" s="25" t="s">
        <v>1703</v>
      </c>
      <c r="Q152" s="25" t="s">
        <v>3751</v>
      </c>
      <c r="R152" s="25" t="s">
        <v>1703</v>
      </c>
      <c r="S152" s="25" t="s">
        <v>3744</v>
      </c>
      <c r="T152" s="25" t="s">
        <v>1697</v>
      </c>
      <c r="V152" s="25" t="s">
        <v>1233</v>
      </c>
      <c r="X152" s="25" t="s">
        <v>1233</v>
      </c>
      <c r="Z152" s="25" t="s">
        <v>1703</v>
      </c>
    </row>
    <row r="153" spans="1:26">
      <c r="A153" s="25" t="s">
        <v>1371</v>
      </c>
      <c r="B153" s="25" t="s">
        <v>922</v>
      </c>
      <c r="C153" s="25" t="s">
        <v>1368</v>
      </c>
      <c r="D153" s="25" t="s">
        <v>1337</v>
      </c>
      <c r="E153" s="25" t="s">
        <v>1369</v>
      </c>
      <c r="G153" s="25" t="s">
        <v>1370</v>
      </c>
      <c r="H153" s="25">
        <v>30</v>
      </c>
      <c r="I153" s="25" t="s">
        <v>4304</v>
      </c>
      <c r="J153" s="25" t="str">
        <f>VLOOKUP(I153,'records (3)'!$A:$C,2,FALSE)</f>
        <v>003IV000010tJXCYA2</v>
      </c>
      <c r="K153" s="25" t="s">
        <v>4305</v>
      </c>
      <c r="L153" s="25" t="s">
        <v>4306</v>
      </c>
      <c r="M153" s="25" t="s">
        <v>4304</v>
      </c>
      <c r="N153" s="25" t="str">
        <f>VLOOKUP($M153,'records (3)'!$A:$C,2,FALSE)</f>
        <v>003IV000010tJXCYA2</v>
      </c>
      <c r="O153" s="25" t="s">
        <v>4305</v>
      </c>
      <c r="P153" s="25" t="s">
        <v>4306</v>
      </c>
      <c r="Q153" s="25" t="s">
        <v>3751</v>
      </c>
      <c r="R153" s="25" t="s">
        <v>4307</v>
      </c>
      <c r="S153" s="25" t="s">
        <v>3744</v>
      </c>
      <c r="T153" s="25" t="s">
        <v>922</v>
      </c>
      <c r="V153" s="25" t="s">
        <v>1233</v>
      </c>
      <c r="X153" s="25" t="s">
        <v>1233</v>
      </c>
      <c r="Z153" s="25" t="s">
        <v>1373</v>
      </c>
    </row>
    <row r="154" spans="1:26">
      <c r="A154" s="25" t="s">
        <v>2637</v>
      </c>
      <c r="B154" s="25" t="s">
        <v>595</v>
      </c>
      <c r="C154" s="25" t="s">
        <v>2634</v>
      </c>
      <c r="D154" s="25" t="s">
        <v>1337</v>
      </c>
      <c r="E154" s="25" t="s">
        <v>2635</v>
      </c>
      <c r="G154" s="25" t="s">
        <v>2636</v>
      </c>
      <c r="H154" s="25">
        <v>45</v>
      </c>
      <c r="I154" s="25" t="s">
        <v>4308</v>
      </c>
      <c r="J154" s="25" t="str">
        <f>VLOOKUP(I154,'records (3)'!$A:$C,2,FALSE)</f>
        <v>003IV000010tIeWYAU</v>
      </c>
      <c r="K154" s="25" t="s">
        <v>4309</v>
      </c>
      <c r="L154" s="25" t="s">
        <v>2639</v>
      </c>
      <c r="M154" s="25" t="s">
        <v>4308</v>
      </c>
      <c r="N154" s="25" t="str">
        <f>VLOOKUP($M154,'records (3)'!$A:$C,2,FALSE)</f>
        <v>003IV000010tIeWYAU</v>
      </c>
      <c r="O154" s="25" t="s">
        <v>4309</v>
      </c>
      <c r="P154" s="25" t="s">
        <v>2639</v>
      </c>
      <c r="Q154" s="25" t="s">
        <v>3751</v>
      </c>
      <c r="R154" s="25" t="s">
        <v>2639</v>
      </c>
      <c r="S154" s="25" t="s">
        <v>3744</v>
      </c>
      <c r="T154" s="25" t="s">
        <v>2633</v>
      </c>
      <c r="V154" s="25" t="s">
        <v>1233</v>
      </c>
      <c r="X154" s="25" t="s">
        <v>1233</v>
      </c>
      <c r="Z154" s="25" t="s">
        <v>2639</v>
      </c>
    </row>
    <row r="155" spans="1:26">
      <c r="A155" s="25" t="s">
        <v>1348</v>
      </c>
      <c r="B155" s="25" t="s">
        <v>354</v>
      </c>
      <c r="C155" s="25" t="s">
        <v>1345</v>
      </c>
      <c r="D155" s="25" t="s">
        <v>1337</v>
      </c>
      <c r="E155" s="25" t="s">
        <v>1346</v>
      </c>
      <c r="G155" s="25" t="s">
        <v>1347</v>
      </c>
      <c r="H155" s="25">
        <v>30</v>
      </c>
      <c r="I155" s="25" t="s">
        <v>4310</v>
      </c>
      <c r="J155" s="25" t="str">
        <f>VLOOKUP(I155,'records (3)'!$A:$C,2,FALSE)</f>
        <v>003IV000010tIiXYAU</v>
      </c>
      <c r="K155" s="25" t="s">
        <v>4311</v>
      </c>
      <c r="L155" s="25" t="s">
        <v>1350</v>
      </c>
      <c r="M155" s="25" t="s">
        <v>4310</v>
      </c>
      <c r="N155" s="25" t="str">
        <f>VLOOKUP($M155,'records (3)'!$A:$C,2,FALSE)</f>
        <v>003IV000010tIiXYAU</v>
      </c>
      <c r="O155" s="25" t="s">
        <v>4311</v>
      </c>
      <c r="P155" s="25" t="s">
        <v>1350</v>
      </c>
      <c r="Q155" s="25" t="s">
        <v>3751</v>
      </c>
      <c r="R155" s="25" t="s">
        <v>1350</v>
      </c>
      <c r="S155" s="25" t="s">
        <v>3744</v>
      </c>
      <c r="T155" s="25" t="s">
        <v>1344</v>
      </c>
      <c r="V155" s="25" t="s">
        <v>1233</v>
      </c>
      <c r="X155" s="25" t="s">
        <v>1233</v>
      </c>
      <c r="Z155" s="25" t="s">
        <v>1350</v>
      </c>
    </row>
    <row r="156" spans="1:26">
      <c r="A156" s="25" t="s">
        <v>2437</v>
      </c>
      <c r="B156" s="25" t="s">
        <v>474</v>
      </c>
      <c r="C156" s="25" t="s">
        <v>2434</v>
      </c>
      <c r="E156" s="25" t="s">
        <v>2435</v>
      </c>
      <c r="G156" s="25" t="s">
        <v>4312</v>
      </c>
      <c r="H156" s="25">
        <v>30</v>
      </c>
      <c r="I156" s="25" t="s">
        <v>4313</v>
      </c>
      <c r="J156" s="25" t="str">
        <f>VLOOKUP(I156,'records (3)'!$A:$C,2,FALSE)</f>
        <v>003IV000010tLbeYAE</v>
      </c>
      <c r="K156" s="25" t="s">
        <v>4314</v>
      </c>
      <c r="L156" s="25" t="s">
        <v>4315</v>
      </c>
      <c r="M156" s="25" t="s">
        <v>4313</v>
      </c>
      <c r="N156" s="25" t="str">
        <f>VLOOKUP($M156,'records (3)'!$A:$C,2,FALSE)</f>
        <v>003IV000010tLbeYAE</v>
      </c>
      <c r="O156" s="25" t="s">
        <v>4314</v>
      </c>
      <c r="P156" s="25" t="s">
        <v>4315</v>
      </c>
      <c r="Q156" s="25" t="s">
        <v>3751</v>
      </c>
      <c r="R156" s="25" t="s">
        <v>2439</v>
      </c>
      <c r="S156" s="25" t="s">
        <v>3744</v>
      </c>
      <c r="T156" s="25" t="s">
        <v>2433</v>
      </c>
      <c r="V156" s="25" t="s">
        <v>1233</v>
      </c>
      <c r="X156" s="25" t="s">
        <v>1233</v>
      </c>
      <c r="Z156" s="25" t="s">
        <v>2439</v>
      </c>
    </row>
    <row r="157" spans="1:26">
      <c r="A157" s="25" t="s">
        <v>1749</v>
      </c>
      <c r="B157" s="25" t="s">
        <v>606</v>
      </c>
      <c r="C157" s="25" t="s">
        <v>1361</v>
      </c>
      <c r="D157" s="25" t="s">
        <v>1337</v>
      </c>
      <c r="E157" s="25" t="s">
        <v>1362</v>
      </c>
      <c r="G157" s="25" t="s">
        <v>1748</v>
      </c>
      <c r="H157" s="25">
        <v>45</v>
      </c>
      <c r="I157" s="25" t="s">
        <v>4316</v>
      </c>
      <c r="J157" s="25" t="str">
        <f>VLOOKUP(I157,'records (3)'!$A:$C,2,FALSE)</f>
        <v>003IV000010su90YAA</v>
      </c>
      <c r="K157" s="25" t="s">
        <v>4317</v>
      </c>
      <c r="L157" s="25" t="s">
        <v>4318</v>
      </c>
      <c r="M157" s="25" t="s">
        <v>4316</v>
      </c>
      <c r="N157" s="25" t="str">
        <f>VLOOKUP($M157,'records (3)'!$A:$C,2,FALSE)</f>
        <v>003IV000010su90YAA</v>
      </c>
      <c r="O157" s="25" t="s">
        <v>4317</v>
      </c>
      <c r="P157" s="25" t="s">
        <v>4318</v>
      </c>
      <c r="Q157" s="25" t="s">
        <v>3751</v>
      </c>
      <c r="R157" s="25" t="s">
        <v>1751</v>
      </c>
      <c r="S157" s="25" t="s">
        <v>3744</v>
      </c>
      <c r="T157" s="25" t="s">
        <v>1747</v>
      </c>
      <c r="V157" s="25" t="s">
        <v>1233</v>
      </c>
      <c r="X157" s="25" t="s">
        <v>1233</v>
      </c>
      <c r="Z157" s="25" t="s">
        <v>1751</v>
      </c>
    </row>
    <row r="158" spans="1:26">
      <c r="A158" s="25" t="s">
        <v>2244</v>
      </c>
      <c r="B158" s="25" t="s">
        <v>62</v>
      </c>
      <c r="C158" s="25" t="s">
        <v>2241</v>
      </c>
      <c r="D158" s="25" t="s">
        <v>1337</v>
      </c>
      <c r="E158" s="25" t="s">
        <v>2242</v>
      </c>
      <c r="G158" s="25" t="s">
        <v>2243</v>
      </c>
      <c r="H158" s="25">
        <v>30</v>
      </c>
      <c r="I158" s="25" t="s">
        <v>4319</v>
      </c>
      <c r="J158" s="25" t="str">
        <f>VLOOKUP(I158,'records (3)'!$A:$C,2,FALSE)</f>
        <v>003IV000010tRdWYAU</v>
      </c>
      <c r="K158" s="25" t="s">
        <v>4320</v>
      </c>
      <c r="L158" s="25" t="s">
        <v>4321</v>
      </c>
      <c r="M158" s="25" t="s">
        <v>4322</v>
      </c>
      <c r="N158" s="25" t="str">
        <f>VLOOKUP($M158,'records (3)'!$A:$C,2,FALSE)</f>
        <v>003IV000010t3szYAA</v>
      </c>
      <c r="O158" s="25" t="s">
        <v>4323</v>
      </c>
      <c r="P158" s="25" t="s">
        <v>4324</v>
      </c>
      <c r="Q158" s="25" t="s">
        <v>3751</v>
      </c>
      <c r="R158" s="25" t="s">
        <v>2246</v>
      </c>
      <c r="S158" s="25" t="s">
        <v>3744</v>
      </c>
      <c r="T158" s="25" t="s">
        <v>2240</v>
      </c>
      <c r="V158" s="25" t="s">
        <v>1233</v>
      </c>
      <c r="X158" s="25" t="s">
        <v>1233</v>
      </c>
      <c r="Z158" s="25" t="s">
        <v>2246</v>
      </c>
    </row>
    <row r="159" spans="1:26">
      <c r="A159" s="25" t="s">
        <v>3132</v>
      </c>
      <c r="B159" s="25" t="s">
        <v>223</v>
      </c>
      <c r="C159" s="25" t="s">
        <v>3129</v>
      </c>
      <c r="D159" s="25" t="s">
        <v>1337</v>
      </c>
      <c r="E159" s="25" t="s">
        <v>3130</v>
      </c>
      <c r="G159" s="25" t="s">
        <v>3131</v>
      </c>
      <c r="H159" s="25">
        <v>30</v>
      </c>
      <c r="I159" s="25" t="s">
        <v>4325</v>
      </c>
      <c r="J159" s="25" t="str">
        <f>VLOOKUP(I159,'records (3)'!$A:$C,2,FALSE)</f>
        <v>003IV000010tRdaYAE</v>
      </c>
      <c r="K159" s="25" t="s">
        <v>4326</v>
      </c>
      <c r="L159" s="25" t="s">
        <v>4327</v>
      </c>
      <c r="M159" s="25" t="s">
        <v>4325</v>
      </c>
      <c r="N159" s="25" t="str">
        <f>VLOOKUP($M159,'records (3)'!$A:$C,2,FALSE)</f>
        <v>003IV000010tRdaYAE</v>
      </c>
      <c r="O159" s="25" t="s">
        <v>4326</v>
      </c>
      <c r="P159" s="25" t="s">
        <v>4327</v>
      </c>
      <c r="Q159" s="25" t="s">
        <v>3751</v>
      </c>
      <c r="R159" s="25" t="s">
        <v>3134</v>
      </c>
      <c r="S159" s="25" t="s">
        <v>3744</v>
      </c>
      <c r="T159" s="25" t="s">
        <v>3128</v>
      </c>
      <c r="V159" s="25" t="s">
        <v>1233</v>
      </c>
      <c r="X159" s="25" t="s">
        <v>1233</v>
      </c>
      <c r="Z159" s="25" t="s">
        <v>3134</v>
      </c>
    </row>
    <row r="160" spans="1:26">
      <c r="A160" s="25" t="s">
        <v>3210</v>
      </c>
      <c r="B160" s="25" t="s">
        <v>614</v>
      </c>
      <c r="C160" s="25" t="s">
        <v>3207</v>
      </c>
      <c r="D160" s="25" t="s">
        <v>1337</v>
      </c>
      <c r="E160" s="25" t="s">
        <v>3208</v>
      </c>
      <c r="G160" s="25" t="s">
        <v>3209</v>
      </c>
      <c r="H160" s="25">
        <v>30</v>
      </c>
      <c r="I160" s="25" t="s">
        <v>4328</v>
      </c>
      <c r="J160" s="25" t="str">
        <f>VLOOKUP(I160,'records (3)'!$A:$C,2,FALSE)</f>
        <v>003IV000010tPaSYAU</v>
      </c>
      <c r="K160" s="25" t="s">
        <v>4329</v>
      </c>
      <c r="L160" s="25" t="s">
        <v>3212</v>
      </c>
      <c r="M160" s="25" t="s">
        <v>4328</v>
      </c>
      <c r="N160" s="25" t="str">
        <f>VLOOKUP($M160,'records (3)'!$A:$C,2,FALSE)</f>
        <v>003IV000010tPaSYAU</v>
      </c>
      <c r="O160" s="25" t="s">
        <v>4329</v>
      </c>
      <c r="P160" s="25" t="s">
        <v>3212</v>
      </c>
      <c r="Q160" s="25" t="s">
        <v>3751</v>
      </c>
      <c r="R160" s="25" t="s">
        <v>3212</v>
      </c>
      <c r="S160" s="25" t="s">
        <v>3744</v>
      </c>
      <c r="T160" s="25" t="s">
        <v>3206</v>
      </c>
      <c r="V160" s="25" t="s">
        <v>1233</v>
      </c>
      <c r="X160" s="25" t="s">
        <v>1233</v>
      </c>
      <c r="Z160" s="25" t="s">
        <v>3212</v>
      </c>
    </row>
    <row r="161" spans="1:26">
      <c r="A161" s="25" t="s">
        <v>1563</v>
      </c>
      <c r="B161" s="25" t="s">
        <v>892</v>
      </c>
      <c r="C161" s="25" t="s">
        <v>1560</v>
      </c>
      <c r="D161" s="25" t="s">
        <v>1337</v>
      </c>
      <c r="E161" s="25" t="s">
        <v>1561</v>
      </c>
      <c r="G161" s="25" t="s">
        <v>1562</v>
      </c>
      <c r="H161" s="25">
        <v>30</v>
      </c>
      <c r="I161" s="25" t="s">
        <v>4330</v>
      </c>
      <c r="J161" s="25" t="str">
        <f>VLOOKUP(I161,'records (3)'!$A:$C,2,FALSE)</f>
        <v>003IV000010tIedYAE</v>
      </c>
      <c r="K161" s="25" t="s">
        <v>4331</v>
      </c>
      <c r="L161" s="25" t="s">
        <v>4332</v>
      </c>
      <c r="M161" s="25" t="s">
        <v>4333</v>
      </c>
      <c r="N161" s="25" t="str">
        <f>VLOOKUP($M161,'records (3)'!$A:$C,2,FALSE)</f>
        <v>003IV000010tIecYAE</v>
      </c>
      <c r="O161" s="25" t="s">
        <v>4334</v>
      </c>
      <c r="P161" s="25" t="s">
        <v>1565</v>
      </c>
      <c r="Q161" s="25" t="s">
        <v>3751</v>
      </c>
      <c r="R161" s="25" t="s">
        <v>1565</v>
      </c>
      <c r="S161" s="25" t="s">
        <v>3744</v>
      </c>
      <c r="T161" s="25" t="s">
        <v>1559</v>
      </c>
      <c r="V161" s="25" t="s">
        <v>1233</v>
      </c>
      <c r="X161" s="25" t="s">
        <v>1233</v>
      </c>
      <c r="Z161" s="25" t="s">
        <v>1565</v>
      </c>
    </row>
    <row r="162" spans="1:26">
      <c r="A162" s="25" t="s">
        <v>3704</v>
      </c>
      <c r="B162" s="25" t="s">
        <v>844</v>
      </c>
      <c r="C162" s="25" t="s">
        <v>3701</v>
      </c>
      <c r="D162" s="25" t="s">
        <v>1337</v>
      </c>
      <c r="E162" s="25" t="s">
        <v>3702</v>
      </c>
      <c r="G162" s="25" t="s">
        <v>3703</v>
      </c>
      <c r="H162" s="25">
        <v>30</v>
      </c>
      <c r="I162" s="25" t="s">
        <v>4335</v>
      </c>
      <c r="J162" s="25" t="str">
        <f>VLOOKUP(I162,'records (3)'!$A:$C,2,FALSE)</f>
        <v>003IV000010tTsfYAE</v>
      </c>
      <c r="K162" s="25" t="s">
        <v>4336</v>
      </c>
      <c r="L162" s="25" t="s">
        <v>4337</v>
      </c>
      <c r="M162" s="25" t="s">
        <v>4335</v>
      </c>
      <c r="N162" s="25" t="str">
        <f>VLOOKUP($M162,'records (3)'!$A:$C,2,FALSE)</f>
        <v>003IV000010tTsfYAE</v>
      </c>
      <c r="O162" s="25" t="s">
        <v>4336</v>
      </c>
      <c r="P162" s="25" t="s">
        <v>4337</v>
      </c>
      <c r="Q162" s="25" t="s">
        <v>3751</v>
      </c>
      <c r="S162" s="25" t="s">
        <v>3744</v>
      </c>
      <c r="T162" s="25" t="s">
        <v>3700</v>
      </c>
      <c r="V162" s="25" t="s">
        <v>3701</v>
      </c>
      <c r="X162" s="25" t="s">
        <v>3702</v>
      </c>
      <c r="Z162" s="25" t="s">
        <v>3703</v>
      </c>
    </row>
    <row r="163" spans="1:26">
      <c r="A163" s="25" t="s">
        <v>3007</v>
      </c>
      <c r="B163" s="25" t="s">
        <v>627</v>
      </c>
      <c r="C163" s="25" t="s">
        <v>3004</v>
      </c>
      <c r="D163" s="25" t="s">
        <v>1337</v>
      </c>
      <c r="E163" s="25" t="s">
        <v>3005</v>
      </c>
      <c r="G163" s="25" t="s">
        <v>3006</v>
      </c>
      <c r="H163" s="25">
        <v>30</v>
      </c>
      <c r="I163" s="25" t="s">
        <v>4338</v>
      </c>
      <c r="J163" s="25" t="str">
        <f>VLOOKUP(I163,'records (3)'!$A:$C,2,FALSE)</f>
        <v>003IV000010tRTfYAM</v>
      </c>
      <c r="K163" s="25" t="s">
        <v>4339</v>
      </c>
      <c r="L163" s="25" t="s">
        <v>3009</v>
      </c>
      <c r="M163" s="25" t="s">
        <v>4338</v>
      </c>
      <c r="N163" s="25" t="str">
        <f>VLOOKUP($M163,'records (3)'!$A:$C,2,FALSE)</f>
        <v>003IV000010tRTfYAM</v>
      </c>
      <c r="O163" s="25" t="s">
        <v>4339</v>
      </c>
      <c r="P163" s="25" t="s">
        <v>3009</v>
      </c>
      <c r="Q163" s="25" t="s">
        <v>3751</v>
      </c>
      <c r="R163" s="25" t="s">
        <v>3009</v>
      </c>
      <c r="S163" s="25" t="s">
        <v>3744</v>
      </c>
      <c r="T163" s="25" t="s">
        <v>627</v>
      </c>
      <c r="V163" s="25" t="s">
        <v>1233</v>
      </c>
      <c r="X163" s="25" t="s">
        <v>1233</v>
      </c>
      <c r="Z163" s="25" t="s">
        <v>3009</v>
      </c>
    </row>
    <row r="164" spans="1:26">
      <c r="A164" s="25" t="s">
        <v>2000</v>
      </c>
      <c r="B164" s="25" t="s">
        <v>1113</v>
      </c>
      <c r="C164" s="25" t="s">
        <v>1997</v>
      </c>
      <c r="D164" s="25" t="s">
        <v>1337</v>
      </c>
      <c r="E164" s="25" t="s">
        <v>1998</v>
      </c>
      <c r="G164" s="25" t="s">
        <v>1999</v>
      </c>
      <c r="H164" s="25">
        <v>30</v>
      </c>
      <c r="I164" s="25" t="s">
        <v>4340</v>
      </c>
      <c r="J164" s="25" t="str">
        <f>VLOOKUP(I164,'records (3)'!$A:$C,2,FALSE)</f>
        <v>003IV000010tIekYAE</v>
      </c>
      <c r="K164" s="25" t="s">
        <v>4341</v>
      </c>
      <c r="L164" s="25" t="s">
        <v>2002</v>
      </c>
      <c r="M164" s="25" t="s">
        <v>4340</v>
      </c>
      <c r="N164" s="25" t="str">
        <f>VLOOKUP($M164,'records (3)'!$A:$C,2,FALSE)</f>
        <v>003IV000010tIekYAE</v>
      </c>
      <c r="O164" s="25" t="s">
        <v>4341</v>
      </c>
      <c r="P164" s="25" t="s">
        <v>2002</v>
      </c>
      <c r="Q164" s="25" t="s">
        <v>3751</v>
      </c>
      <c r="R164" s="25" t="s">
        <v>2002</v>
      </c>
      <c r="S164" s="25" t="s">
        <v>3744</v>
      </c>
      <c r="T164" s="25" t="s">
        <v>1996</v>
      </c>
      <c r="V164" s="25" t="s">
        <v>1233</v>
      </c>
      <c r="X164" s="25" t="s">
        <v>1233</v>
      </c>
      <c r="Z164" s="25" t="s">
        <v>2002</v>
      </c>
    </row>
    <row r="165" spans="1:26">
      <c r="A165" s="25" t="s">
        <v>3370</v>
      </c>
      <c r="B165" s="25" t="s">
        <v>259</v>
      </c>
      <c r="C165" s="25" t="s">
        <v>1944</v>
      </c>
      <c r="D165" s="25" t="s">
        <v>1337</v>
      </c>
      <c r="E165" s="25" t="s">
        <v>1945</v>
      </c>
      <c r="G165" s="25" t="s">
        <v>4342</v>
      </c>
      <c r="H165" s="25">
        <v>30</v>
      </c>
      <c r="I165" s="25" t="s">
        <v>4343</v>
      </c>
      <c r="J165" s="25" t="str">
        <f>VLOOKUP(I165,'records (3)'!$A:$C,2,FALSE)</f>
        <v>003IV000010tQIUYA2</v>
      </c>
      <c r="K165" s="25" t="s">
        <v>4344</v>
      </c>
      <c r="L165" s="25" t="s">
        <v>4345</v>
      </c>
      <c r="M165" s="25" t="s">
        <v>4343</v>
      </c>
      <c r="N165" s="25" t="str">
        <f>VLOOKUP($M165,'records (3)'!$A:$C,2,FALSE)</f>
        <v>003IV000010tQIUYA2</v>
      </c>
      <c r="O165" s="25" t="s">
        <v>4344</v>
      </c>
      <c r="P165" s="25" t="s">
        <v>4345</v>
      </c>
      <c r="Q165" s="25" t="s">
        <v>3751</v>
      </c>
      <c r="R165" s="25" t="s">
        <v>3372</v>
      </c>
      <c r="S165" s="25" t="s">
        <v>3744</v>
      </c>
      <c r="T165" s="25" t="s">
        <v>3368</v>
      </c>
      <c r="U165" s="25" t="s">
        <v>1840</v>
      </c>
      <c r="V165" s="25" t="s">
        <v>1233</v>
      </c>
      <c r="X165" s="25" t="s">
        <v>1233</v>
      </c>
      <c r="Z165" s="25" t="s">
        <v>3372</v>
      </c>
    </row>
    <row r="166" spans="1:26">
      <c r="A166" s="25" t="s">
        <v>1589</v>
      </c>
      <c r="B166" s="25" t="s">
        <v>68</v>
      </c>
      <c r="C166" s="25" t="s">
        <v>1585</v>
      </c>
      <c r="D166" s="25" t="s">
        <v>1337</v>
      </c>
      <c r="E166" s="25" t="s">
        <v>1587</v>
      </c>
      <c r="G166" s="25" t="s">
        <v>1588</v>
      </c>
      <c r="H166" s="25">
        <v>30</v>
      </c>
      <c r="I166" s="25" t="s">
        <v>4346</v>
      </c>
      <c r="J166" s="25" t="str">
        <f>VLOOKUP(I166,'records (3)'!$A:$C,2,FALSE)</f>
        <v>003IV000010tQITYA2</v>
      </c>
      <c r="K166" s="25" t="s">
        <v>4347</v>
      </c>
      <c r="L166" s="25" t="s">
        <v>4348</v>
      </c>
      <c r="M166" s="25" t="s">
        <v>4346</v>
      </c>
      <c r="N166" s="25" t="str">
        <f>VLOOKUP($M166,'records (3)'!$A:$C,2,FALSE)</f>
        <v>003IV000010tQITYA2</v>
      </c>
      <c r="O166" s="25" t="s">
        <v>4347</v>
      </c>
      <c r="P166" s="25" t="s">
        <v>4348</v>
      </c>
      <c r="Q166" s="25" t="s">
        <v>3751</v>
      </c>
      <c r="R166" s="25" t="s">
        <v>1591</v>
      </c>
      <c r="S166" s="25" t="s">
        <v>3744</v>
      </c>
      <c r="T166" s="25" t="s">
        <v>1584</v>
      </c>
      <c r="U166" s="25" t="s">
        <v>1586</v>
      </c>
      <c r="V166" s="25" t="s">
        <v>1233</v>
      </c>
      <c r="X166" s="25" t="s">
        <v>1233</v>
      </c>
      <c r="Z166" s="25" t="s">
        <v>1591</v>
      </c>
    </row>
    <row r="167" spans="1:26">
      <c r="A167" s="25" t="s">
        <v>2714</v>
      </c>
      <c r="B167" s="25" t="s">
        <v>393</v>
      </c>
      <c r="C167" s="25" t="s">
        <v>2711</v>
      </c>
      <c r="D167" s="25" t="s">
        <v>1337</v>
      </c>
      <c r="E167" s="25" t="s">
        <v>2712</v>
      </c>
      <c r="G167" s="25" t="s">
        <v>2713</v>
      </c>
      <c r="H167" s="25">
        <v>30</v>
      </c>
      <c r="I167" s="25" t="s">
        <v>4349</v>
      </c>
      <c r="J167" s="25" t="str">
        <f>VLOOKUP(I167,'records (3)'!$A:$C,2,FALSE)</f>
        <v>003IV000010su86YAA</v>
      </c>
      <c r="K167" s="25" t="s">
        <v>4350</v>
      </c>
      <c r="L167" s="25" t="s">
        <v>4351</v>
      </c>
      <c r="M167" s="25" t="s">
        <v>4349</v>
      </c>
      <c r="N167" s="25" t="str">
        <f>VLOOKUP($M167,'records (3)'!$A:$C,2,FALSE)</f>
        <v>003IV000010su86YAA</v>
      </c>
      <c r="O167" s="25" t="s">
        <v>4350</v>
      </c>
      <c r="P167" s="25" t="s">
        <v>4351</v>
      </c>
      <c r="Q167" s="25" t="s">
        <v>3751</v>
      </c>
      <c r="R167" s="25" t="s">
        <v>2716</v>
      </c>
      <c r="S167" s="25" t="s">
        <v>4078</v>
      </c>
      <c r="T167" s="25" t="s">
        <v>2710</v>
      </c>
      <c r="V167" s="25" t="s">
        <v>1233</v>
      </c>
      <c r="X167" s="25" t="s">
        <v>1233</v>
      </c>
      <c r="Z167" s="25" t="s">
        <v>2716</v>
      </c>
    </row>
    <row r="168" spans="1:26">
      <c r="A168" s="25" t="s">
        <v>1273</v>
      </c>
      <c r="B168" s="25" t="s">
        <v>289</v>
      </c>
      <c r="C168" s="25" t="s">
        <v>3096</v>
      </c>
      <c r="D168" s="25" t="s">
        <v>1337</v>
      </c>
      <c r="E168" s="25" t="s">
        <v>4352</v>
      </c>
      <c r="G168" s="25" t="s">
        <v>4353</v>
      </c>
      <c r="H168" s="25">
        <v>30</v>
      </c>
      <c r="I168" s="25" t="s">
        <v>4354</v>
      </c>
      <c r="J168" s="25" t="str">
        <f>VLOOKUP(I168,'records (3)'!$A:$C,2,FALSE)</f>
        <v>003IV000010t3wmYAA</v>
      </c>
      <c r="K168" s="25" t="s">
        <v>4355</v>
      </c>
      <c r="L168" s="25" t="s">
        <v>4356</v>
      </c>
      <c r="M168" s="25" t="s">
        <v>4354</v>
      </c>
      <c r="N168" s="25" t="str">
        <f>VLOOKUP($M168,'records (3)'!$A:$C,2,FALSE)</f>
        <v>003IV000010t3wmYAA</v>
      </c>
      <c r="O168" s="25" t="s">
        <v>4355</v>
      </c>
      <c r="P168" s="25" t="s">
        <v>4356</v>
      </c>
      <c r="Q168" s="25" t="s">
        <v>3751</v>
      </c>
      <c r="R168" s="25" t="s">
        <v>3100</v>
      </c>
      <c r="S168" s="25" t="s">
        <v>3744</v>
      </c>
      <c r="T168" s="25" t="s">
        <v>289</v>
      </c>
      <c r="U168" s="25" t="s">
        <v>1847</v>
      </c>
      <c r="V168" s="25" t="s">
        <v>1233</v>
      </c>
      <c r="X168" s="25" t="s">
        <v>1233</v>
      </c>
      <c r="Z168" s="25" t="s">
        <v>3100</v>
      </c>
    </row>
    <row r="169" spans="1:26">
      <c r="A169" s="25" t="s">
        <v>1490</v>
      </c>
      <c r="B169" s="25" t="s">
        <v>122</v>
      </c>
      <c r="C169" s="25" t="s">
        <v>1486</v>
      </c>
      <c r="D169" s="25" t="s">
        <v>1337</v>
      </c>
      <c r="E169" s="25" t="s">
        <v>1488</v>
      </c>
      <c r="G169" s="25" t="s">
        <v>1489</v>
      </c>
      <c r="H169" s="25">
        <v>30</v>
      </c>
      <c r="I169" s="25" t="s">
        <v>4357</v>
      </c>
      <c r="J169" s="25" t="str">
        <f>VLOOKUP(I169,'records (3)'!$A:$C,2,FALSE)</f>
        <v>003IV000010su8wYAA</v>
      </c>
      <c r="K169" s="25" t="s">
        <v>4358</v>
      </c>
      <c r="L169" s="25" t="s">
        <v>4359</v>
      </c>
      <c r="M169" s="25" t="s">
        <v>4357</v>
      </c>
      <c r="N169" s="25" t="str">
        <f>VLOOKUP($M169,'records (3)'!$A:$C,2,FALSE)</f>
        <v>003IV000010su8wYAA</v>
      </c>
      <c r="O169" s="25" t="s">
        <v>4358</v>
      </c>
      <c r="P169" s="25" t="s">
        <v>4359</v>
      </c>
      <c r="Q169" s="25" t="s">
        <v>3751</v>
      </c>
      <c r="R169" s="25" t="s">
        <v>4359</v>
      </c>
      <c r="S169" s="25" t="s">
        <v>3744</v>
      </c>
      <c r="T169" s="25" t="s">
        <v>1485</v>
      </c>
      <c r="U169" s="25" t="s">
        <v>1487</v>
      </c>
      <c r="V169" s="25" t="s">
        <v>1233</v>
      </c>
      <c r="X169" s="25" t="s">
        <v>1233</v>
      </c>
      <c r="Z169" s="25" t="s">
        <v>1492</v>
      </c>
    </row>
    <row r="170" spans="1:26">
      <c r="A170" s="25" t="s">
        <v>2022</v>
      </c>
      <c r="B170" s="25" t="s">
        <v>101</v>
      </c>
      <c r="C170" s="25" t="s">
        <v>2019</v>
      </c>
      <c r="D170" s="25" t="s">
        <v>1337</v>
      </c>
      <c r="E170" s="25" t="s">
        <v>2020</v>
      </c>
      <c r="G170" s="25" t="s">
        <v>2021</v>
      </c>
      <c r="H170" s="25">
        <v>30</v>
      </c>
      <c r="I170" s="25" t="s">
        <v>4360</v>
      </c>
      <c r="J170" s="25" t="str">
        <f>VLOOKUP(I170,'records (3)'!$A:$C,2,FALSE)</f>
        <v>003IV000010tQI7YAM</v>
      </c>
      <c r="K170" s="25" t="s">
        <v>4361</v>
      </c>
      <c r="L170" s="25" t="s">
        <v>2024</v>
      </c>
      <c r="M170" s="25" t="s">
        <v>4360</v>
      </c>
      <c r="N170" s="25" t="str">
        <f>VLOOKUP($M170,'records (3)'!$A:$C,2,FALSE)</f>
        <v>003IV000010tQI7YAM</v>
      </c>
      <c r="O170" s="25" t="s">
        <v>4361</v>
      </c>
      <c r="P170" s="25" t="s">
        <v>2024</v>
      </c>
      <c r="Q170" s="25" t="s">
        <v>3751</v>
      </c>
      <c r="R170" s="25" t="s">
        <v>2024</v>
      </c>
      <c r="S170" s="25" t="s">
        <v>3744</v>
      </c>
      <c r="T170" s="25" t="s">
        <v>2018</v>
      </c>
      <c r="V170" s="25" t="s">
        <v>1233</v>
      </c>
      <c r="X170" s="25" t="s">
        <v>1233</v>
      </c>
      <c r="Z170" s="25" t="s">
        <v>2024</v>
      </c>
    </row>
    <row r="171" spans="1:26">
      <c r="A171" s="25" t="s">
        <v>3596</v>
      </c>
      <c r="B171" s="25" t="s">
        <v>65</v>
      </c>
      <c r="C171" s="25" t="s">
        <v>3593</v>
      </c>
      <c r="D171" s="25" t="s">
        <v>1337</v>
      </c>
      <c r="E171" s="25" t="s">
        <v>4362</v>
      </c>
      <c r="G171" s="25" t="s">
        <v>3595</v>
      </c>
      <c r="H171" s="25">
        <v>30</v>
      </c>
      <c r="I171" s="25" t="s">
        <v>4363</v>
      </c>
      <c r="J171" s="25" t="str">
        <f>VLOOKUP(I171,'records (3)'!$A:$C,2,FALSE)</f>
        <v>003IV000010tJXDYA2</v>
      </c>
      <c r="K171" s="25" t="s">
        <v>4364</v>
      </c>
      <c r="L171" s="25" t="s">
        <v>4365</v>
      </c>
      <c r="M171" s="25" t="s">
        <v>4363</v>
      </c>
      <c r="N171" s="25" t="str">
        <f>VLOOKUP($M171,'records (3)'!$A:$C,2,FALSE)</f>
        <v>003IV000010tJXDYA2</v>
      </c>
      <c r="O171" s="25" t="s">
        <v>4364</v>
      </c>
      <c r="P171" s="25" t="s">
        <v>4365</v>
      </c>
      <c r="Q171" s="25" t="s">
        <v>3751</v>
      </c>
      <c r="S171" s="25" t="s">
        <v>3744</v>
      </c>
      <c r="T171" s="25" t="s">
        <v>3592</v>
      </c>
      <c r="V171" s="25" t="s">
        <v>3593</v>
      </c>
      <c r="X171" s="25" t="s">
        <v>4362</v>
      </c>
      <c r="Z171" s="25" t="s">
        <v>3595</v>
      </c>
    </row>
    <row r="172" spans="1:26">
      <c r="A172" s="25" t="s">
        <v>1524</v>
      </c>
      <c r="B172" s="25" t="s">
        <v>489</v>
      </c>
      <c r="C172" s="25" t="s">
        <v>1521</v>
      </c>
      <c r="D172" s="25" t="s">
        <v>1337</v>
      </c>
      <c r="E172" s="25" t="s">
        <v>1522</v>
      </c>
      <c r="G172" s="25" t="s">
        <v>4366</v>
      </c>
      <c r="H172" s="25">
        <v>30</v>
      </c>
      <c r="I172" s="25" t="s">
        <v>4367</v>
      </c>
      <c r="J172" s="25" t="str">
        <f>VLOOKUP(I172,'records (3)'!$A:$C,2,FALSE)</f>
        <v>003IV000010taO5YAI</v>
      </c>
      <c r="K172" s="25" t="s">
        <v>4368</v>
      </c>
      <c r="L172" s="25" t="s">
        <v>1526</v>
      </c>
      <c r="M172" s="25" t="s">
        <v>4367</v>
      </c>
      <c r="N172" s="25" t="str">
        <f>VLOOKUP($M172,'records (3)'!$A:$C,2,FALSE)</f>
        <v>003IV000010taO5YAI</v>
      </c>
      <c r="O172" s="25" t="s">
        <v>4368</v>
      </c>
      <c r="P172" s="25" t="s">
        <v>1526</v>
      </c>
      <c r="Q172" s="25" t="s">
        <v>3751</v>
      </c>
      <c r="R172" s="25" t="s">
        <v>1526</v>
      </c>
      <c r="S172" s="25" t="s">
        <v>3744</v>
      </c>
      <c r="T172" s="25" t="s">
        <v>1520</v>
      </c>
      <c r="V172" s="25" t="s">
        <v>1233</v>
      </c>
      <c r="X172" s="25" t="s">
        <v>1233</v>
      </c>
      <c r="Z172" s="25" t="s">
        <v>1526</v>
      </c>
    </row>
    <row r="173" spans="1:26">
      <c r="A173" s="25" t="s">
        <v>1897</v>
      </c>
      <c r="B173" s="25" t="s">
        <v>1119</v>
      </c>
      <c r="C173" s="25" t="s">
        <v>1894</v>
      </c>
      <c r="D173" s="25" t="s">
        <v>1337</v>
      </c>
      <c r="E173" s="25" t="s">
        <v>1895</v>
      </c>
      <c r="G173" s="25" t="s">
        <v>1896</v>
      </c>
      <c r="H173" s="25">
        <v>30</v>
      </c>
      <c r="I173" s="25" t="s">
        <v>4369</v>
      </c>
      <c r="J173" s="25" t="str">
        <f>VLOOKUP(I173,'records (3)'!$A:$C,2,FALSE)</f>
        <v>003IV000010tI5IYAU</v>
      </c>
      <c r="K173" s="25" t="s">
        <v>4370</v>
      </c>
      <c r="L173" s="25" t="s">
        <v>4371</v>
      </c>
      <c r="M173" s="25" t="s">
        <v>4372</v>
      </c>
      <c r="N173" s="25" t="str">
        <f>VLOOKUP($M173,'records (3)'!$A:$C,2,FALSE)</f>
        <v>003IV000010tJXaYAM</v>
      </c>
      <c r="O173" s="25" t="s">
        <v>4373</v>
      </c>
      <c r="P173" s="25" t="s">
        <v>1899</v>
      </c>
      <c r="Q173" s="25" t="s">
        <v>3751</v>
      </c>
      <c r="R173" s="25" t="s">
        <v>1899</v>
      </c>
      <c r="S173" s="25" t="s">
        <v>3744</v>
      </c>
      <c r="T173" s="25" t="s">
        <v>1893</v>
      </c>
      <c r="U173" s="25" t="s">
        <v>1832</v>
      </c>
      <c r="V173" s="25" t="s">
        <v>1233</v>
      </c>
      <c r="X173" s="25" t="s">
        <v>1233</v>
      </c>
      <c r="Z173" s="25" t="s">
        <v>1899</v>
      </c>
    </row>
    <row r="174" spans="1:26">
      <c r="A174" s="25" t="s">
        <v>2886</v>
      </c>
      <c r="B174" s="25" t="s">
        <v>134</v>
      </c>
      <c r="C174" s="25" t="s">
        <v>2883</v>
      </c>
      <c r="D174" s="25" t="s">
        <v>1337</v>
      </c>
      <c r="E174" s="25" t="s">
        <v>2884</v>
      </c>
      <c r="G174" s="25" t="s">
        <v>2885</v>
      </c>
      <c r="H174" s="25">
        <v>30</v>
      </c>
      <c r="I174" s="25" t="s">
        <v>4374</v>
      </c>
      <c r="J174" s="25" t="str">
        <f>VLOOKUP(I174,'records (3)'!$A:$C,2,FALSE)</f>
        <v>003IV000010rv3VYAQ</v>
      </c>
      <c r="K174" s="25" t="s">
        <v>4375</v>
      </c>
      <c r="L174" s="25" t="s">
        <v>4376</v>
      </c>
      <c r="M174" s="25" t="s">
        <v>4374</v>
      </c>
      <c r="N174" s="25" t="str">
        <f>VLOOKUP($M174,'records (3)'!$A:$C,2,FALSE)</f>
        <v>003IV000010rv3VYAQ</v>
      </c>
      <c r="O174" s="25" t="s">
        <v>4375</v>
      </c>
      <c r="P174" s="25" t="s">
        <v>4376</v>
      </c>
      <c r="Q174" s="25" t="s">
        <v>3751</v>
      </c>
      <c r="R174" s="25" t="s">
        <v>2888</v>
      </c>
      <c r="S174" s="25" t="s">
        <v>3744</v>
      </c>
      <c r="T174" s="25" t="s">
        <v>134</v>
      </c>
      <c r="V174" s="25" t="s">
        <v>1233</v>
      </c>
      <c r="X174" s="25" t="s">
        <v>1233</v>
      </c>
      <c r="Z174" s="25" t="s">
        <v>2888</v>
      </c>
    </row>
    <row r="175" spans="1:26">
      <c r="A175" s="25" t="s">
        <v>2770</v>
      </c>
      <c r="B175" s="25" t="s">
        <v>743</v>
      </c>
      <c r="C175" s="25" t="s">
        <v>2767</v>
      </c>
      <c r="D175" s="25" t="s">
        <v>1337</v>
      </c>
      <c r="E175" s="25" t="s">
        <v>2768</v>
      </c>
      <c r="G175" s="25" t="s">
        <v>2769</v>
      </c>
      <c r="H175" s="25">
        <v>30</v>
      </c>
      <c r="I175" s="25" t="s">
        <v>4377</v>
      </c>
      <c r="J175" s="25" t="str">
        <f>VLOOKUP(I175,'records (3)'!$A:$C,2,FALSE)</f>
        <v>003IV000010tPaKYAU</v>
      </c>
      <c r="K175" s="25" t="s">
        <v>4378</v>
      </c>
      <c r="L175" s="25" t="s">
        <v>4379</v>
      </c>
      <c r="M175" s="25" t="s">
        <v>4377</v>
      </c>
      <c r="N175" s="25" t="str">
        <f>VLOOKUP($M175,'records (3)'!$A:$C,2,FALSE)</f>
        <v>003IV000010tPaKYAU</v>
      </c>
      <c r="O175" s="25" t="s">
        <v>4378</v>
      </c>
      <c r="P175" s="25" t="s">
        <v>4379</v>
      </c>
      <c r="Q175" s="25" t="s">
        <v>3751</v>
      </c>
      <c r="R175" s="25" t="s">
        <v>2772</v>
      </c>
      <c r="S175" s="25" t="s">
        <v>3744</v>
      </c>
      <c r="T175" s="25" t="s">
        <v>2766</v>
      </c>
      <c r="V175" s="25" t="s">
        <v>1233</v>
      </c>
      <c r="X175" s="25" t="s">
        <v>1233</v>
      </c>
      <c r="Z175" s="25" t="s">
        <v>2772</v>
      </c>
    </row>
    <row r="176" spans="1:26">
      <c r="A176" s="25" t="s">
        <v>1788</v>
      </c>
      <c r="B176" s="25" t="s">
        <v>379</v>
      </c>
      <c r="C176" s="25" t="s">
        <v>1785</v>
      </c>
      <c r="D176" s="25" t="s">
        <v>1337</v>
      </c>
      <c r="E176" s="25" t="s">
        <v>1786</v>
      </c>
      <c r="G176" s="25" t="s">
        <v>1787</v>
      </c>
      <c r="H176" s="25">
        <v>30</v>
      </c>
      <c r="I176" s="25" t="s">
        <v>4380</v>
      </c>
      <c r="J176" s="25" t="str">
        <f>VLOOKUP(I176,'records (3)'!$A:$C,2,FALSE)</f>
        <v>003IV000010tPaLYAU</v>
      </c>
      <c r="K176" s="25" t="s">
        <v>4381</v>
      </c>
      <c r="L176" s="25" t="s">
        <v>1790</v>
      </c>
      <c r="M176" s="25" t="s">
        <v>4380</v>
      </c>
      <c r="N176" s="25" t="str">
        <f>VLOOKUP($M176,'records (3)'!$A:$C,2,FALSE)</f>
        <v>003IV000010tPaLYAU</v>
      </c>
      <c r="O176" s="25" t="s">
        <v>4381</v>
      </c>
      <c r="P176" s="25" t="s">
        <v>1790</v>
      </c>
      <c r="Q176" s="25" t="s">
        <v>3751</v>
      </c>
      <c r="R176" s="25" t="s">
        <v>1790</v>
      </c>
      <c r="S176" s="25" t="s">
        <v>3744</v>
      </c>
      <c r="T176" s="25" t="s">
        <v>1784</v>
      </c>
      <c r="V176" s="25" t="s">
        <v>1233</v>
      </c>
      <c r="X176" s="25" t="s">
        <v>1233</v>
      </c>
      <c r="Z176" s="25" t="s">
        <v>1790</v>
      </c>
    </row>
    <row r="177" spans="1:26">
      <c r="A177" s="25" t="s">
        <v>3458</v>
      </c>
      <c r="B177" s="25" t="s">
        <v>385</v>
      </c>
      <c r="C177" s="25" t="s">
        <v>3455</v>
      </c>
      <c r="D177" s="25" t="s">
        <v>1337</v>
      </c>
      <c r="E177" s="25" t="s">
        <v>3456</v>
      </c>
      <c r="G177" s="25" t="s">
        <v>3457</v>
      </c>
      <c r="H177" s="25">
        <v>30</v>
      </c>
      <c r="I177" s="25" t="s">
        <v>4382</v>
      </c>
      <c r="J177" s="25" t="str">
        <f>VLOOKUP(I177,'records (3)'!$A:$C,2,FALSE)</f>
        <v>003IV000010sxFuYAI</v>
      </c>
      <c r="K177" s="25" t="s">
        <v>4383</v>
      </c>
      <c r="L177" s="25" t="s">
        <v>4384</v>
      </c>
      <c r="M177" s="25" t="s">
        <v>4382</v>
      </c>
      <c r="N177" s="25" t="str">
        <f>VLOOKUP($M177,'records (3)'!$A:$C,2,FALSE)</f>
        <v>003IV000010sxFuYAI</v>
      </c>
      <c r="O177" s="25" t="s">
        <v>4383</v>
      </c>
      <c r="P177" s="25" t="s">
        <v>4384</v>
      </c>
      <c r="Q177" s="25" t="s">
        <v>3751</v>
      </c>
      <c r="R177" s="25" t="s">
        <v>3460</v>
      </c>
      <c r="S177" s="25" t="s">
        <v>3744</v>
      </c>
      <c r="T177" s="25" t="s">
        <v>3454</v>
      </c>
      <c r="V177" s="25" t="s">
        <v>1233</v>
      </c>
      <c r="X177" s="25" t="s">
        <v>1233</v>
      </c>
      <c r="Z177" s="25" t="s">
        <v>3460</v>
      </c>
    </row>
    <row r="178" spans="1:26">
      <c r="A178" s="25" t="s">
        <v>2706</v>
      </c>
      <c r="B178" s="25" t="s">
        <v>267</v>
      </c>
      <c r="C178" s="25" t="s">
        <v>2703</v>
      </c>
      <c r="D178" s="25" t="s">
        <v>1337</v>
      </c>
      <c r="E178" s="25" t="s">
        <v>2704</v>
      </c>
      <c r="G178" s="25" t="s">
        <v>2705</v>
      </c>
      <c r="H178" s="25">
        <v>30</v>
      </c>
      <c r="I178" s="25" t="s">
        <v>4385</v>
      </c>
      <c r="J178" s="25" t="str">
        <f>VLOOKUP(I178,'records (3)'!$A:$C,2,FALSE)</f>
        <v>003IV000010tJa4YAE</v>
      </c>
      <c r="K178" s="25" t="s">
        <v>4386</v>
      </c>
      <c r="L178" s="25" t="s">
        <v>4387</v>
      </c>
      <c r="M178" s="25" t="s">
        <v>4385</v>
      </c>
      <c r="N178" s="25" t="str">
        <f>VLOOKUP($M178,'records (3)'!$A:$C,2,FALSE)</f>
        <v>003IV000010tJa4YAE</v>
      </c>
      <c r="O178" s="25" t="s">
        <v>4386</v>
      </c>
      <c r="P178" s="25" t="s">
        <v>4387</v>
      </c>
      <c r="Q178" s="25" t="s">
        <v>3751</v>
      </c>
      <c r="R178" s="25" t="s">
        <v>2708</v>
      </c>
      <c r="S178" s="25" t="s">
        <v>3744</v>
      </c>
      <c r="T178" s="25" t="s">
        <v>2702</v>
      </c>
      <c r="V178" s="25" t="s">
        <v>1233</v>
      </c>
      <c r="X178" s="25" t="s">
        <v>1233</v>
      </c>
      <c r="Z178" s="25" t="s">
        <v>2708</v>
      </c>
    </row>
    <row r="179" spans="1:26">
      <c r="A179" s="25" t="s">
        <v>3356</v>
      </c>
      <c r="B179" s="25" t="s">
        <v>87</v>
      </c>
      <c r="C179" s="25" t="s">
        <v>3353</v>
      </c>
      <c r="D179" s="25" t="s">
        <v>1337</v>
      </c>
      <c r="E179" s="25" t="s">
        <v>3354</v>
      </c>
      <c r="G179" s="25" t="s">
        <v>3355</v>
      </c>
      <c r="H179" s="25">
        <v>30</v>
      </c>
      <c r="I179" s="25" t="s">
        <v>4388</v>
      </c>
      <c r="J179" s="25" t="str">
        <f>VLOOKUP(I179,'records (3)'!$A:$C,2,FALSE)</f>
        <v>003IV000010tPaIYAU</v>
      </c>
      <c r="K179" s="25" t="s">
        <v>4389</v>
      </c>
      <c r="L179" s="25" t="s">
        <v>4390</v>
      </c>
      <c r="M179" s="25" t="s">
        <v>4388</v>
      </c>
      <c r="N179" s="25" t="str">
        <f>VLOOKUP($M179,'records (3)'!$A:$C,2,FALSE)</f>
        <v>003IV000010tPaIYAU</v>
      </c>
      <c r="O179" s="25" t="s">
        <v>4389</v>
      </c>
      <c r="P179" s="25" t="s">
        <v>4390</v>
      </c>
      <c r="Q179" s="25" t="s">
        <v>3751</v>
      </c>
      <c r="R179" s="25" t="s">
        <v>3358</v>
      </c>
      <c r="S179" s="25" t="s">
        <v>3744</v>
      </c>
      <c r="T179" s="25" t="s">
        <v>3352</v>
      </c>
      <c r="V179" s="25" t="s">
        <v>1233</v>
      </c>
      <c r="X179" s="25" t="s">
        <v>1233</v>
      </c>
      <c r="Z179" s="25" t="s">
        <v>3358</v>
      </c>
    </row>
    <row r="180" spans="1:26">
      <c r="A180" s="25" t="s">
        <v>1442</v>
      </c>
      <c r="B180" s="25" t="s">
        <v>4391</v>
      </c>
      <c r="C180" s="25" t="s">
        <v>1438</v>
      </c>
      <c r="D180" s="25" t="s">
        <v>1337</v>
      </c>
      <c r="E180" s="25" t="s">
        <v>1440</v>
      </c>
      <c r="G180" s="25" t="s">
        <v>1441</v>
      </c>
      <c r="H180" s="25">
        <v>30</v>
      </c>
      <c r="I180" s="25" t="s">
        <v>4392</v>
      </c>
      <c r="J180" s="25" t="str">
        <f>VLOOKUP(I180,'records (3)'!$A:$C,2,FALSE)</f>
        <v>003IV000010su8gYAA</v>
      </c>
      <c r="K180" s="25" t="s">
        <v>4393</v>
      </c>
      <c r="L180" s="25" t="s">
        <v>4394</v>
      </c>
      <c r="M180" s="25" t="s">
        <v>4395</v>
      </c>
      <c r="N180" s="25" t="str">
        <f>VLOOKUP($M180,'records (3)'!$A:$C,2,FALSE)</f>
        <v>003IV000010su8fYAA</v>
      </c>
      <c r="O180" s="25" t="s">
        <v>4396</v>
      </c>
      <c r="P180" s="25" t="s">
        <v>4397</v>
      </c>
      <c r="Q180" s="25" t="s">
        <v>3751</v>
      </c>
      <c r="R180" s="25" t="s">
        <v>1444</v>
      </c>
      <c r="S180" s="25" t="s">
        <v>3744</v>
      </c>
      <c r="T180" s="25" t="s">
        <v>1391</v>
      </c>
      <c r="U180" s="25" t="s">
        <v>1439</v>
      </c>
      <c r="V180" s="25" t="s">
        <v>1233</v>
      </c>
      <c r="X180" s="25" t="s">
        <v>1233</v>
      </c>
      <c r="Z180" s="25" t="s">
        <v>1444</v>
      </c>
    </row>
    <row r="181" spans="1:26">
      <c r="A181" s="25" t="s">
        <v>2378</v>
      </c>
      <c r="B181" s="25" t="s">
        <v>624</v>
      </c>
      <c r="C181" s="25" t="s">
        <v>2375</v>
      </c>
      <c r="D181" s="25" t="s">
        <v>1337</v>
      </c>
      <c r="E181" s="25" t="s">
        <v>2376</v>
      </c>
      <c r="G181" s="25" t="s">
        <v>2377</v>
      </c>
      <c r="H181" s="25">
        <v>30</v>
      </c>
      <c r="I181" s="25" t="s">
        <v>4398</v>
      </c>
      <c r="J181" s="25" t="str">
        <f>VLOOKUP(I181,'records (3)'!$A:$C,2,FALSE)</f>
        <v>003IV000010tPaAYAU</v>
      </c>
      <c r="K181" s="25" t="s">
        <v>4399</v>
      </c>
      <c r="L181" s="25" t="s">
        <v>4400</v>
      </c>
      <c r="M181" s="25" t="s">
        <v>4398</v>
      </c>
      <c r="N181" s="25" t="str">
        <f>VLOOKUP($M181,'records (3)'!$A:$C,2,FALSE)</f>
        <v>003IV000010tPaAYAU</v>
      </c>
      <c r="O181" s="25" t="s">
        <v>4399</v>
      </c>
      <c r="P181" s="25" t="s">
        <v>4400</v>
      </c>
      <c r="Q181" s="25" t="s">
        <v>3751</v>
      </c>
      <c r="R181" s="25" t="s">
        <v>2380</v>
      </c>
      <c r="S181" s="25" t="s">
        <v>3744</v>
      </c>
      <c r="T181" s="25" t="s">
        <v>2374</v>
      </c>
      <c r="V181" s="25" t="s">
        <v>1233</v>
      </c>
      <c r="X181" s="25" t="s">
        <v>1233</v>
      </c>
      <c r="Z181" s="25" t="s">
        <v>2380</v>
      </c>
    </row>
    <row r="182" spans="1:26">
      <c r="A182" s="25" t="s">
        <v>3672</v>
      </c>
      <c r="B182" s="25" t="s">
        <v>754</v>
      </c>
      <c r="C182" s="25" t="s">
        <v>3669</v>
      </c>
      <c r="D182" s="25" t="s">
        <v>1337</v>
      </c>
      <c r="E182" s="25" t="s">
        <v>3670</v>
      </c>
      <c r="G182" s="25" t="s">
        <v>3671</v>
      </c>
      <c r="H182" s="25">
        <v>30</v>
      </c>
      <c r="I182" s="25" t="s">
        <v>4401</v>
      </c>
      <c r="J182" s="25" t="str">
        <f>VLOOKUP(I182,'records (3)'!$A:$C,2,FALSE)</f>
        <v>003IV000010tRVeYAM</v>
      </c>
      <c r="K182" s="25" t="s">
        <v>4402</v>
      </c>
      <c r="L182" s="25" t="s">
        <v>4403</v>
      </c>
      <c r="M182" s="25" t="s">
        <v>4404</v>
      </c>
      <c r="N182" s="25" t="str">
        <f>VLOOKUP($M182,'records (3)'!$A:$C,2,FALSE)</f>
        <v>003IV000010sxFvYAI</v>
      </c>
      <c r="O182" s="25" t="s">
        <v>4405</v>
      </c>
      <c r="P182" s="25" t="s">
        <v>4406</v>
      </c>
      <c r="Q182" s="25" t="s">
        <v>3751</v>
      </c>
      <c r="S182" s="25" t="s">
        <v>3744</v>
      </c>
      <c r="T182" s="25" t="s">
        <v>3668</v>
      </c>
      <c r="U182" s="25" t="s">
        <v>2333</v>
      </c>
      <c r="V182" s="25" t="s">
        <v>3669</v>
      </c>
      <c r="X182" s="25" t="s">
        <v>3670</v>
      </c>
      <c r="Z182" s="25" t="s">
        <v>3671</v>
      </c>
    </row>
    <row r="183" spans="1:26">
      <c r="A183" s="25" t="s">
        <v>1379</v>
      </c>
      <c r="B183" s="25" t="s">
        <v>588</v>
      </c>
      <c r="C183" s="25" t="s">
        <v>1376</v>
      </c>
      <c r="D183" s="25" t="s">
        <v>1337</v>
      </c>
      <c r="E183" s="25" t="s">
        <v>4407</v>
      </c>
      <c r="G183" s="25" t="s">
        <v>1378</v>
      </c>
      <c r="H183" s="25">
        <v>60</v>
      </c>
      <c r="I183" s="25" t="s">
        <v>4408</v>
      </c>
      <c r="J183" s="25" t="str">
        <f>VLOOKUP(I183,'records (3)'!$A:$C,2,FALSE)</f>
        <v>003IV000010t688YAA</v>
      </c>
      <c r="K183" s="25" t="s">
        <v>4409</v>
      </c>
      <c r="L183" s="25" t="s">
        <v>4410</v>
      </c>
      <c r="M183" s="25" t="s">
        <v>4411</v>
      </c>
      <c r="N183" s="25" t="str">
        <f>VLOOKUP($M183,'records (3)'!$A:$C,2,FALSE)</f>
        <v>003IV000010t687YAA</v>
      </c>
      <c r="O183" s="25" t="s">
        <v>1832</v>
      </c>
      <c r="P183" s="25" t="s">
        <v>1381</v>
      </c>
      <c r="Q183" s="25" t="s">
        <v>3751</v>
      </c>
      <c r="R183" s="25" t="s">
        <v>1381</v>
      </c>
      <c r="S183" s="25" t="s">
        <v>3744</v>
      </c>
      <c r="T183" s="25" t="s">
        <v>1375</v>
      </c>
      <c r="V183" s="25" t="s">
        <v>1233</v>
      </c>
      <c r="X183" s="25" t="s">
        <v>1233</v>
      </c>
      <c r="Z183" s="25" t="s">
        <v>1381</v>
      </c>
    </row>
    <row r="184" spans="1:26">
      <c r="A184" s="25" t="s">
        <v>1274</v>
      </c>
      <c r="B184" s="25" t="s">
        <v>397</v>
      </c>
      <c r="C184" s="25" t="s">
        <v>2434</v>
      </c>
      <c r="D184" s="25" t="s">
        <v>1337</v>
      </c>
      <c r="E184" s="25" t="s">
        <v>2435</v>
      </c>
      <c r="G184" s="25" t="s">
        <v>2920</v>
      </c>
      <c r="H184" s="25">
        <v>30</v>
      </c>
      <c r="I184" s="25" t="s">
        <v>4412</v>
      </c>
      <c r="J184" s="25" t="str">
        <f>VLOOKUP(I184,'records (3)'!$A:$C,2,FALSE)</f>
        <v>003IV000010tJXbYAM</v>
      </c>
      <c r="K184" s="25" t="s">
        <v>4413</v>
      </c>
      <c r="L184" s="25" t="s">
        <v>2922</v>
      </c>
      <c r="M184" s="25" t="s">
        <v>4412</v>
      </c>
      <c r="N184" s="25" t="str">
        <f>VLOOKUP($M184,'records (3)'!$A:$C,2,FALSE)</f>
        <v>003IV000010tJXbYAM</v>
      </c>
      <c r="O184" s="25" t="s">
        <v>4413</v>
      </c>
      <c r="P184" s="25" t="s">
        <v>2922</v>
      </c>
      <c r="Q184" s="25" t="s">
        <v>3751</v>
      </c>
      <c r="R184" s="25" t="s">
        <v>2922</v>
      </c>
      <c r="S184" s="25" t="s">
        <v>3744</v>
      </c>
      <c r="T184" s="25" t="s">
        <v>2919</v>
      </c>
      <c r="V184" s="25" t="s">
        <v>1233</v>
      </c>
      <c r="X184" s="25" t="s">
        <v>1233</v>
      </c>
      <c r="Z184" s="25" t="s">
        <v>2922</v>
      </c>
    </row>
    <row r="185" spans="1:26">
      <c r="A185" s="25" t="s">
        <v>3660</v>
      </c>
      <c r="B185" s="25" t="s">
        <v>602</v>
      </c>
      <c r="C185" s="25" t="s">
        <v>3657</v>
      </c>
      <c r="D185" s="25" t="s">
        <v>1337</v>
      </c>
      <c r="E185" s="25" t="s">
        <v>3658</v>
      </c>
      <c r="G185" s="25" t="s">
        <v>3659</v>
      </c>
      <c r="H185" s="25">
        <v>30</v>
      </c>
      <c r="I185" s="25" t="s">
        <v>4414</v>
      </c>
      <c r="J185" s="25" t="str">
        <f>VLOOKUP(I185,'records (3)'!$A:$C,2,FALSE)</f>
        <v>003IV000010su85YAA</v>
      </c>
      <c r="K185" s="25" t="s">
        <v>4415</v>
      </c>
      <c r="L185" s="25" t="s">
        <v>4416</v>
      </c>
      <c r="M185" s="25" t="s">
        <v>4414</v>
      </c>
      <c r="N185" s="25" t="str">
        <f>VLOOKUP($M185,'records (3)'!$A:$C,2,FALSE)</f>
        <v>003IV000010su85YAA</v>
      </c>
      <c r="O185" s="25" t="s">
        <v>4415</v>
      </c>
      <c r="P185" s="25" t="s">
        <v>4416</v>
      </c>
      <c r="Q185" s="25" t="s">
        <v>3751</v>
      </c>
      <c r="S185" s="25" t="s">
        <v>3744</v>
      </c>
      <c r="T185" s="25" t="s">
        <v>3656</v>
      </c>
      <c r="U185" s="25" t="s">
        <v>1487</v>
      </c>
      <c r="V185" s="25" t="s">
        <v>3657</v>
      </c>
      <c r="X185" s="25" t="s">
        <v>3658</v>
      </c>
      <c r="Z185" s="25" t="s">
        <v>3659</v>
      </c>
    </row>
    <row r="186" spans="1:26">
      <c r="A186" s="25" t="s">
        <v>2067</v>
      </c>
      <c r="B186" s="25" t="s">
        <v>351</v>
      </c>
      <c r="C186" s="25" t="s">
        <v>2064</v>
      </c>
      <c r="D186" s="25" t="s">
        <v>1337</v>
      </c>
      <c r="E186" s="25" t="s">
        <v>2065</v>
      </c>
      <c r="G186" s="25" t="s">
        <v>2066</v>
      </c>
      <c r="H186" s="25">
        <v>30</v>
      </c>
      <c r="I186" s="25" t="s">
        <v>4417</v>
      </c>
      <c r="J186" s="25" t="str">
        <f>VLOOKUP(I186,'records (3)'!$A:$C,2,FALSE)</f>
        <v>003IV000010su8LYAQ</v>
      </c>
      <c r="K186" s="25" t="s">
        <v>4418</v>
      </c>
      <c r="L186" s="25" t="s">
        <v>4419</v>
      </c>
      <c r="M186" s="25" t="s">
        <v>4417</v>
      </c>
      <c r="N186" s="25" t="str">
        <f>VLOOKUP($M186,'records (3)'!$A:$C,2,FALSE)</f>
        <v>003IV000010su8LYAQ</v>
      </c>
      <c r="O186" s="25" t="s">
        <v>4418</v>
      </c>
      <c r="P186" s="25" t="s">
        <v>4419</v>
      </c>
      <c r="Q186" s="25" t="s">
        <v>3751</v>
      </c>
      <c r="R186" s="25" t="s">
        <v>2069</v>
      </c>
      <c r="S186" s="25" t="s">
        <v>3744</v>
      </c>
      <c r="T186" s="25" t="s">
        <v>351</v>
      </c>
      <c r="V186" s="25" t="s">
        <v>1233</v>
      </c>
      <c r="X186" s="25" t="s">
        <v>1233</v>
      </c>
      <c r="Z186" s="25" t="s">
        <v>2069</v>
      </c>
    </row>
    <row r="187" spans="1:26">
      <c r="A187" s="25" t="s">
        <v>2345</v>
      </c>
      <c r="B187" s="25" t="s">
        <v>993</v>
      </c>
      <c r="C187" s="25" t="s">
        <v>2342</v>
      </c>
      <c r="D187" s="25" t="s">
        <v>1337</v>
      </c>
      <c r="E187" s="25" t="s">
        <v>2343</v>
      </c>
      <c r="G187" s="25" t="s">
        <v>2344</v>
      </c>
      <c r="H187" s="25">
        <v>30</v>
      </c>
      <c r="I187" s="25" t="s">
        <v>4420</v>
      </c>
      <c r="J187" s="25" t="str">
        <f>VLOOKUP(I187,'records (3)'!$A:$C,2,FALSE)</f>
        <v>003IV000010tIiWYAU</v>
      </c>
      <c r="K187" s="25" t="s">
        <v>4421</v>
      </c>
      <c r="L187" s="25" t="s">
        <v>2347</v>
      </c>
      <c r="M187" s="25" t="s">
        <v>4420</v>
      </c>
      <c r="N187" s="25" t="str">
        <f>VLOOKUP($M187,'records (3)'!$A:$C,2,FALSE)</f>
        <v>003IV000010tIiWYAU</v>
      </c>
      <c r="O187" s="25" t="s">
        <v>4421</v>
      </c>
      <c r="P187" s="25" t="s">
        <v>2347</v>
      </c>
      <c r="Q187" s="25" t="s">
        <v>3751</v>
      </c>
      <c r="R187" s="25" t="s">
        <v>2347</v>
      </c>
      <c r="S187" s="25" t="s">
        <v>3744</v>
      </c>
      <c r="T187" s="25" t="s">
        <v>2341</v>
      </c>
      <c r="V187" s="25" t="s">
        <v>1233</v>
      </c>
      <c r="X187" s="25" t="s">
        <v>1233</v>
      </c>
      <c r="Z187" s="25" t="s">
        <v>2347</v>
      </c>
    </row>
    <row r="188" spans="1:26">
      <c r="A188" s="25" t="s">
        <v>1275</v>
      </c>
      <c r="B188" s="25" t="s">
        <v>235</v>
      </c>
      <c r="C188" s="25" t="s">
        <v>3036</v>
      </c>
      <c r="D188" s="25" t="s">
        <v>1337</v>
      </c>
      <c r="E188" s="25" t="s">
        <v>2250</v>
      </c>
      <c r="G188" s="25" t="s">
        <v>3037</v>
      </c>
      <c r="H188" s="25">
        <v>30</v>
      </c>
      <c r="I188" s="25" t="s">
        <v>4422</v>
      </c>
      <c r="J188" s="25" t="str">
        <f>VLOOKUP(I188,'records (3)'!$A:$C,2,FALSE)</f>
        <v>003IV000010tSkWYAU</v>
      </c>
      <c r="K188" s="25" t="s">
        <v>4423</v>
      </c>
      <c r="L188" s="25" t="s">
        <v>4424</v>
      </c>
      <c r="M188" s="25" t="s">
        <v>4422</v>
      </c>
      <c r="N188" s="25" t="str">
        <f>VLOOKUP($M188,'records (3)'!$A:$C,2,FALSE)</f>
        <v>003IV000010tSkWYAU</v>
      </c>
      <c r="O188" s="25" t="s">
        <v>4423</v>
      </c>
      <c r="P188" s="25" t="s">
        <v>4424</v>
      </c>
      <c r="Q188" s="25" t="s">
        <v>3751</v>
      </c>
      <c r="R188" s="25" t="s">
        <v>3039</v>
      </c>
      <c r="S188" s="25" t="s">
        <v>3744</v>
      </c>
      <c r="T188" s="25" t="s">
        <v>3035</v>
      </c>
      <c r="V188" s="25" t="s">
        <v>1233</v>
      </c>
      <c r="X188" s="25" t="s">
        <v>1233</v>
      </c>
      <c r="Z188" s="25" t="s">
        <v>3039</v>
      </c>
    </row>
    <row r="189" spans="1:26">
      <c r="A189" s="25" t="s">
        <v>2794</v>
      </c>
      <c r="B189" s="25" t="s">
        <v>521</v>
      </c>
      <c r="C189" s="25" t="s">
        <v>2791</v>
      </c>
      <c r="D189" s="25" t="s">
        <v>1337</v>
      </c>
      <c r="E189" s="25" t="s">
        <v>2792</v>
      </c>
      <c r="G189" s="25" t="s">
        <v>4425</v>
      </c>
      <c r="H189" s="25">
        <v>30</v>
      </c>
      <c r="I189" s="25" t="s">
        <v>4426</v>
      </c>
      <c r="J189" s="25" t="str">
        <f>VLOOKUP(I189,'records (3)'!$A:$C,2,FALSE)</f>
        <v>003IV000010tJZyYAM</v>
      </c>
      <c r="K189" s="25" t="s">
        <v>4427</v>
      </c>
      <c r="L189" s="25" t="s">
        <v>4428</v>
      </c>
      <c r="M189" s="25" t="s">
        <v>4426</v>
      </c>
      <c r="N189" s="25" t="str">
        <f>VLOOKUP($M189,'records (3)'!$A:$C,2,FALSE)</f>
        <v>003IV000010tJZyYAM</v>
      </c>
      <c r="O189" s="25" t="s">
        <v>4427</v>
      </c>
      <c r="P189" s="25" t="s">
        <v>4428</v>
      </c>
      <c r="Q189" s="25" t="s">
        <v>3751</v>
      </c>
      <c r="R189" s="25" t="s">
        <v>2796</v>
      </c>
      <c r="S189" s="25" t="s">
        <v>3744</v>
      </c>
      <c r="T189" s="25" t="s">
        <v>2790</v>
      </c>
      <c r="V189" s="25" t="s">
        <v>1233</v>
      </c>
      <c r="X189" s="25" t="s">
        <v>1233</v>
      </c>
      <c r="Z189" s="25" t="s">
        <v>2796</v>
      </c>
    </row>
    <row r="190" spans="1:26">
      <c r="A190" s="25" t="s">
        <v>2957</v>
      </c>
      <c r="B190" s="25" t="s">
        <v>643</v>
      </c>
      <c r="C190" s="25" t="s">
        <v>2954</v>
      </c>
      <c r="D190" s="25" t="s">
        <v>1337</v>
      </c>
      <c r="E190" s="25" t="s">
        <v>2955</v>
      </c>
      <c r="G190" s="25" t="s">
        <v>2956</v>
      </c>
      <c r="H190" s="25">
        <v>30</v>
      </c>
      <c r="I190" s="25" t="s">
        <v>4429</v>
      </c>
      <c r="J190" s="25" t="str">
        <f>VLOOKUP(I190,'records (3)'!$A:$C,2,FALSE)</f>
        <v>003IV000010tRWDYA2</v>
      </c>
      <c r="K190" s="25" t="s">
        <v>4430</v>
      </c>
      <c r="L190" s="25" t="s">
        <v>4431</v>
      </c>
      <c r="M190" s="25" t="s">
        <v>4429</v>
      </c>
      <c r="N190" s="25" t="str">
        <f>VLOOKUP($M190,'records (3)'!$A:$C,2,FALSE)</f>
        <v>003IV000010tRWDYA2</v>
      </c>
      <c r="O190" s="25" t="s">
        <v>4430</v>
      </c>
      <c r="P190" s="25" t="s">
        <v>4431</v>
      </c>
      <c r="Q190" s="25" t="s">
        <v>3751</v>
      </c>
      <c r="R190" s="25" t="s">
        <v>2959</v>
      </c>
      <c r="S190" s="25" t="s">
        <v>3744</v>
      </c>
      <c r="T190" s="25" t="s">
        <v>2953</v>
      </c>
      <c r="V190" s="25" t="s">
        <v>1233</v>
      </c>
      <c r="W190" s="25" t="s">
        <v>1233</v>
      </c>
      <c r="X190" s="25" t="s">
        <v>1233</v>
      </c>
      <c r="Z190" s="25" t="s">
        <v>2959</v>
      </c>
    </row>
    <row r="191" spans="1:26">
      <c r="A191" s="25" t="s">
        <v>3450</v>
      </c>
      <c r="B191" s="25" t="s">
        <v>682</v>
      </c>
      <c r="C191" s="25" t="s">
        <v>3447</v>
      </c>
      <c r="D191" s="25" t="s">
        <v>1337</v>
      </c>
      <c r="E191" s="25" t="s">
        <v>3448</v>
      </c>
      <c r="G191" s="25" t="s">
        <v>3449</v>
      </c>
      <c r="H191" s="25">
        <v>30</v>
      </c>
      <c r="I191" s="25" t="s">
        <v>4432</v>
      </c>
      <c r="J191" s="25" t="str">
        <f>VLOOKUP(I191,'records (3)'!$A:$C,2,FALSE)</f>
        <v>003IV000010tTsgYAE</v>
      </c>
      <c r="K191" s="25" t="s">
        <v>4433</v>
      </c>
      <c r="L191" s="25" t="s">
        <v>4434</v>
      </c>
      <c r="M191" s="25" t="s">
        <v>4432</v>
      </c>
      <c r="N191" s="25" t="str">
        <f>VLOOKUP($M191,'records (3)'!$A:$C,2,FALSE)</f>
        <v>003IV000010tTsgYAE</v>
      </c>
      <c r="O191" s="25" t="s">
        <v>4433</v>
      </c>
      <c r="P191" s="25" t="s">
        <v>4434</v>
      </c>
      <c r="Q191" s="25" t="s">
        <v>3751</v>
      </c>
      <c r="R191" s="25" t="s">
        <v>3452</v>
      </c>
      <c r="S191" s="25" t="s">
        <v>3744</v>
      </c>
      <c r="T191" s="25" t="s">
        <v>3446</v>
      </c>
      <c r="V191" s="25" t="s">
        <v>1233</v>
      </c>
      <c r="X191" s="25" t="s">
        <v>1233</v>
      </c>
      <c r="Z191" s="25" t="s">
        <v>3452</v>
      </c>
    </row>
    <row r="192" spans="1:26">
      <c r="A192" s="25" t="s">
        <v>2393</v>
      </c>
      <c r="B192" s="25" t="s">
        <v>1109</v>
      </c>
      <c r="C192" s="25" t="s">
        <v>2390</v>
      </c>
      <c r="D192" s="25" t="s">
        <v>1337</v>
      </c>
      <c r="E192" s="25" t="s">
        <v>2391</v>
      </c>
      <c r="G192" s="25" t="s">
        <v>2392</v>
      </c>
      <c r="H192" s="25">
        <v>30</v>
      </c>
      <c r="I192" s="25" t="s">
        <v>4435</v>
      </c>
      <c r="J192" s="25" t="str">
        <f>VLOOKUP(I192,'records (3)'!$A:$C,2,FALSE)</f>
        <v>003IV000010t9wzYAA</v>
      </c>
      <c r="K192" s="25" t="s">
        <v>4436</v>
      </c>
      <c r="L192" s="25" t="s">
        <v>4437</v>
      </c>
      <c r="M192" s="25" t="s">
        <v>4435</v>
      </c>
      <c r="N192" s="25" t="str">
        <f>VLOOKUP($M192,'records (3)'!$A:$C,2,FALSE)</f>
        <v>003IV000010t9wzYAA</v>
      </c>
      <c r="O192" s="25" t="s">
        <v>4436</v>
      </c>
      <c r="P192" s="25" t="s">
        <v>4437</v>
      </c>
      <c r="Q192" s="25" t="s">
        <v>3751</v>
      </c>
      <c r="R192" s="25" t="s">
        <v>2395</v>
      </c>
      <c r="S192" s="25" t="s">
        <v>3744</v>
      </c>
      <c r="T192" s="25" t="s">
        <v>2389</v>
      </c>
      <c r="V192" s="25" t="s">
        <v>1233</v>
      </c>
      <c r="X192" s="25" t="s">
        <v>1233</v>
      </c>
      <c r="Z192" s="25" t="s">
        <v>2395</v>
      </c>
    </row>
    <row r="193" spans="1:26">
      <c r="A193" s="25" t="s">
        <v>3429</v>
      </c>
      <c r="B193" s="25" t="s">
        <v>826</v>
      </c>
      <c r="C193" s="25" t="s">
        <v>3426</v>
      </c>
      <c r="D193" s="25" t="s">
        <v>1337</v>
      </c>
      <c r="E193" s="25" t="s">
        <v>3427</v>
      </c>
      <c r="G193" s="25" t="s">
        <v>3428</v>
      </c>
      <c r="H193" s="25">
        <v>30</v>
      </c>
      <c r="I193" s="25" t="s">
        <v>4438</v>
      </c>
      <c r="J193" s="25" t="str">
        <f>VLOOKUP(I193,'records (3)'!$A:$C,2,FALSE)</f>
        <v>003IV000010tJXgYAM</v>
      </c>
      <c r="K193" s="25" t="s">
        <v>4439</v>
      </c>
      <c r="L193" s="25" t="s">
        <v>3431</v>
      </c>
      <c r="M193" s="25" t="s">
        <v>4438</v>
      </c>
      <c r="N193" s="25" t="str">
        <f>VLOOKUP($M193,'records (3)'!$A:$C,2,FALSE)</f>
        <v>003IV000010tJXgYAM</v>
      </c>
      <c r="O193" s="25" t="s">
        <v>4439</v>
      </c>
      <c r="P193" s="25" t="s">
        <v>3431</v>
      </c>
      <c r="Q193" s="25" t="s">
        <v>3751</v>
      </c>
      <c r="R193" s="25" t="s">
        <v>3431</v>
      </c>
      <c r="S193" s="25" t="s">
        <v>3744</v>
      </c>
      <c r="T193" s="25" t="s">
        <v>3425</v>
      </c>
      <c r="V193" s="25" t="s">
        <v>1233</v>
      </c>
      <c r="X193" s="25" t="s">
        <v>1233</v>
      </c>
      <c r="Z193" s="25" t="s">
        <v>3431</v>
      </c>
    </row>
    <row r="194" spans="1:26">
      <c r="A194" s="25" t="s">
        <v>2973</v>
      </c>
      <c r="B194" s="25" t="s">
        <v>719</v>
      </c>
      <c r="C194" s="25" t="s">
        <v>2970</v>
      </c>
      <c r="D194" s="25" t="s">
        <v>1337</v>
      </c>
      <c r="E194" s="25" t="s">
        <v>2971</v>
      </c>
      <c r="G194" s="25" t="s">
        <v>4440</v>
      </c>
      <c r="H194" s="25">
        <v>30</v>
      </c>
      <c r="I194" s="25" t="s">
        <v>4441</v>
      </c>
      <c r="J194" s="25" t="str">
        <f>VLOOKUP(I194,'records (3)'!$A:$C,2,FALSE)</f>
        <v>003IV000010tSmaYAE</v>
      </c>
      <c r="K194" s="25" t="s">
        <v>4442</v>
      </c>
      <c r="L194" s="25" t="s">
        <v>4443</v>
      </c>
      <c r="M194" s="25" t="s">
        <v>4441</v>
      </c>
      <c r="N194" s="25" t="str">
        <f>VLOOKUP($M194,'records (3)'!$A:$C,2,FALSE)</f>
        <v>003IV000010tSmaYAE</v>
      </c>
      <c r="O194" s="25" t="s">
        <v>4442</v>
      </c>
      <c r="P194" s="25" t="s">
        <v>4443</v>
      </c>
      <c r="Q194" s="25" t="s">
        <v>3751</v>
      </c>
      <c r="R194" s="25" t="s">
        <v>4444</v>
      </c>
      <c r="S194" s="25" t="s">
        <v>3744</v>
      </c>
      <c r="T194" s="25" t="s">
        <v>2969</v>
      </c>
      <c r="V194" s="25" t="s">
        <v>1233</v>
      </c>
      <c r="X194" s="25" t="s">
        <v>1233</v>
      </c>
      <c r="Z194" s="25" t="s">
        <v>2975</v>
      </c>
    </row>
    <row r="195" spans="1:26">
      <c r="A195" s="25" t="s">
        <v>2477</v>
      </c>
      <c r="B195" s="25" t="s">
        <v>667</v>
      </c>
      <c r="C195" s="25" t="s">
        <v>2474</v>
      </c>
      <c r="D195" s="25" t="s">
        <v>1337</v>
      </c>
      <c r="E195" s="25" t="s">
        <v>2475</v>
      </c>
      <c r="G195" s="25" t="s">
        <v>2476</v>
      </c>
      <c r="H195" s="25">
        <v>30</v>
      </c>
      <c r="I195" s="25" t="s">
        <v>4445</v>
      </c>
      <c r="J195" s="25" t="str">
        <f>VLOOKUP(I195,'records (3)'!$A:$C,2,FALSE)</f>
        <v>003IV000010tJXlYAM</v>
      </c>
      <c r="K195" s="25" t="s">
        <v>4446</v>
      </c>
      <c r="L195" s="25" t="s">
        <v>2479</v>
      </c>
      <c r="M195" s="25" t="s">
        <v>4445</v>
      </c>
      <c r="N195" s="25" t="str">
        <f>VLOOKUP($M195,'records (3)'!$A:$C,2,FALSE)</f>
        <v>003IV000010tJXlYAM</v>
      </c>
      <c r="O195" s="25" t="s">
        <v>4446</v>
      </c>
      <c r="P195" s="25" t="s">
        <v>2479</v>
      </c>
      <c r="Q195" s="25" t="s">
        <v>3751</v>
      </c>
      <c r="R195" s="25" t="s">
        <v>2479</v>
      </c>
      <c r="S195" s="25" t="s">
        <v>3744</v>
      </c>
      <c r="T195" s="25" t="s">
        <v>2473</v>
      </c>
      <c r="V195" s="25" t="s">
        <v>1233</v>
      </c>
      <c r="X195" s="25" t="s">
        <v>1233</v>
      </c>
      <c r="Z195" s="25" t="s">
        <v>2479</v>
      </c>
    </row>
    <row r="196" spans="1:26">
      <c r="A196" s="25" t="s">
        <v>1858</v>
      </c>
      <c r="B196" s="25" t="s">
        <v>715</v>
      </c>
      <c r="C196" s="25" t="s">
        <v>1855</v>
      </c>
      <c r="D196" s="25" t="s">
        <v>1337</v>
      </c>
      <c r="E196" s="25" t="s">
        <v>1856</v>
      </c>
      <c r="G196" s="25" t="s">
        <v>1857</v>
      </c>
      <c r="H196" s="25">
        <v>30</v>
      </c>
      <c r="I196" s="25" t="s">
        <v>4447</v>
      </c>
      <c r="J196" s="25" t="str">
        <f>VLOOKUP(I196,'records (3)'!$A:$C,2,FALSE)</f>
        <v>003IV000010tLcYYAU</v>
      </c>
      <c r="K196" s="25" t="s">
        <v>4448</v>
      </c>
      <c r="L196" s="25" t="s">
        <v>4449</v>
      </c>
      <c r="M196" s="25" t="s">
        <v>4450</v>
      </c>
      <c r="N196" s="25" t="str">
        <f>VLOOKUP($M196,'records (3)'!$A:$C,2,FALSE)</f>
        <v>003IV000010tIepYAE</v>
      </c>
      <c r="O196" s="25" t="s">
        <v>4451</v>
      </c>
      <c r="P196" s="25" t="s">
        <v>1860</v>
      </c>
      <c r="Q196" s="25" t="s">
        <v>3751</v>
      </c>
      <c r="R196" s="25" t="s">
        <v>1860</v>
      </c>
      <c r="S196" s="25" t="s">
        <v>3744</v>
      </c>
      <c r="T196" s="25" t="s">
        <v>1854</v>
      </c>
      <c r="V196" s="25" t="s">
        <v>1233</v>
      </c>
      <c r="X196" s="25" t="s">
        <v>1233</v>
      </c>
      <c r="Z196" s="25" t="s">
        <v>1860</v>
      </c>
    </row>
    <row r="197" spans="1:26">
      <c r="A197" s="25" t="s">
        <v>3284</v>
      </c>
      <c r="B197" s="25" t="s">
        <v>47</v>
      </c>
      <c r="C197" s="25" t="s">
        <v>3281</v>
      </c>
      <c r="D197" s="25" t="s">
        <v>1337</v>
      </c>
      <c r="E197" s="25" t="s">
        <v>3282</v>
      </c>
      <c r="G197" s="25" t="s">
        <v>3283</v>
      </c>
      <c r="H197" s="25">
        <v>30</v>
      </c>
      <c r="I197" s="25" t="s">
        <v>4452</v>
      </c>
      <c r="J197" s="25" t="str">
        <f>VLOOKUP(I197,'records (3)'!$A:$C,2,FALSE)</f>
        <v>003IV000010tJXhYAM</v>
      </c>
      <c r="K197" s="25" t="s">
        <v>4453</v>
      </c>
      <c r="L197" s="25" t="s">
        <v>3286</v>
      </c>
      <c r="M197" s="25" t="s">
        <v>4452</v>
      </c>
      <c r="N197" s="25" t="str">
        <f>VLOOKUP($M197,'records (3)'!$A:$C,2,FALSE)</f>
        <v>003IV000010tJXhYAM</v>
      </c>
      <c r="O197" s="25" t="s">
        <v>4453</v>
      </c>
      <c r="P197" s="25" t="s">
        <v>3286</v>
      </c>
      <c r="Q197" s="25" t="s">
        <v>3751</v>
      </c>
      <c r="R197" s="25" t="s">
        <v>3286</v>
      </c>
      <c r="S197" s="25" t="s">
        <v>4078</v>
      </c>
      <c r="T197" s="25" t="s">
        <v>47</v>
      </c>
      <c r="V197" s="25" t="s">
        <v>1233</v>
      </c>
      <c r="X197" s="25" t="s">
        <v>1233</v>
      </c>
      <c r="Z197" s="25" t="s">
        <v>3286</v>
      </c>
    </row>
    <row r="198" spans="1:26">
      <c r="A198" s="25" t="s">
        <v>1984</v>
      </c>
      <c r="B198" s="25" t="s">
        <v>784</v>
      </c>
      <c r="C198" s="25" t="s">
        <v>1981</v>
      </c>
      <c r="D198" s="25" t="s">
        <v>1337</v>
      </c>
      <c r="E198" s="25" t="s">
        <v>4454</v>
      </c>
      <c r="G198" s="25" t="s">
        <v>4455</v>
      </c>
      <c r="H198" s="25">
        <v>30</v>
      </c>
      <c r="I198" s="25" t="s">
        <v>4456</v>
      </c>
      <c r="J198" s="25" t="str">
        <f>VLOOKUP(I198,'records (3)'!$A:$C,2,FALSE)</f>
        <v>003IV000010tJXZYA2</v>
      </c>
      <c r="K198" s="25" t="s">
        <v>4457</v>
      </c>
      <c r="L198" s="25" t="s">
        <v>4458</v>
      </c>
      <c r="M198" s="25" t="s">
        <v>4456</v>
      </c>
      <c r="N198" s="25" t="str">
        <f>VLOOKUP($M198,'records (3)'!$A:$C,2,FALSE)</f>
        <v>003IV000010tJXZYA2</v>
      </c>
      <c r="O198" s="25" t="s">
        <v>4457</v>
      </c>
      <c r="P198" s="25" t="s">
        <v>4458</v>
      </c>
      <c r="Q198" s="25" t="s">
        <v>3751</v>
      </c>
      <c r="R198" s="25" t="s">
        <v>1986</v>
      </c>
      <c r="S198" s="25" t="s">
        <v>3744</v>
      </c>
      <c r="T198" s="25" t="s">
        <v>1980</v>
      </c>
      <c r="U198" s="25" t="s">
        <v>1401</v>
      </c>
      <c r="V198" s="25" t="s">
        <v>1233</v>
      </c>
      <c r="X198" s="25" t="s">
        <v>1233</v>
      </c>
      <c r="Z198" s="25" t="s">
        <v>1986</v>
      </c>
    </row>
    <row r="199" spans="1:26">
      <c r="A199" s="25" t="s">
        <v>3172</v>
      </c>
      <c r="B199" s="25" t="s">
        <v>344</v>
      </c>
      <c r="C199" s="25" t="s">
        <v>3169</v>
      </c>
      <c r="D199" s="25" t="s">
        <v>1337</v>
      </c>
      <c r="E199" s="25" t="s">
        <v>3170</v>
      </c>
      <c r="G199" s="25" t="s">
        <v>3171</v>
      </c>
      <c r="H199" s="25">
        <v>30</v>
      </c>
      <c r="I199" s="25" t="s">
        <v>4459</v>
      </c>
      <c r="J199" s="25" t="str">
        <f>VLOOKUP(I199,'records (3)'!$A:$C,2,FALSE)</f>
        <v>003IV000010tSmVYAU</v>
      </c>
      <c r="K199" s="25" t="s">
        <v>4460</v>
      </c>
      <c r="L199" s="25" t="s">
        <v>4461</v>
      </c>
      <c r="M199" s="25" t="s">
        <v>4459</v>
      </c>
      <c r="N199" s="25" t="str">
        <f>VLOOKUP($M199,'records (3)'!$A:$C,2,FALSE)</f>
        <v>003IV000010tSmVYAU</v>
      </c>
      <c r="O199" s="25" t="s">
        <v>4460</v>
      </c>
      <c r="P199" s="25" t="s">
        <v>4461</v>
      </c>
      <c r="Q199" s="25" t="s">
        <v>3751</v>
      </c>
      <c r="R199" s="25" t="s">
        <v>4462</v>
      </c>
      <c r="S199" s="25" t="s">
        <v>3744</v>
      </c>
      <c r="T199" s="25" t="s">
        <v>3168</v>
      </c>
      <c r="U199" s="25" t="s">
        <v>1425</v>
      </c>
      <c r="V199" s="25" t="s">
        <v>1233</v>
      </c>
      <c r="X199" s="25" t="s">
        <v>1233</v>
      </c>
      <c r="Z199" s="25" t="s">
        <v>3174</v>
      </c>
    </row>
    <row r="200" spans="1:26">
      <c r="A200" s="25" t="s">
        <v>3106</v>
      </c>
      <c r="B200" s="25" t="s">
        <v>118</v>
      </c>
      <c r="C200" s="25" t="s">
        <v>3103</v>
      </c>
      <c r="D200" s="25" t="s">
        <v>1337</v>
      </c>
      <c r="E200" s="25" t="s">
        <v>3104</v>
      </c>
      <c r="G200" s="25" t="s">
        <v>3105</v>
      </c>
      <c r="H200" s="25">
        <v>30</v>
      </c>
      <c r="I200" s="25" t="s">
        <v>4463</v>
      </c>
      <c r="J200" s="25" t="str">
        <f>VLOOKUP(I200,'records (3)'!$A:$C,2,FALSE)</f>
        <v>003IV000010tTtEYAU</v>
      </c>
      <c r="K200" s="25" t="s">
        <v>4464</v>
      </c>
      <c r="L200" s="25" t="s">
        <v>3108</v>
      </c>
      <c r="M200" s="25" t="s">
        <v>4463</v>
      </c>
      <c r="N200" s="25" t="str">
        <f>VLOOKUP($M200,'records (3)'!$A:$C,2,FALSE)</f>
        <v>003IV000010tTtEYAU</v>
      </c>
      <c r="O200" s="25" t="s">
        <v>4464</v>
      </c>
      <c r="P200" s="25" t="s">
        <v>3108</v>
      </c>
      <c r="Q200" s="25" t="s">
        <v>3751</v>
      </c>
      <c r="R200" s="25" t="s">
        <v>3108</v>
      </c>
      <c r="S200" s="25" t="s">
        <v>3744</v>
      </c>
      <c r="T200" s="25" t="s">
        <v>3102</v>
      </c>
      <c r="V200" s="25" t="s">
        <v>1233</v>
      </c>
      <c r="X200" s="25" t="s">
        <v>1233</v>
      </c>
      <c r="Z200" s="25" t="s">
        <v>3108</v>
      </c>
    </row>
    <row r="201" spans="1:26">
      <c r="A201" s="25" t="s">
        <v>1276</v>
      </c>
      <c r="B201" s="25" t="s">
        <v>888</v>
      </c>
      <c r="C201" s="25" t="s">
        <v>1960</v>
      </c>
      <c r="D201" s="25" t="s">
        <v>1337</v>
      </c>
      <c r="E201" s="25" t="s">
        <v>4465</v>
      </c>
      <c r="G201" s="25" t="s">
        <v>4466</v>
      </c>
      <c r="H201" s="25">
        <v>30</v>
      </c>
      <c r="I201" s="25" t="s">
        <v>4467</v>
      </c>
      <c r="J201" s="25" t="str">
        <f>VLOOKUP(I201,'records (3)'!$A:$C,2,FALSE)</f>
        <v>003IV000010su9BYAQ</v>
      </c>
      <c r="K201" s="25" t="s">
        <v>1832</v>
      </c>
      <c r="L201" s="25" t="s">
        <v>1964</v>
      </c>
      <c r="M201" s="25" t="s">
        <v>4467</v>
      </c>
      <c r="N201" s="25" t="str">
        <f>VLOOKUP($M201,'records (3)'!$A:$C,2,FALSE)</f>
        <v>003IV000010su9BYAQ</v>
      </c>
      <c r="O201" s="25" t="s">
        <v>1832</v>
      </c>
      <c r="P201" s="25" t="s">
        <v>1964</v>
      </c>
      <c r="Q201" s="25" t="s">
        <v>3751</v>
      </c>
      <c r="R201" s="25" t="s">
        <v>1964</v>
      </c>
      <c r="S201" s="25" t="s">
        <v>3744</v>
      </c>
      <c r="T201" s="25" t="s">
        <v>1959</v>
      </c>
      <c r="V201" s="25" t="s">
        <v>1233</v>
      </c>
      <c r="X201" s="25" t="s">
        <v>1233</v>
      </c>
      <c r="Z201" s="25" t="s">
        <v>1964</v>
      </c>
    </row>
    <row r="202" spans="1:26">
      <c r="A202" s="25" t="s">
        <v>1277</v>
      </c>
      <c r="B202" s="25" t="s">
        <v>427</v>
      </c>
      <c r="C202" s="25" t="s">
        <v>2122</v>
      </c>
      <c r="D202" s="25" t="s">
        <v>1337</v>
      </c>
      <c r="E202" s="25" t="s">
        <v>4468</v>
      </c>
      <c r="G202" s="25" t="s">
        <v>2491</v>
      </c>
      <c r="H202" s="25">
        <v>45</v>
      </c>
      <c r="I202" s="25" t="s">
        <v>4469</v>
      </c>
      <c r="J202" s="25" t="str">
        <f>VLOOKUP(I202,'records (3)'!$A:$C,2,FALSE)</f>
        <v>003IV000010tJXkYAM</v>
      </c>
      <c r="K202" s="25" t="s">
        <v>4470</v>
      </c>
      <c r="L202" s="25" t="s">
        <v>4471</v>
      </c>
      <c r="M202" s="25" t="s">
        <v>4472</v>
      </c>
      <c r="N202" s="25" t="str">
        <f>VLOOKUP($M202,'records (3)'!$A:$C,2,FALSE)</f>
        <v>003IV000010tSkYYAU</v>
      </c>
      <c r="O202" s="25" t="s">
        <v>4473</v>
      </c>
      <c r="P202" s="25" t="s">
        <v>4474</v>
      </c>
      <c r="Q202" s="25" t="s">
        <v>3751</v>
      </c>
      <c r="R202" s="25" t="s">
        <v>2493</v>
      </c>
      <c r="S202" s="25" t="s">
        <v>3744</v>
      </c>
      <c r="T202" s="25" t="s">
        <v>2489</v>
      </c>
      <c r="U202" s="25" t="s">
        <v>2490</v>
      </c>
      <c r="V202" s="25" t="s">
        <v>1233</v>
      </c>
      <c r="X202" s="25" t="s">
        <v>1233</v>
      </c>
      <c r="Z202" s="25" t="s">
        <v>2493</v>
      </c>
    </row>
    <row r="203" spans="1:26">
      <c r="A203" s="25" t="s">
        <v>1735</v>
      </c>
      <c r="B203" s="25" t="s">
        <v>194</v>
      </c>
      <c r="C203" s="25" t="s">
        <v>1732</v>
      </c>
      <c r="D203" s="25" t="s">
        <v>1337</v>
      </c>
      <c r="E203" s="25" t="s">
        <v>1733</v>
      </c>
      <c r="G203" s="25" t="s">
        <v>1734</v>
      </c>
      <c r="H203" s="25">
        <v>30</v>
      </c>
      <c r="I203" s="25" t="s">
        <v>4475</v>
      </c>
      <c r="J203" s="25" t="str">
        <f>VLOOKUP(I203,'records (3)'!$A:$C,2,FALSE)</f>
        <v>003IV000010rv3gYAA</v>
      </c>
      <c r="K203" s="25" t="s">
        <v>4476</v>
      </c>
      <c r="L203" s="25" t="s">
        <v>1737</v>
      </c>
      <c r="M203" s="25" t="s">
        <v>4477</v>
      </c>
      <c r="N203" s="25" t="str">
        <f>VLOOKUP($M203,'records (3)'!$A:$C,2,FALSE)</f>
        <v>003IV000010t6MdYAI</v>
      </c>
      <c r="O203" s="25" t="s">
        <v>4478</v>
      </c>
      <c r="P203" s="25" t="s">
        <v>4479</v>
      </c>
      <c r="Q203" s="25" t="s">
        <v>3751</v>
      </c>
      <c r="R203" s="25" t="s">
        <v>1737</v>
      </c>
      <c r="S203" s="25" t="s">
        <v>3744</v>
      </c>
      <c r="T203" s="25" t="s">
        <v>194</v>
      </c>
      <c r="V203" s="25" t="s">
        <v>1233</v>
      </c>
      <c r="X203" s="25" t="s">
        <v>1233</v>
      </c>
      <c r="Z203" s="25" t="s">
        <v>1737</v>
      </c>
    </row>
    <row r="204" spans="1:26">
      <c r="A204" s="25" t="s">
        <v>1850</v>
      </c>
      <c r="B204" s="25" t="s">
        <v>693</v>
      </c>
      <c r="C204" s="25" t="s">
        <v>1846</v>
      </c>
      <c r="D204" s="25" t="s">
        <v>1337</v>
      </c>
      <c r="E204" s="25" t="s">
        <v>1848</v>
      </c>
      <c r="G204" s="25" t="s">
        <v>1849</v>
      </c>
      <c r="H204" s="25">
        <v>30</v>
      </c>
      <c r="I204" s="25" t="s">
        <v>4480</v>
      </c>
      <c r="J204" s="25" t="str">
        <f>VLOOKUP(I204,'records (3)'!$A:$C,2,FALSE)</f>
        <v>003IV000010tI5MYAU</v>
      </c>
      <c r="K204" s="25" t="s">
        <v>4481</v>
      </c>
      <c r="L204" s="25" t="s">
        <v>4482</v>
      </c>
      <c r="N204" s="25" t="e">
        <f>VLOOKUP($M204,'records (3)'!$A:$C,2,FALSE)</f>
        <v>#N/A</v>
      </c>
      <c r="Q204" s="25" t="s">
        <v>3751</v>
      </c>
      <c r="R204" s="25" t="s">
        <v>1852</v>
      </c>
      <c r="S204" s="25" t="s">
        <v>3744</v>
      </c>
      <c r="T204" s="25" t="s">
        <v>1845</v>
      </c>
      <c r="U204" s="25" t="s">
        <v>1847</v>
      </c>
      <c r="V204" s="25" t="s">
        <v>1233</v>
      </c>
      <c r="X204" s="25" t="s">
        <v>1233</v>
      </c>
      <c r="Z204" s="25" t="s">
        <v>1852</v>
      </c>
    </row>
    <row r="205" spans="1:26">
      <c r="A205" s="25" t="s">
        <v>1955</v>
      </c>
      <c r="B205" s="25" t="s">
        <v>582</v>
      </c>
      <c r="C205" s="25" t="s">
        <v>1952</v>
      </c>
      <c r="D205" s="25" t="s">
        <v>1337</v>
      </c>
      <c r="E205" s="25" t="s">
        <v>1953</v>
      </c>
      <c r="G205" s="25" t="s">
        <v>1954</v>
      </c>
      <c r="H205" s="25">
        <v>30</v>
      </c>
      <c r="I205" s="25" t="s">
        <v>4483</v>
      </c>
      <c r="J205" s="25" t="str">
        <f>VLOOKUP(I205,'records (3)'!$A:$C,2,FALSE)</f>
        <v>003IV000010su87YAA</v>
      </c>
      <c r="K205" s="25" t="s">
        <v>4484</v>
      </c>
      <c r="L205" s="25" t="s">
        <v>1957</v>
      </c>
      <c r="M205" s="25" t="s">
        <v>4485</v>
      </c>
      <c r="N205" s="25" t="str">
        <f>VLOOKUP($M205,'records (3)'!$A:$C,2,FALSE)</f>
        <v>003IV000010tRzGYAU</v>
      </c>
      <c r="O205" s="25" t="s">
        <v>4486</v>
      </c>
      <c r="P205" s="25" t="s">
        <v>4487</v>
      </c>
      <c r="Q205" s="25" t="s">
        <v>3751</v>
      </c>
      <c r="R205" s="25" t="s">
        <v>1957</v>
      </c>
      <c r="S205" s="25" t="s">
        <v>3744</v>
      </c>
      <c r="T205" s="25" t="s">
        <v>1951</v>
      </c>
      <c r="V205" s="25" t="s">
        <v>1233</v>
      </c>
      <c r="X205" s="25" t="s">
        <v>1233</v>
      </c>
      <c r="Z205" s="25" t="s">
        <v>1957</v>
      </c>
    </row>
    <row r="206" spans="1:26">
      <c r="A206" s="25" t="s">
        <v>1660</v>
      </c>
      <c r="B206" s="25" t="s">
        <v>400</v>
      </c>
      <c r="C206" s="25" t="s">
        <v>1657</v>
      </c>
      <c r="D206" s="25" t="s">
        <v>1337</v>
      </c>
      <c r="E206" s="25" t="s">
        <v>1658</v>
      </c>
      <c r="G206" s="25" t="s">
        <v>1659</v>
      </c>
      <c r="H206" s="25">
        <v>30</v>
      </c>
      <c r="I206" s="25" t="s">
        <v>4488</v>
      </c>
      <c r="J206" s="25" t="str">
        <f>VLOOKUP(I206,'records (3)'!$A:$C,2,FALSE)</f>
        <v>003IV000010tPagYAE</v>
      </c>
      <c r="K206" s="25" t="s">
        <v>4489</v>
      </c>
      <c r="L206" s="25" t="s">
        <v>4490</v>
      </c>
      <c r="M206" s="25" t="s">
        <v>4488</v>
      </c>
      <c r="N206" s="25" t="str">
        <f>VLOOKUP($M206,'records (3)'!$A:$C,2,FALSE)</f>
        <v>003IV000010tPagYAE</v>
      </c>
      <c r="O206" s="25" t="s">
        <v>4489</v>
      </c>
      <c r="P206" s="25" t="s">
        <v>4490</v>
      </c>
      <c r="Q206" s="25" t="s">
        <v>3751</v>
      </c>
      <c r="R206" s="25" t="s">
        <v>1663</v>
      </c>
      <c r="S206" s="25" t="s">
        <v>3744</v>
      </c>
      <c r="T206" s="25" t="s">
        <v>1656</v>
      </c>
      <c r="V206" s="25" t="s">
        <v>1233</v>
      </c>
      <c r="X206" s="25" t="s">
        <v>1233</v>
      </c>
      <c r="Z206" s="25" t="s">
        <v>1663</v>
      </c>
    </row>
    <row r="207" spans="1:26">
      <c r="A207" s="25" t="s">
        <v>3031</v>
      </c>
      <c r="B207" s="25" t="s">
        <v>730</v>
      </c>
      <c r="C207" s="25" t="s">
        <v>3028</v>
      </c>
      <c r="D207" s="25" t="s">
        <v>1337</v>
      </c>
      <c r="E207" s="25" t="s">
        <v>4491</v>
      </c>
      <c r="G207" s="25" t="s">
        <v>4492</v>
      </c>
      <c r="H207" s="25">
        <v>30</v>
      </c>
      <c r="I207" s="25" t="s">
        <v>4493</v>
      </c>
      <c r="J207" s="25" t="str">
        <f>VLOOKUP(I207,'records (3)'!$A:$C,2,FALSE)</f>
        <v>003IV000010t8Y4YAI</v>
      </c>
      <c r="K207" s="25" t="s">
        <v>4494</v>
      </c>
      <c r="L207" s="25" t="s">
        <v>3033</v>
      </c>
      <c r="M207" s="25" t="s">
        <v>4493</v>
      </c>
      <c r="N207" s="25" t="str">
        <f>VLOOKUP($M207,'records (3)'!$A:$C,2,FALSE)</f>
        <v>003IV000010t8Y4YAI</v>
      </c>
      <c r="O207" s="25" t="s">
        <v>4494</v>
      </c>
      <c r="P207" s="25" t="s">
        <v>3033</v>
      </c>
      <c r="Q207" s="25" t="s">
        <v>3751</v>
      </c>
      <c r="R207" s="25" t="s">
        <v>3033</v>
      </c>
      <c r="S207" s="25" t="s">
        <v>3744</v>
      </c>
      <c r="T207" s="25" t="s">
        <v>3027</v>
      </c>
      <c r="V207" s="25" t="s">
        <v>1233</v>
      </c>
      <c r="X207" s="25" t="s">
        <v>1233</v>
      </c>
      <c r="Z207" s="25" t="s">
        <v>3033</v>
      </c>
    </row>
    <row r="208" spans="1:26">
      <c r="A208" s="25" t="s">
        <v>2205</v>
      </c>
      <c r="B208" s="25" t="s">
        <v>812</v>
      </c>
      <c r="C208" s="25" t="s">
        <v>2202</v>
      </c>
      <c r="D208" s="25" t="s">
        <v>1337</v>
      </c>
      <c r="E208" s="25" t="s">
        <v>2203</v>
      </c>
      <c r="G208" s="25" t="s">
        <v>2204</v>
      </c>
      <c r="H208" s="25">
        <v>30</v>
      </c>
      <c r="I208" s="25" t="s">
        <v>4495</v>
      </c>
      <c r="J208" s="25" t="str">
        <f>VLOOKUP(I208,'records (3)'!$A:$C,2,FALSE)</f>
        <v>003IV000010tIdQYAU</v>
      </c>
      <c r="K208" s="25" t="s">
        <v>4496</v>
      </c>
      <c r="L208" s="25" t="s">
        <v>4497</v>
      </c>
      <c r="M208" s="25" t="s">
        <v>4495</v>
      </c>
      <c r="N208" s="25" t="str">
        <f>VLOOKUP($M208,'records (3)'!$A:$C,2,FALSE)</f>
        <v>003IV000010tIdQYAU</v>
      </c>
      <c r="O208" s="25" t="s">
        <v>4496</v>
      </c>
      <c r="P208" s="25" t="s">
        <v>4497</v>
      </c>
      <c r="Q208" s="25" t="s">
        <v>3751</v>
      </c>
      <c r="R208" s="25" t="s">
        <v>2207</v>
      </c>
      <c r="S208" s="25" t="s">
        <v>3744</v>
      </c>
      <c r="T208" s="25" t="s">
        <v>2201</v>
      </c>
      <c r="V208" s="25" t="s">
        <v>1233</v>
      </c>
      <c r="X208" s="25" t="s">
        <v>1233</v>
      </c>
      <c r="Z208" s="25" t="s">
        <v>2207</v>
      </c>
    </row>
    <row r="209" spans="1:26">
      <c r="A209" s="25" t="s">
        <v>3348</v>
      </c>
      <c r="B209" s="25" t="s">
        <v>555</v>
      </c>
      <c r="C209" s="25" t="s">
        <v>3345</v>
      </c>
      <c r="D209" s="25" t="s">
        <v>1337</v>
      </c>
      <c r="E209" s="25" t="s">
        <v>3346</v>
      </c>
      <c r="G209" s="25" t="s">
        <v>3347</v>
      </c>
      <c r="H209" s="25">
        <v>30</v>
      </c>
      <c r="I209" s="25" t="s">
        <v>4498</v>
      </c>
      <c r="J209" s="25" t="str">
        <f>VLOOKUP(I209,'records (3)'!$A:$C,2,FALSE)</f>
        <v>003IV000010su8tYAA</v>
      </c>
      <c r="K209" s="25" t="s">
        <v>4499</v>
      </c>
      <c r="L209" s="25" t="s">
        <v>3350</v>
      </c>
      <c r="M209" s="25" t="s">
        <v>4498</v>
      </c>
      <c r="N209" s="25" t="str">
        <f>VLOOKUP($M209,'records (3)'!$A:$C,2,FALSE)</f>
        <v>003IV000010su8tYAA</v>
      </c>
      <c r="O209" s="25" t="s">
        <v>4499</v>
      </c>
      <c r="P209" s="25" t="s">
        <v>3350</v>
      </c>
      <c r="Q209" s="25" t="s">
        <v>3751</v>
      </c>
      <c r="R209" s="25" t="s">
        <v>3350</v>
      </c>
      <c r="S209" s="25" t="s">
        <v>3744</v>
      </c>
      <c r="T209" s="25" t="s">
        <v>3344</v>
      </c>
      <c r="U209" s="25" t="s">
        <v>1401</v>
      </c>
      <c r="V209" s="25" t="s">
        <v>1233</v>
      </c>
      <c r="X209" s="25" t="s">
        <v>1233</v>
      </c>
      <c r="Z209" s="25" t="s">
        <v>3350</v>
      </c>
    </row>
    <row r="210" spans="1:26">
      <c r="A210" s="25" t="s">
        <v>1419</v>
      </c>
      <c r="B210" s="25" t="s">
        <v>950</v>
      </c>
      <c r="C210" s="25" t="s">
        <v>1416</v>
      </c>
      <c r="D210" s="25" t="s">
        <v>1337</v>
      </c>
      <c r="E210" s="25" t="s">
        <v>1417</v>
      </c>
      <c r="G210" s="25" t="s">
        <v>1418</v>
      </c>
      <c r="H210" s="25">
        <v>30</v>
      </c>
      <c r="I210" s="25" t="s">
        <v>4500</v>
      </c>
      <c r="J210" s="25" t="str">
        <f>VLOOKUP(I210,'records (3)'!$A:$C,2,FALSE)</f>
        <v>003IV000010su9YYAQ</v>
      </c>
      <c r="K210" s="25" t="s">
        <v>4501</v>
      </c>
      <c r="L210" s="25" t="s">
        <v>4502</v>
      </c>
      <c r="M210" s="25" t="s">
        <v>4500</v>
      </c>
      <c r="N210" s="25" t="str">
        <f>VLOOKUP($M210,'records (3)'!$A:$C,2,FALSE)</f>
        <v>003IV000010su9YYAQ</v>
      </c>
      <c r="O210" s="25" t="s">
        <v>4501</v>
      </c>
      <c r="P210" s="25" t="s">
        <v>4502</v>
      </c>
      <c r="Q210" s="25" t="s">
        <v>3751</v>
      </c>
      <c r="R210" s="25" t="s">
        <v>1421</v>
      </c>
      <c r="S210" s="25" t="s">
        <v>3744</v>
      </c>
      <c r="T210" s="25" t="s">
        <v>1415</v>
      </c>
      <c r="V210" s="25" t="s">
        <v>1233</v>
      </c>
      <c r="X210" s="25" t="s">
        <v>1233</v>
      </c>
      <c r="Z210" s="25" t="s">
        <v>1421</v>
      </c>
    </row>
    <row r="211" spans="1:26">
      <c r="A211" s="25" t="s">
        <v>1992</v>
      </c>
      <c r="B211" s="25" t="s">
        <v>857</v>
      </c>
      <c r="C211" s="25" t="s">
        <v>1989</v>
      </c>
      <c r="E211" s="25" t="s">
        <v>1990</v>
      </c>
      <c r="G211" s="25" t="s">
        <v>1991</v>
      </c>
      <c r="H211" s="25">
        <v>30</v>
      </c>
      <c r="I211" s="25" t="s">
        <v>4503</v>
      </c>
      <c r="J211" s="25" t="str">
        <f>VLOOKUP(I211,'records (3)'!$A:$C,2,FALSE)</f>
        <v>003IV000010su8PYAQ</v>
      </c>
      <c r="K211" s="25" t="s">
        <v>4504</v>
      </c>
      <c r="L211" s="25" t="s">
        <v>4505</v>
      </c>
      <c r="M211" s="25" t="s">
        <v>4503</v>
      </c>
      <c r="N211" s="25" t="str">
        <f>VLOOKUP($M211,'records (3)'!$A:$C,2,FALSE)</f>
        <v>003IV000010su8PYAQ</v>
      </c>
      <c r="O211" s="25" t="s">
        <v>4504</v>
      </c>
      <c r="P211" s="25" t="s">
        <v>4505</v>
      </c>
      <c r="Q211" s="25" t="s">
        <v>3751</v>
      </c>
      <c r="R211" s="25" t="s">
        <v>1994</v>
      </c>
      <c r="S211" s="25" t="s">
        <v>3744</v>
      </c>
      <c r="T211" s="25" t="s">
        <v>1988</v>
      </c>
      <c r="V211" s="25" t="s">
        <v>1233</v>
      </c>
      <c r="X211" s="25" t="s">
        <v>1233</v>
      </c>
      <c r="Z211" s="25" t="s">
        <v>1994</v>
      </c>
    </row>
    <row r="212" spans="1:26">
      <c r="A212" s="25" t="s">
        <v>1278</v>
      </c>
      <c r="B212" s="25" t="s">
        <v>435</v>
      </c>
      <c r="C212" s="25" t="s">
        <v>3676</v>
      </c>
      <c r="D212" s="25" t="s">
        <v>1337</v>
      </c>
      <c r="E212" s="25" t="s">
        <v>4506</v>
      </c>
      <c r="G212" s="25" t="s">
        <v>3678</v>
      </c>
      <c r="H212" s="25">
        <v>30</v>
      </c>
      <c r="I212" s="25" t="s">
        <v>4507</v>
      </c>
      <c r="J212" s="25" t="str">
        <f>VLOOKUP(I212,'records (3)'!$A:$C,2,FALSE)</f>
        <v>003IV000010tSnVYAU</v>
      </c>
      <c r="K212" s="25" t="s">
        <v>4508</v>
      </c>
      <c r="L212" s="25" t="s">
        <v>4509</v>
      </c>
      <c r="M212" s="25" t="s">
        <v>4507</v>
      </c>
      <c r="N212" s="25" t="str">
        <f>VLOOKUP($M212,'records (3)'!$A:$C,2,FALSE)</f>
        <v>003IV000010tSnVYAU</v>
      </c>
      <c r="O212" s="25" t="s">
        <v>4508</v>
      </c>
      <c r="P212" s="25" t="s">
        <v>4509</v>
      </c>
      <c r="Q212" s="25" t="s">
        <v>3751</v>
      </c>
      <c r="S212" s="25" t="s">
        <v>3744</v>
      </c>
      <c r="T212" s="25" t="s">
        <v>3675</v>
      </c>
      <c r="V212" s="25" t="s">
        <v>3676</v>
      </c>
      <c r="X212" s="25" t="s">
        <v>4506</v>
      </c>
      <c r="Z212" s="25" t="s">
        <v>3678</v>
      </c>
    </row>
    <row r="213" spans="1:26">
      <c r="A213" s="25" t="s">
        <v>2213</v>
      </c>
      <c r="B213" s="25" t="s">
        <v>517</v>
      </c>
      <c r="C213" s="25" t="s">
        <v>2210</v>
      </c>
      <c r="D213" s="25" t="s">
        <v>1337</v>
      </c>
      <c r="E213" s="25" t="s">
        <v>2211</v>
      </c>
      <c r="G213" s="25" t="s">
        <v>2212</v>
      </c>
      <c r="H213" s="25">
        <v>30</v>
      </c>
      <c r="I213" s="25" t="s">
        <v>4510</v>
      </c>
      <c r="J213" s="25" t="str">
        <f>VLOOKUP(I213,'records (3)'!$A:$C,2,FALSE)</f>
        <v>003IV000010tTsjYAE</v>
      </c>
      <c r="K213" s="25" t="s">
        <v>4511</v>
      </c>
      <c r="L213" s="25" t="s">
        <v>2215</v>
      </c>
      <c r="M213" s="25" t="s">
        <v>4510</v>
      </c>
      <c r="N213" s="25" t="str">
        <f>VLOOKUP($M213,'records (3)'!$A:$C,2,FALSE)</f>
        <v>003IV000010tTsjYAE</v>
      </c>
      <c r="O213" s="25" t="s">
        <v>4511</v>
      </c>
      <c r="P213" s="25" t="s">
        <v>2215</v>
      </c>
      <c r="Q213" s="25" t="s">
        <v>3751</v>
      </c>
      <c r="R213" s="25" t="s">
        <v>2215</v>
      </c>
      <c r="S213" s="25" t="s">
        <v>3744</v>
      </c>
      <c r="T213" s="25" t="s">
        <v>2209</v>
      </c>
      <c r="V213" s="25" t="s">
        <v>1233</v>
      </c>
      <c r="X213" s="25" t="s">
        <v>1233</v>
      </c>
      <c r="Z213" s="25" t="s">
        <v>2215</v>
      </c>
    </row>
    <row r="214" spans="1:26">
      <c r="A214" s="25" t="s">
        <v>3258</v>
      </c>
      <c r="B214" s="25" t="s">
        <v>415</v>
      </c>
      <c r="C214" s="25" t="s">
        <v>3255</v>
      </c>
      <c r="D214" s="25" t="s">
        <v>1337</v>
      </c>
      <c r="E214" s="25" t="s">
        <v>3256</v>
      </c>
      <c r="G214" s="25" t="s">
        <v>3257</v>
      </c>
      <c r="H214" s="25">
        <v>30</v>
      </c>
      <c r="I214" s="25" t="s">
        <v>4512</v>
      </c>
      <c r="J214" s="25" t="str">
        <f>VLOOKUP(I214,'records (3)'!$A:$C,2,FALSE)</f>
        <v>003IV000010tRywYAE</v>
      </c>
      <c r="K214" s="25" t="s">
        <v>4513</v>
      </c>
      <c r="L214" s="25" t="s">
        <v>3260</v>
      </c>
      <c r="M214" s="25" t="s">
        <v>4512</v>
      </c>
      <c r="N214" s="25" t="str">
        <f>VLOOKUP($M214,'records (3)'!$A:$C,2,FALSE)</f>
        <v>003IV000010tRywYAE</v>
      </c>
      <c r="O214" s="25" t="s">
        <v>4513</v>
      </c>
      <c r="P214" s="25" t="s">
        <v>3260</v>
      </c>
      <c r="Q214" s="25" t="s">
        <v>3751</v>
      </c>
      <c r="R214" s="25" t="s">
        <v>3260</v>
      </c>
      <c r="S214" s="25" t="s">
        <v>3744</v>
      </c>
      <c r="T214" s="25" t="s">
        <v>3254</v>
      </c>
      <c r="V214" s="25" t="s">
        <v>1233</v>
      </c>
      <c r="X214" s="25" t="s">
        <v>1233</v>
      </c>
      <c r="Z214" s="25" t="s">
        <v>3260</v>
      </c>
    </row>
    <row r="215" spans="1:26">
      <c r="A215" s="25" t="s">
        <v>3496</v>
      </c>
      <c r="B215" s="25" t="s">
        <v>686</v>
      </c>
      <c r="C215" s="25" t="s">
        <v>3329</v>
      </c>
      <c r="D215" s="25" t="s">
        <v>1337</v>
      </c>
      <c r="E215" s="25" t="s">
        <v>3330</v>
      </c>
      <c r="G215" s="25" t="s">
        <v>3495</v>
      </c>
      <c r="H215" s="25">
        <v>30</v>
      </c>
      <c r="I215" s="25" t="s">
        <v>4514</v>
      </c>
      <c r="J215" s="25" t="str">
        <f>VLOOKUP(I215,'records (3)'!$A:$C,2,FALSE)</f>
        <v>003IV000010su88YAA</v>
      </c>
      <c r="K215" s="25" t="s">
        <v>4515</v>
      </c>
      <c r="L215" s="25" t="s">
        <v>3498</v>
      </c>
      <c r="M215" s="25" t="s">
        <v>4514</v>
      </c>
      <c r="N215" s="25" t="str">
        <f>VLOOKUP($M215,'records (3)'!$A:$C,2,FALSE)</f>
        <v>003IV000010su88YAA</v>
      </c>
      <c r="O215" s="25" t="s">
        <v>4515</v>
      </c>
      <c r="P215" s="25" t="s">
        <v>3498</v>
      </c>
      <c r="Q215" s="25" t="s">
        <v>3751</v>
      </c>
      <c r="R215" s="25" t="s">
        <v>3498</v>
      </c>
      <c r="S215" s="25" t="s">
        <v>3744</v>
      </c>
      <c r="T215" s="25" t="s">
        <v>3494</v>
      </c>
      <c r="V215" s="25" t="s">
        <v>1233</v>
      </c>
      <c r="X215" s="25" t="s">
        <v>1233</v>
      </c>
      <c r="Z215" s="25" t="s">
        <v>3498</v>
      </c>
    </row>
    <row r="216" spans="1:26">
      <c r="A216" s="25" t="s">
        <v>1597</v>
      </c>
      <c r="B216" s="25" t="s">
        <v>900</v>
      </c>
      <c r="C216" s="25" t="s">
        <v>1594</v>
      </c>
      <c r="D216" s="25" t="s">
        <v>1337</v>
      </c>
      <c r="E216" s="25" t="s">
        <v>1595</v>
      </c>
      <c r="G216" s="25" t="s">
        <v>1596</v>
      </c>
      <c r="H216" s="25">
        <v>30</v>
      </c>
      <c r="I216" s="25" t="s">
        <v>4516</v>
      </c>
      <c r="J216" s="25" t="str">
        <f>VLOOKUP(I216,'records (3)'!$A:$C,2,FALSE)</f>
        <v>003IV000010tSkaYAE</v>
      </c>
      <c r="K216" s="25" t="s">
        <v>4517</v>
      </c>
      <c r="L216" s="25" t="s">
        <v>1599</v>
      </c>
      <c r="M216" s="25" t="s">
        <v>4516</v>
      </c>
      <c r="N216" s="25" t="str">
        <f>VLOOKUP($M216,'records (3)'!$A:$C,2,FALSE)</f>
        <v>003IV000010tSkaYAE</v>
      </c>
      <c r="O216" s="25" t="s">
        <v>4517</v>
      </c>
      <c r="P216" s="25" t="s">
        <v>1599</v>
      </c>
      <c r="Q216" s="25" t="s">
        <v>3751</v>
      </c>
      <c r="R216" s="25" t="s">
        <v>1599</v>
      </c>
      <c r="S216" s="25" t="s">
        <v>3744</v>
      </c>
      <c r="T216" s="25" t="s">
        <v>1593</v>
      </c>
      <c r="V216" s="25" t="s">
        <v>1233</v>
      </c>
      <c r="X216" s="25" t="s">
        <v>1233</v>
      </c>
      <c r="Z216" s="25" t="s">
        <v>1599</v>
      </c>
    </row>
    <row r="217" spans="1:26">
      <c r="A217" s="25" t="s">
        <v>1279</v>
      </c>
      <c r="B217" s="25" t="s">
        <v>1280</v>
      </c>
      <c r="C217" s="25" t="s">
        <v>1454</v>
      </c>
      <c r="D217" s="25" t="s">
        <v>1337</v>
      </c>
      <c r="E217" s="25" t="s">
        <v>2941</v>
      </c>
      <c r="G217" s="25" t="s">
        <v>2942</v>
      </c>
      <c r="H217" s="25">
        <v>60</v>
      </c>
      <c r="I217" s="25" t="s">
        <v>4518</v>
      </c>
      <c r="J217" s="25" t="str">
        <f>VLOOKUP(I217,'records (3)'!$A:$C,2,FALSE)</f>
        <v>003IV000010su8CYAQ</v>
      </c>
      <c r="K217" s="25" t="s">
        <v>4519</v>
      </c>
      <c r="L217" s="25" t="s">
        <v>4520</v>
      </c>
      <c r="M217" s="25" t="s">
        <v>4518</v>
      </c>
      <c r="N217" s="25" t="str">
        <f>VLOOKUP($M217,'records (3)'!$A:$C,2,FALSE)</f>
        <v>003IV000010su8CYAQ</v>
      </c>
      <c r="O217" s="25" t="s">
        <v>4519</v>
      </c>
      <c r="P217" s="25" t="s">
        <v>4520</v>
      </c>
      <c r="Q217" s="25" t="s">
        <v>3751</v>
      </c>
      <c r="R217" s="25" t="s">
        <v>4521</v>
      </c>
      <c r="S217" s="25" t="s">
        <v>3744</v>
      </c>
      <c r="T217" s="25" t="s">
        <v>212</v>
      </c>
      <c r="V217" s="25" t="s">
        <v>1233</v>
      </c>
      <c r="X217" s="25" t="s">
        <v>1233</v>
      </c>
      <c r="Z217" s="25" t="s">
        <v>2944</v>
      </c>
    </row>
    <row r="218" spans="1:26">
      <c r="A218" s="25" t="s">
        <v>2554</v>
      </c>
      <c r="B218" s="25" t="s">
        <v>372</v>
      </c>
      <c r="C218" s="25" t="s">
        <v>2551</v>
      </c>
      <c r="D218" s="25" t="s">
        <v>1337</v>
      </c>
      <c r="E218" s="25" t="s">
        <v>2552</v>
      </c>
      <c r="G218" s="25" t="s">
        <v>2553</v>
      </c>
      <c r="H218" s="25">
        <v>30</v>
      </c>
      <c r="I218" s="25" t="s">
        <v>4522</v>
      </c>
      <c r="J218" s="25" t="str">
        <f>VLOOKUP(I218,'records (3)'!$A:$C,2,FALSE)</f>
        <v>003IV000010su8HYAQ</v>
      </c>
      <c r="K218" s="25" t="s">
        <v>4523</v>
      </c>
      <c r="L218" s="25" t="s">
        <v>4524</v>
      </c>
      <c r="M218" s="25" t="s">
        <v>4522</v>
      </c>
      <c r="N218" s="25" t="str">
        <f>VLOOKUP($M218,'records (3)'!$A:$C,2,FALSE)</f>
        <v>003IV000010su8HYAQ</v>
      </c>
      <c r="O218" s="25" t="s">
        <v>4523</v>
      </c>
      <c r="P218" s="25" t="s">
        <v>4524</v>
      </c>
      <c r="Q218" s="25" t="s">
        <v>3751</v>
      </c>
      <c r="R218" s="25" t="s">
        <v>2556</v>
      </c>
      <c r="S218" s="25" t="s">
        <v>3744</v>
      </c>
      <c r="T218" s="25" t="s">
        <v>4525</v>
      </c>
      <c r="V218" s="25" t="s">
        <v>1233</v>
      </c>
      <c r="X218" s="25" t="s">
        <v>1233</v>
      </c>
      <c r="Z218" s="25" t="s">
        <v>2556</v>
      </c>
    </row>
    <row r="219" spans="1:26">
      <c r="A219" s="25" t="s">
        <v>3442</v>
      </c>
      <c r="B219" s="25" t="s">
        <v>968</v>
      </c>
      <c r="C219" s="25" t="s">
        <v>1361</v>
      </c>
      <c r="D219" s="25" t="s">
        <v>1337</v>
      </c>
      <c r="E219" s="25" t="s">
        <v>1362</v>
      </c>
      <c r="G219" s="25" t="s">
        <v>3441</v>
      </c>
      <c r="H219" s="25">
        <v>45</v>
      </c>
      <c r="I219" s="25" t="s">
        <v>4526</v>
      </c>
      <c r="J219" s="25" t="str">
        <f>VLOOKUP(I219,'records (3)'!$A:$C,2,FALSE)</f>
        <v>003IV000010su8ZYAQ</v>
      </c>
      <c r="K219" s="25" t="s">
        <v>1832</v>
      </c>
      <c r="L219" s="25" t="s">
        <v>4527</v>
      </c>
      <c r="M219" s="25" t="s">
        <v>4526</v>
      </c>
      <c r="N219" s="25" t="str">
        <f>VLOOKUP($M219,'records (3)'!$A:$C,2,FALSE)</f>
        <v>003IV000010su8ZYAQ</v>
      </c>
      <c r="O219" s="25" t="s">
        <v>1832</v>
      </c>
      <c r="P219" s="25" t="s">
        <v>4527</v>
      </c>
      <c r="Q219" s="25" t="s">
        <v>3751</v>
      </c>
      <c r="R219" s="25" t="s">
        <v>3444</v>
      </c>
      <c r="S219" s="25" t="s">
        <v>3744</v>
      </c>
      <c r="T219" s="25" t="s">
        <v>3440</v>
      </c>
      <c r="V219" s="25" t="s">
        <v>1233</v>
      </c>
      <c r="X219" s="25" t="s">
        <v>1233</v>
      </c>
      <c r="Z219" s="25" t="s">
        <v>3444</v>
      </c>
    </row>
    <row r="220" spans="1:26">
      <c r="A220" s="25" t="s">
        <v>2429</v>
      </c>
      <c r="B220" s="25" t="s">
        <v>455</v>
      </c>
      <c r="C220" s="25" t="s">
        <v>2426</v>
      </c>
      <c r="E220" s="25" t="s">
        <v>2427</v>
      </c>
      <c r="G220" s="25" t="s">
        <v>2428</v>
      </c>
      <c r="H220" s="25">
        <v>30</v>
      </c>
      <c r="I220" s="25" t="s">
        <v>4528</v>
      </c>
      <c r="J220" s="25" t="str">
        <f>VLOOKUP(I220,'records (3)'!$A:$C,2,FALSE)</f>
        <v>003IV000010tIicYAE</v>
      </c>
      <c r="K220" s="25" t="s">
        <v>4529</v>
      </c>
      <c r="L220" s="25" t="s">
        <v>4530</v>
      </c>
      <c r="M220" s="25" t="s">
        <v>4528</v>
      </c>
      <c r="N220" s="25" t="str">
        <f>VLOOKUP($M220,'records (3)'!$A:$C,2,FALSE)</f>
        <v>003IV000010tIicYAE</v>
      </c>
      <c r="O220" s="25" t="s">
        <v>4529</v>
      </c>
      <c r="P220" s="25" t="s">
        <v>4530</v>
      </c>
      <c r="Q220" s="25" t="s">
        <v>3751</v>
      </c>
      <c r="R220" s="25" t="s">
        <v>2431</v>
      </c>
      <c r="S220" s="25" t="s">
        <v>3744</v>
      </c>
      <c r="T220" s="25" t="s">
        <v>2425</v>
      </c>
      <c r="V220" s="25" t="s">
        <v>1233</v>
      </c>
      <c r="X220" s="25" t="s">
        <v>1233</v>
      </c>
      <c r="Z220" s="25" t="s">
        <v>2431</v>
      </c>
    </row>
    <row r="221" spans="1:26">
      <c r="A221" s="25" t="s">
        <v>1281</v>
      </c>
      <c r="B221" s="25" t="s">
        <v>442</v>
      </c>
      <c r="C221" s="25" t="s">
        <v>3517</v>
      </c>
      <c r="D221" s="25" t="s">
        <v>1337</v>
      </c>
      <c r="E221" s="25" t="s">
        <v>3518</v>
      </c>
      <c r="G221" s="25" t="s">
        <v>3519</v>
      </c>
      <c r="H221" s="25">
        <v>45</v>
      </c>
      <c r="I221" s="25" t="s">
        <v>4531</v>
      </c>
      <c r="J221" s="25" t="str">
        <f>VLOOKUP(I221,'records (3)'!$A:$C,2,FALSE)</f>
        <v>003IV000010su8SYAQ</v>
      </c>
      <c r="K221" s="25" t="s">
        <v>4532</v>
      </c>
      <c r="L221" s="25" t="s">
        <v>4533</v>
      </c>
      <c r="M221" s="25" t="s">
        <v>4531</v>
      </c>
      <c r="N221" s="25" t="str">
        <f>VLOOKUP($M221,'records (3)'!$A:$C,2,FALSE)</f>
        <v>003IV000010su8SYAQ</v>
      </c>
      <c r="O221" s="25" t="s">
        <v>4532</v>
      </c>
      <c r="P221" s="25" t="s">
        <v>4533</v>
      </c>
      <c r="Q221" s="25" t="s">
        <v>3751</v>
      </c>
      <c r="R221" s="25" t="s">
        <v>3521</v>
      </c>
      <c r="S221" s="25" t="s">
        <v>3744</v>
      </c>
      <c r="T221" s="25" t="s">
        <v>4534</v>
      </c>
      <c r="V221" s="25" t="s">
        <v>1233</v>
      </c>
      <c r="X221" s="25" t="s">
        <v>1233</v>
      </c>
      <c r="Z221" s="25" t="s">
        <v>3521</v>
      </c>
    </row>
    <row r="222" spans="1:26">
      <c r="A222" s="25" t="s">
        <v>3526</v>
      </c>
      <c r="B222" s="25" t="s">
        <v>1133</v>
      </c>
      <c r="C222" s="25" t="s">
        <v>2859</v>
      </c>
      <c r="D222" s="25" t="s">
        <v>1337</v>
      </c>
      <c r="E222" s="25" t="s">
        <v>3524</v>
      </c>
      <c r="G222" s="25" t="s">
        <v>3525</v>
      </c>
      <c r="H222" s="25">
        <v>30</v>
      </c>
      <c r="I222" s="25" t="s">
        <v>4535</v>
      </c>
      <c r="J222" s="25" t="str">
        <f>VLOOKUP(I222,'records (3)'!$A:$C,2,FALSE)</f>
        <v>003IV000010su8NYAQ</v>
      </c>
      <c r="K222" s="25" t="s">
        <v>4536</v>
      </c>
      <c r="M222" s="25" t="s">
        <v>4535</v>
      </c>
      <c r="N222" s="25" t="str">
        <f>VLOOKUP($M222,'records (3)'!$A:$C,2,FALSE)</f>
        <v>003IV000010su8NYAQ</v>
      </c>
      <c r="O222" s="25" t="s">
        <v>4536</v>
      </c>
      <c r="Q222" s="25" t="s">
        <v>3751</v>
      </c>
      <c r="R222" s="25" t="s">
        <v>3528</v>
      </c>
      <c r="S222" s="25" t="s">
        <v>3744</v>
      </c>
      <c r="T222" s="25" t="s">
        <v>3523</v>
      </c>
      <c r="V222" s="25" t="s">
        <v>1233</v>
      </c>
      <c r="X222" s="25" t="s">
        <v>1233</v>
      </c>
      <c r="Z222" s="25" t="s">
        <v>3528</v>
      </c>
    </row>
    <row r="223" spans="1:26">
      <c r="A223" s="25" t="s">
        <v>1282</v>
      </c>
      <c r="B223" s="25" t="s">
        <v>1137</v>
      </c>
      <c r="C223" s="25" t="s">
        <v>3531</v>
      </c>
      <c r="D223" s="25" t="s">
        <v>1337</v>
      </c>
      <c r="E223" s="25" t="s">
        <v>3533</v>
      </c>
      <c r="G223" s="25" t="s">
        <v>3534</v>
      </c>
      <c r="H223" s="25">
        <v>30</v>
      </c>
      <c r="I223" s="25" t="s">
        <v>4537</v>
      </c>
      <c r="J223" s="25" t="str">
        <f>VLOOKUP(I223,'records (3)'!$A:$C,2,FALSE)</f>
        <v>003IV000010su8KYAQ</v>
      </c>
      <c r="K223" s="25" t="s">
        <v>4538</v>
      </c>
      <c r="L223" s="25" t="s">
        <v>3536</v>
      </c>
      <c r="M223" s="25" t="s">
        <v>4537</v>
      </c>
      <c r="N223" s="25" t="str">
        <f>VLOOKUP($M223,'records (3)'!$A:$C,2,FALSE)</f>
        <v>003IV000010su8KYAQ</v>
      </c>
      <c r="O223" s="25" t="s">
        <v>4538</v>
      </c>
      <c r="P223" s="25" t="s">
        <v>3536</v>
      </c>
      <c r="Q223" s="25" t="s">
        <v>3751</v>
      </c>
      <c r="R223" s="25" t="s">
        <v>3536</v>
      </c>
      <c r="S223" s="25" t="s">
        <v>3744</v>
      </c>
      <c r="T223" s="25" t="s">
        <v>3530</v>
      </c>
      <c r="U223" s="25" t="s">
        <v>3532</v>
      </c>
      <c r="V223" s="25" t="s">
        <v>1233</v>
      </c>
      <c r="X223" s="25" t="s">
        <v>1233</v>
      </c>
      <c r="Z223" s="25" t="s">
        <v>3536</v>
      </c>
    </row>
    <row r="224" spans="1:26">
      <c r="A224" s="25" t="s">
        <v>1283</v>
      </c>
      <c r="B224" s="25" t="s">
        <v>1151</v>
      </c>
      <c r="C224" s="25" t="s">
        <v>3057</v>
      </c>
      <c r="D224" s="25" t="s">
        <v>1337</v>
      </c>
      <c r="E224" s="25" t="s">
        <v>3058</v>
      </c>
      <c r="G224" s="25" t="s">
        <v>4539</v>
      </c>
      <c r="H224" s="25">
        <v>30</v>
      </c>
      <c r="I224" s="25" t="s">
        <v>4540</v>
      </c>
      <c r="J224" s="25" t="str">
        <f>VLOOKUP(I224,'records (3)'!$A:$C,2,FALSE)</f>
        <v>003IV000010tSnNYAU</v>
      </c>
      <c r="K224" s="25" t="s">
        <v>4541</v>
      </c>
      <c r="L224" s="25" t="s">
        <v>4542</v>
      </c>
      <c r="M224" s="25" t="s">
        <v>4540</v>
      </c>
      <c r="N224" s="25" t="str">
        <f>VLOOKUP($M224,'records (3)'!$A:$C,2,FALSE)</f>
        <v>003IV000010tSnNYAU</v>
      </c>
      <c r="O224" s="25" t="s">
        <v>4541</v>
      </c>
      <c r="P224" s="25" t="s">
        <v>4542</v>
      </c>
      <c r="Q224" s="25" t="s">
        <v>3751</v>
      </c>
      <c r="R224" s="25" t="s">
        <v>4543</v>
      </c>
      <c r="S224" s="25" t="s">
        <v>3744</v>
      </c>
      <c r="T224" s="25" t="s">
        <v>3056</v>
      </c>
      <c r="V224" s="25" t="s">
        <v>1233</v>
      </c>
      <c r="X224" s="25" t="s">
        <v>1233</v>
      </c>
      <c r="Z224" s="25" t="s">
        <v>3061</v>
      </c>
    </row>
    <row r="225" spans="1:26">
      <c r="A225" s="25" t="s">
        <v>3023</v>
      </c>
      <c r="B225" s="25" t="s">
        <v>1106</v>
      </c>
      <c r="C225" s="25" t="s">
        <v>3020</v>
      </c>
      <c r="D225" s="25" t="s">
        <v>1337</v>
      </c>
      <c r="E225" s="25" t="s">
        <v>3021</v>
      </c>
      <c r="G225" s="25" t="s">
        <v>3022</v>
      </c>
      <c r="H225" s="25">
        <v>30</v>
      </c>
      <c r="I225" s="25" t="s">
        <v>4544</v>
      </c>
      <c r="J225" s="25" t="str">
        <f>VLOOKUP(I225,'records (3)'!$A:$C,2,FALSE)</f>
        <v>003IV000010sxGvYAI</v>
      </c>
      <c r="K225" s="25" t="s">
        <v>4545</v>
      </c>
      <c r="L225" s="25" t="s">
        <v>3025</v>
      </c>
      <c r="M225" s="25" t="s">
        <v>4544</v>
      </c>
      <c r="N225" s="25" t="str">
        <f>VLOOKUP($M225,'records (3)'!$A:$C,2,FALSE)</f>
        <v>003IV000010sxGvYAI</v>
      </c>
      <c r="O225" s="25" t="s">
        <v>4545</v>
      </c>
      <c r="P225" s="25" t="s">
        <v>3025</v>
      </c>
      <c r="Q225" s="25" t="s">
        <v>3751</v>
      </c>
      <c r="R225" s="25" t="s">
        <v>3025</v>
      </c>
      <c r="S225" s="25" t="s">
        <v>3744</v>
      </c>
      <c r="T225" s="25" t="s">
        <v>3019</v>
      </c>
      <c r="V225" s="25" t="s">
        <v>1233</v>
      </c>
      <c r="X225" s="25" t="s">
        <v>1233</v>
      </c>
      <c r="Z225" s="25" t="s">
        <v>3025</v>
      </c>
    </row>
    <row r="226" spans="1:26">
      <c r="A226" s="25" t="s">
        <v>1284</v>
      </c>
      <c r="B226" s="25" t="s">
        <v>197</v>
      </c>
      <c r="C226" s="25" t="s">
        <v>3708</v>
      </c>
      <c r="D226" s="25" t="s">
        <v>4546</v>
      </c>
      <c r="E226" s="25" t="s">
        <v>3710</v>
      </c>
      <c r="G226" s="25" t="s">
        <v>3711</v>
      </c>
      <c r="H226" s="25">
        <v>30</v>
      </c>
      <c r="I226" s="25" t="s">
        <v>4547</v>
      </c>
      <c r="J226" s="25" t="str">
        <f>VLOOKUP(I226,'records (3)'!$A:$C,2,FALSE)</f>
        <v>003IV000010rLj2YAE</v>
      </c>
      <c r="K226" s="25" t="s">
        <v>4548</v>
      </c>
      <c r="L226" s="25" t="s">
        <v>4549</v>
      </c>
      <c r="M226" s="25" t="s">
        <v>4547</v>
      </c>
      <c r="N226" s="25" t="str">
        <f>VLOOKUP($M226,'records (3)'!$A:$C,2,FALSE)</f>
        <v>003IV000010rLj2YAE</v>
      </c>
      <c r="O226" s="25" t="s">
        <v>4548</v>
      </c>
      <c r="P226" s="25" t="s">
        <v>4549</v>
      </c>
      <c r="Q226" s="25" t="s">
        <v>3751</v>
      </c>
      <c r="S226" s="25" t="s">
        <v>3744</v>
      </c>
      <c r="T226" s="25" t="s">
        <v>3707</v>
      </c>
      <c r="U226" s="25" t="s">
        <v>3709</v>
      </c>
      <c r="V226" s="25" t="s">
        <v>3708</v>
      </c>
      <c r="X226" s="25" t="s">
        <v>3710</v>
      </c>
      <c r="Z226" s="25" t="s">
        <v>3711</v>
      </c>
    </row>
    <row r="227" spans="1:26">
      <c r="A227" s="25" t="s">
        <v>1506</v>
      </c>
      <c r="B227" s="25" t="s">
        <v>312</v>
      </c>
      <c r="C227" s="25" t="s">
        <v>1503</v>
      </c>
      <c r="D227" s="25" t="s">
        <v>1337</v>
      </c>
      <c r="E227" s="25" t="s">
        <v>1504</v>
      </c>
      <c r="G227" s="25" t="s">
        <v>1505</v>
      </c>
      <c r="H227" s="25">
        <v>30</v>
      </c>
      <c r="I227" s="25" t="s">
        <v>4550</v>
      </c>
      <c r="J227" s="25" t="str">
        <f>VLOOKUP(I227,'records (3)'!$A:$C,2,FALSE)</f>
        <v>003IV000010sqLMYAY</v>
      </c>
      <c r="K227" s="25" t="s">
        <v>4551</v>
      </c>
      <c r="L227" s="25" t="s">
        <v>4552</v>
      </c>
      <c r="M227" s="25" t="s">
        <v>4553</v>
      </c>
      <c r="N227" s="25" t="str">
        <f>VLOOKUP($M227,'records (3)'!$A:$C,2,FALSE)</f>
        <v>003IV000010sqLNYAY</v>
      </c>
      <c r="O227" s="25" t="s">
        <v>4554</v>
      </c>
      <c r="P227" s="25" t="s">
        <v>4555</v>
      </c>
      <c r="Q227" s="25" t="s">
        <v>3751</v>
      </c>
      <c r="R227" s="25" t="s">
        <v>1508</v>
      </c>
      <c r="S227" s="25" t="s">
        <v>3744</v>
      </c>
      <c r="T227" s="25" t="s">
        <v>1502</v>
      </c>
      <c r="V227" s="25" t="s">
        <v>1233</v>
      </c>
      <c r="X227" s="25" t="s">
        <v>1233</v>
      </c>
      <c r="Z227" s="25" t="s">
        <v>1508</v>
      </c>
    </row>
    <row r="228" spans="1:26">
      <c r="A228" s="25" t="s">
        <v>1285</v>
      </c>
      <c r="B228" s="25" t="s">
        <v>130</v>
      </c>
      <c r="C228" s="25" t="s">
        <v>2656</v>
      </c>
      <c r="D228" s="25" t="s">
        <v>1337</v>
      </c>
      <c r="E228" s="25" t="s">
        <v>2657</v>
      </c>
      <c r="G228" s="25" t="s">
        <v>2658</v>
      </c>
      <c r="H228" s="25">
        <v>30</v>
      </c>
      <c r="I228" s="25" t="s">
        <v>4556</v>
      </c>
      <c r="J228" s="25" t="str">
        <f>VLOOKUP(I228,'records (3)'!$A:$C,2,FALSE)</f>
        <v>003IV000010tTqfYAE</v>
      </c>
      <c r="K228" s="25" t="s">
        <v>4557</v>
      </c>
      <c r="L228" s="25" t="s">
        <v>2660</v>
      </c>
      <c r="M228" s="25" t="s">
        <v>4558</v>
      </c>
      <c r="N228" s="25" t="str">
        <f>VLOOKUP($M228,'records (3)'!$A:$C,2,FALSE)</f>
        <v>003IV000010tI5QYAU</v>
      </c>
      <c r="O228" s="25" t="s">
        <v>4559</v>
      </c>
      <c r="P228" s="25" t="s">
        <v>4560</v>
      </c>
      <c r="Q228" s="25" t="s">
        <v>3751</v>
      </c>
      <c r="R228" s="25" t="s">
        <v>2660</v>
      </c>
      <c r="S228" s="25" t="s">
        <v>3744</v>
      </c>
      <c r="T228" s="25" t="s">
        <v>130</v>
      </c>
      <c r="V228" s="25" t="s">
        <v>1233</v>
      </c>
      <c r="X228" s="25" t="s">
        <v>1233</v>
      </c>
      <c r="Z228" s="25" t="s">
        <v>2660</v>
      </c>
    </row>
    <row r="229" spans="1:26">
      <c r="A229" s="25" t="s">
        <v>1286</v>
      </c>
      <c r="B229" s="25" t="s">
        <v>462</v>
      </c>
      <c r="C229" s="25" t="s">
        <v>3239</v>
      </c>
      <c r="D229" s="25" t="s">
        <v>1337</v>
      </c>
      <c r="E229" s="25" t="s">
        <v>4561</v>
      </c>
      <c r="G229" s="25" t="s">
        <v>3241</v>
      </c>
      <c r="H229" s="25">
        <v>30</v>
      </c>
      <c r="I229" s="25" t="s">
        <v>4562</v>
      </c>
      <c r="J229" s="25" t="str">
        <f>VLOOKUP(I229,'records (3)'!$A:$C,2,FALSE)</f>
        <v>003IV000010tRThYAM</v>
      </c>
      <c r="K229" s="25" t="s">
        <v>4563</v>
      </c>
      <c r="L229" s="25" t="s">
        <v>3243</v>
      </c>
      <c r="M229" s="25" t="s">
        <v>4562</v>
      </c>
      <c r="N229" s="25" t="str">
        <f>VLOOKUP($M229,'records (3)'!$A:$C,2,FALSE)</f>
        <v>003IV000010tRThYAM</v>
      </c>
      <c r="O229" s="25" t="s">
        <v>4563</v>
      </c>
      <c r="P229" s="25" t="s">
        <v>3243</v>
      </c>
      <c r="Q229" s="25" t="s">
        <v>3751</v>
      </c>
      <c r="R229" s="25" t="s">
        <v>3243</v>
      </c>
      <c r="S229" s="25" t="s">
        <v>3744</v>
      </c>
      <c r="T229" s="25" t="s">
        <v>4564</v>
      </c>
      <c r="U229" s="25" t="s">
        <v>1847</v>
      </c>
      <c r="V229" s="25" t="s">
        <v>1233</v>
      </c>
      <c r="X229" s="25" t="s">
        <v>1233</v>
      </c>
      <c r="Z229" s="25" t="s">
        <v>3243</v>
      </c>
    </row>
    <row r="230" spans="1:26">
      <c r="A230" s="25" t="s">
        <v>3340</v>
      </c>
      <c r="B230" s="25" t="s">
        <v>4565</v>
      </c>
      <c r="C230" s="25" t="s">
        <v>3337</v>
      </c>
      <c r="D230" s="25" t="s">
        <v>1337</v>
      </c>
      <c r="E230" s="25" t="s">
        <v>3338</v>
      </c>
      <c r="G230" s="25" t="s">
        <v>3339</v>
      </c>
      <c r="H230" s="25">
        <v>30</v>
      </c>
      <c r="I230" s="25" t="s">
        <v>4566</v>
      </c>
      <c r="J230" s="25" t="str">
        <f>VLOOKUP(I230,'records (3)'!$A:$C,2,FALSE)</f>
        <v>003IV000010tRTiYAM</v>
      </c>
      <c r="K230" s="25" t="s">
        <v>4567</v>
      </c>
      <c r="L230" s="25" t="s">
        <v>3342</v>
      </c>
      <c r="M230" s="25" t="s">
        <v>4566</v>
      </c>
      <c r="N230" s="25" t="str">
        <f>VLOOKUP($M230,'records (3)'!$A:$C,2,FALSE)</f>
        <v>003IV000010tRTiYAM</v>
      </c>
      <c r="O230" s="25" t="s">
        <v>4567</v>
      </c>
      <c r="P230" s="25" t="s">
        <v>3342</v>
      </c>
      <c r="Q230" s="25" t="s">
        <v>3751</v>
      </c>
      <c r="R230" s="25" t="s">
        <v>3342</v>
      </c>
      <c r="S230" s="25" t="s">
        <v>3744</v>
      </c>
      <c r="T230" s="25" t="s">
        <v>4568</v>
      </c>
      <c r="U230" s="25" t="s">
        <v>4569</v>
      </c>
      <c r="V230" s="25" t="s">
        <v>1233</v>
      </c>
      <c r="X230" s="25" t="s">
        <v>1233</v>
      </c>
      <c r="Z230" s="25" t="s">
        <v>3342</v>
      </c>
    </row>
    <row r="231" spans="1:26">
      <c r="A231" s="25" t="s">
        <v>1644</v>
      </c>
      <c r="B231" s="25" t="s">
        <v>931</v>
      </c>
      <c r="C231" s="25" t="s">
        <v>1641</v>
      </c>
      <c r="D231" s="25" t="s">
        <v>1337</v>
      </c>
      <c r="E231" s="25" t="s">
        <v>1642</v>
      </c>
      <c r="G231" s="25" t="s">
        <v>1643</v>
      </c>
      <c r="H231" s="25">
        <v>60</v>
      </c>
      <c r="I231" s="25" t="s">
        <v>4570</v>
      </c>
      <c r="J231" s="25" t="str">
        <f>VLOOKUP(I231,'records (3)'!$A:$C,2,FALSE)</f>
        <v>003IV000010t4BKYAY</v>
      </c>
      <c r="K231" s="25" t="s">
        <v>4571</v>
      </c>
      <c r="L231" s="25" t="s">
        <v>1646</v>
      </c>
      <c r="M231" s="25" t="s">
        <v>4570</v>
      </c>
      <c r="N231" s="25" t="str">
        <f>VLOOKUP($M231,'records (3)'!$A:$C,2,FALSE)</f>
        <v>003IV000010t4BKYAY</v>
      </c>
      <c r="O231" s="25" t="s">
        <v>4571</v>
      </c>
      <c r="P231" s="25" t="s">
        <v>1646</v>
      </c>
      <c r="Q231" s="25" t="s">
        <v>3751</v>
      </c>
      <c r="R231" s="25" t="s">
        <v>1646</v>
      </c>
      <c r="S231" s="25" t="s">
        <v>3744</v>
      </c>
      <c r="T231" s="25" t="s">
        <v>1640</v>
      </c>
      <c r="V231" s="25" t="s">
        <v>1233</v>
      </c>
      <c r="X231" s="25" t="s">
        <v>1233</v>
      </c>
      <c r="Z231" s="25" t="s">
        <v>1646</v>
      </c>
    </row>
    <row r="232" spans="1:26">
      <c r="A232" s="25" t="s">
        <v>1287</v>
      </c>
      <c r="B232" s="25" t="s">
        <v>205</v>
      </c>
      <c r="C232" s="25" t="s">
        <v>1602</v>
      </c>
      <c r="D232" s="25" t="s">
        <v>1337</v>
      </c>
      <c r="E232" s="25" t="s">
        <v>1603</v>
      </c>
      <c r="G232" s="25" t="s">
        <v>1604</v>
      </c>
      <c r="H232" s="25">
        <v>30</v>
      </c>
      <c r="I232" s="25" t="s">
        <v>4572</v>
      </c>
      <c r="J232" s="25" t="str">
        <f>VLOOKUP(I232,'records (3)'!$A:$C,2,FALSE)</f>
        <v>003IV000010t7tcYAA</v>
      </c>
      <c r="K232" s="25" t="s">
        <v>4573</v>
      </c>
      <c r="L232" s="25" t="s">
        <v>1606</v>
      </c>
      <c r="M232" s="25" t="s">
        <v>4572</v>
      </c>
      <c r="N232" s="25" t="str">
        <f>VLOOKUP($M232,'records (3)'!$A:$C,2,FALSE)</f>
        <v>003IV000010t7tcYAA</v>
      </c>
      <c r="O232" s="25" t="s">
        <v>4573</v>
      </c>
      <c r="P232" s="25" t="s">
        <v>1606</v>
      </c>
      <c r="Q232" s="25" t="s">
        <v>3751</v>
      </c>
      <c r="R232" s="25" t="s">
        <v>1606</v>
      </c>
      <c r="S232" s="25" t="s">
        <v>3744</v>
      </c>
      <c r="T232" s="25" t="s">
        <v>1601</v>
      </c>
      <c r="V232" s="25" t="s">
        <v>1233</v>
      </c>
      <c r="X232" s="25" t="s">
        <v>1233</v>
      </c>
      <c r="Z232" s="25" t="s">
        <v>1606</v>
      </c>
    </row>
    <row r="233" spans="1:26">
      <c r="A233" s="25" t="s">
        <v>1288</v>
      </c>
      <c r="B233" s="25" t="s">
        <v>256</v>
      </c>
      <c r="C233" s="25" t="s">
        <v>1424</v>
      </c>
      <c r="D233" s="25" t="s">
        <v>1337</v>
      </c>
      <c r="E233" s="25" t="s">
        <v>1426</v>
      </c>
      <c r="G233" s="25" t="s">
        <v>1427</v>
      </c>
      <c r="H233" s="25">
        <v>60</v>
      </c>
      <c r="I233" s="25" t="s">
        <v>4574</v>
      </c>
      <c r="J233" s="25" t="str">
        <f>VLOOKUP(I233,'records (3)'!$A:$C,2,FALSE)</f>
        <v>003IV000010sqM3YAI</v>
      </c>
      <c r="K233" s="25" t="s">
        <v>4575</v>
      </c>
      <c r="L233" s="25" t="s">
        <v>4576</v>
      </c>
      <c r="M233" s="25" t="s">
        <v>4577</v>
      </c>
      <c r="N233" s="25" t="str">
        <f>VLOOKUP($M233,'records (3)'!$A:$C,2,FALSE)</f>
        <v>003IV000010tSnLYAU</v>
      </c>
      <c r="O233" s="25" t="s">
        <v>4578</v>
      </c>
      <c r="P233" s="25" t="s">
        <v>4579</v>
      </c>
      <c r="Q233" s="25" t="s">
        <v>3751</v>
      </c>
      <c r="R233" s="25" t="s">
        <v>1429</v>
      </c>
      <c r="S233" s="25" t="s">
        <v>3744</v>
      </c>
      <c r="T233" s="25" t="s">
        <v>1423</v>
      </c>
      <c r="U233" s="25" t="s">
        <v>1425</v>
      </c>
      <c r="V233" s="25" t="s">
        <v>1233</v>
      </c>
      <c r="X233" s="25" t="s">
        <v>1233</v>
      </c>
      <c r="Z233" s="25" t="s">
        <v>1429</v>
      </c>
    </row>
    <row r="234" spans="1:26">
      <c r="A234" s="25" t="s">
        <v>1289</v>
      </c>
      <c r="B234" s="25" t="s">
        <v>470</v>
      </c>
      <c r="C234" s="25" t="s">
        <v>1232</v>
      </c>
      <c r="D234" s="25" t="s">
        <v>1337</v>
      </c>
      <c r="E234" s="25" t="s">
        <v>1228</v>
      </c>
      <c r="G234" s="25" t="s">
        <v>1231</v>
      </c>
      <c r="H234" s="25">
        <v>30</v>
      </c>
      <c r="I234" s="25" t="s">
        <v>4580</v>
      </c>
      <c r="J234" s="25" t="str">
        <f>VLOOKUP(I234,'records (3)'!$A:$C,2,FALSE)</f>
        <v>003IV000010su8aYAA</v>
      </c>
      <c r="K234" s="25" t="s">
        <v>1235</v>
      </c>
      <c r="L234" s="25" t="s">
        <v>1227</v>
      </c>
      <c r="M234" s="25" t="s">
        <v>4580</v>
      </c>
      <c r="N234" s="25" t="str">
        <f>VLOOKUP($M234,'records (3)'!$A:$C,2,FALSE)</f>
        <v>003IV000010su8aYAA</v>
      </c>
      <c r="O234" s="25" t="s">
        <v>1235</v>
      </c>
      <c r="P234" s="25" t="s">
        <v>1227</v>
      </c>
      <c r="Q234" s="25" t="s">
        <v>3751</v>
      </c>
      <c r="R234" s="25" t="s">
        <v>4581</v>
      </c>
      <c r="S234" s="25" t="s">
        <v>3744</v>
      </c>
      <c r="T234" s="25" t="s">
        <v>4582</v>
      </c>
      <c r="V234" s="25" t="s">
        <v>1233</v>
      </c>
      <c r="X234" s="25" t="s">
        <v>1233</v>
      </c>
      <c r="Z234" s="25" t="s">
        <v>4581</v>
      </c>
    </row>
    <row r="235" spans="1:26">
      <c r="A235" s="25" t="s">
        <v>2361</v>
      </c>
      <c r="B235" s="25" t="s">
        <v>1031</v>
      </c>
      <c r="C235" s="25" t="s">
        <v>2358</v>
      </c>
      <c r="D235" s="25" t="s">
        <v>1337</v>
      </c>
      <c r="E235" s="25" t="s">
        <v>2359</v>
      </c>
      <c r="G235" s="25" t="s">
        <v>2360</v>
      </c>
      <c r="H235" s="25">
        <v>30</v>
      </c>
      <c r="I235" s="25" t="s">
        <v>4583</v>
      </c>
      <c r="J235" s="25" t="str">
        <f>VLOOKUP(I235,'records (3)'!$A:$C,2,FALSE)</f>
        <v>003IV000010su8VYAQ</v>
      </c>
      <c r="K235" s="25" t="s">
        <v>4584</v>
      </c>
      <c r="L235" s="25" t="s">
        <v>4585</v>
      </c>
      <c r="M235" s="25" t="s">
        <v>4583</v>
      </c>
      <c r="N235" s="25" t="str">
        <f>VLOOKUP($M235,'records (3)'!$A:$C,2,FALSE)</f>
        <v>003IV000010su8VYAQ</v>
      </c>
      <c r="O235" s="25" t="s">
        <v>4584</v>
      </c>
      <c r="P235" s="25" t="s">
        <v>4585</v>
      </c>
      <c r="Q235" s="25" t="s">
        <v>3751</v>
      </c>
      <c r="R235" s="25" t="s">
        <v>2363</v>
      </c>
      <c r="S235" s="25" t="s">
        <v>3744</v>
      </c>
      <c r="T235" s="25" t="s">
        <v>2357</v>
      </c>
      <c r="V235" s="25" t="s">
        <v>1233</v>
      </c>
      <c r="X235" s="25" t="s">
        <v>1233</v>
      </c>
      <c r="Z235" s="25" t="s">
        <v>2363</v>
      </c>
    </row>
    <row r="236" spans="1:26">
      <c r="A236" s="25" t="s">
        <v>2221</v>
      </c>
      <c r="B236" s="25" t="s">
        <v>142</v>
      </c>
      <c r="C236" s="25" t="s">
        <v>2218</v>
      </c>
      <c r="D236" s="25" t="s">
        <v>1337</v>
      </c>
      <c r="E236" s="25" t="s">
        <v>2219</v>
      </c>
      <c r="G236" s="25" t="s">
        <v>2220</v>
      </c>
      <c r="H236" s="25">
        <v>30</v>
      </c>
      <c r="I236" s="25" t="s">
        <v>4586</v>
      </c>
      <c r="J236" s="25" t="str">
        <f>VLOOKUP(I236,'records (3)'!$A:$C,2,FALSE)</f>
        <v>003IV000010su8TYAQ</v>
      </c>
      <c r="K236" s="25" t="s">
        <v>4587</v>
      </c>
      <c r="L236" s="25" t="s">
        <v>4588</v>
      </c>
      <c r="M236" s="25" t="s">
        <v>4586</v>
      </c>
      <c r="N236" s="25" t="str">
        <f>VLOOKUP($M236,'records (3)'!$A:$C,2,FALSE)</f>
        <v>003IV000010su8TYAQ</v>
      </c>
      <c r="O236" s="25" t="s">
        <v>4587</v>
      </c>
      <c r="P236" s="25" t="s">
        <v>4588</v>
      </c>
      <c r="Q236" s="25" t="s">
        <v>3751</v>
      </c>
      <c r="R236" s="25" t="s">
        <v>2223</v>
      </c>
      <c r="S236" s="25" t="s">
        <v>3744</v>
      </c>
      <c r="T236" s="25" t="s">
        <v>2217</v>
      </c>
      <c r="V236" s="25" t="s">
        <v>1233</v>
      </c>
      <c r="X236" s="25" t="s">
        <v>1233</v>
      </c>
      <c r="Z236" s="25" t="s">
        <v>2223</v>
      </c>
    </row>
    <row r="237" spans="1:26">
      <c r="A237" s="25" t="s">
        <v>1290</v>
      </c>
      <c r="B237" s="25" t="s">
        <v>953</v>
      </c>
      <c r="C237" s="25" t="s">
        <v>2650</v>
      </c>
      <c r="D237" s="25" t="s">
        <v>1337</v>
      </c>
      <c r="E237" s="25" t="s">
        <v>4589</v>
      </c>
      <c r="G237" s="25" t="s">
        <v>2652</v>
      </c>
      <c r="H237" s="25">
        <v>30</v>
      </c>
      <c r="I237" s="25" t="s">
        <v>4590</v>
      </c>
      <c r="J237" s="25" t="str">
        <f>VLOOKUP(I237,'records (3)'!$A:$C,2,FALSE)</f>
        <v>003IV000010t45KYAQ</v>
      </c>
      <c r="K237" s="25" t="s">
        <v>4591</v>
      </c>
      <c r="L237" s="25" t="s">
        <v>4592</v>
      </c>
      <c r="M237" s="25" t="s">
        <v>4590</v>
      </c>
      <c r="N237" s="25" t="str">
        <f>VLOOKUP($M237,'records (3)'!$A:$C,2,FALSE)</f>
        <v>003IV000010t45KYAQ</v>
      </c>
      <c r="O237" s="25" t="s">
        <v>4591</v>
      </c>
      <c r="P237" s="25" t="s">
        <v>4592</v>
      </c>
      <c r="Q237" s="25" t="s">
        <v>3751</v>
      </c>
      <c r="R237" s="25" t="s">
        <v>2654</v>
      </c>
      <c r="S237" s="25" t="s">
        <v>3744</v>
      </c>
      <c r="T237" s="25" t="s">
        <v>2649</v>
      </c>
      <c r="V237" s="25" t="s">
        <v>1233</v>
      </c>
      <c r="X237" s="25" t="s">
        <v>1233</v>
      </c>
      <c r="Z237" s="25" t="s">
        <v>2654</v>
      </c>
    </row>
    <row r="238" spans="1:26">
      <c r="A238" s="25" t="s">
        <v>3665</v>
      </c>
      <c r="B238" s="25" t="s">
        <v>4593</v>
      </c>
      <c r="C238" s="25" t="s">
        <v>1454</v>
      </c>
      <c r="D238" s="25" t="s">
        <v>1337</v>
      </c>
      <c r="E238" s="25" t="s">
        <v>1455</v>
      </c>
      <c r="G238" s="25" t="s">
        <v>3664</v>
      </c>
      <c r="H238" s="25">
        <v>30</v>
      </c>
      <c r="I238" s="25" t="s">
        <v>4594</v>
      </c>
      <c r="J238" s="25" t="str">
        <f>VLOOKUP(I238,'records (3)'!$A:$C,2,FALSE)</f>
        <v>003IV000010tIdSYAU</v>
      </c>
      <c r="K238" s="25" t="s">
        <v>4595</v>
      </c>
      <c r="L238" s="25" t="s">
        <v>4596</v>
      </c>
      <c r="M238" s="25" t="s">
        <v>4594</v>
      </c>
      <c r="N238" s="25" t="str">
        <f>VLOOKUP($M238,'records (3)'!$A:$C,2,FALSE)</f>
        <v>003IV000010tIdSYAU</v>
      </c>
      <c r="O238" s="25" t="s">
        <v>4595</v>
      </c>
      <c r="P238" s="25" t="s">
        <v>4596</v>
      </c>
      <c r="Q238" s="25" t="s">
        <v>3751</v>
      </c>
      <c r="S238" s="25" t="s">
        <v>3744</v>
      </c>
      <c r="T238" s="25" t="s">
        <v>3663</v>
      </c>
      <c r="V238" s="25" t="s">
        <v>1454</v>
      </c>
      <c r="X238" s="25" t="s">
        <v>1455</v>
      </c>
      <c r="Z238" s="25" t="s">
        <v>3664</v>
      </c>
    </row>
    <row r="239" spans="1:26">
      <c r="A239" s="25" t="s">
        <v>2236</v>
      </c>
      <c r="B239" s="25" t="s">
        <v>551</v>
      </c>
      <c r="C239" s="25" t="s">
        <v>2233</v>
      </c>
      <c r="D239" s="25" t="s">
        <v>1337</v>
      </c>
      <c r="E239" s="25" t="s">
        <v>2234</v>
      </c>
      <c r="G239" s="25" t="s">
        <v>2235</v>
      </c>
      <c r="H239" s="25">
        <v>30</v>
      </c>
      <c r="I239" s="25" t="s">
        <v>4597</v>
      </c>
      <c r="J239" s="25" t="str">
        <f>VLOOKUP(I239,'records (3)'!$A:$C,2,FALSE)</f>
        <v>003IV000010t698YAA</v>
      </c>
      <c r="K239" s="25" t="s">
        <v>4598</v>
      </c>
      <c r="L239" s="25" t="s">
        <v>4599</v>
      </c>
      <c r="M239" s="25" t="s">
        <v>4597</v>
      </c>
      <c r="N239" s="25" t="str">
        <f>VLOOKUP($M239,'records (3)'!$A:$C,2,FALSE)</f>
        <v>003IV000010t698YAA</v>
      </c>
      <c r="O239" s="25" t="s">
        <v>4598</v>
      </c>
      <c r="P239" s="25" t="s">
        <v>4599</v>
      </c>
      <c r="Q239" s="25" t="s">
        <v>3751</v>
      </c>
      <c r="R239" s="25" t="s">
        <v>2238</v>
      </c>
      <c r="S239" s="25" t="s">
        <v>3744</v>
      </c>
      <c r="T239" s="25" t="s">
        <v>2232</v>
      </c>
      <c r="V239" s="25" t="s">
        <v>1233</v>
      </c>
      <c r="X239" s="25" t="s">
        <v>1233</v>
      </c>
      <c r="Z239" s="25" t="s">
        <v>2238</v>
      </c>
    </row>
    <row r="240" spans="1:26">
      <c r="A240" s="25" t="s">
        <v>2469</v>
      </c>
      <c r="B240" s="25" t="s">
        <v>639</v>
      </c>
      <c r="C240" s="25" t="s">
        <v>2466</v>
      </c>
      <c r="D240" s="25" t="s">
        <v>1337</v>
      </c>
      <c r="E240" s="25" t="s">
        <v>2467</v>
      </c>
      <c r="G240" s="25" t="s">
        <v>2468</v>
      </c>
      <c r="H240" s="25">
        <v>30</v>
      </c>
      <c r="I240" s="25" t="s">
        <v>4600</v>
      </c>
      <c r="J240" s="25" t="str">
        <f>VLOOKUP(I240,'records (3)'!$A:$C,2,FALSE)</f>
        <v>003IV000010t4FTYAY</v>
      </c>
      <c r="K240" s="25" t="s">
        <v>4601</v>
      </c>
      <c r="M240" s="25" t="s">
        <v>4600</v>
      </c>
      <c r="N240" s="25" t="str">
        <f>VLOOKUP($M240,'records (3)'!$A:$C,2,FALSE)</f>
        <v>003IV000010t4FTYAY</v>
      </c>
      <c r="O240" s="25" t="s">
        <v>4601</v>
      </c>
      <c r="Q240" s="25" t="s">
        <v>3751</v>
      </c>
      <c r="R240" s="25" t="s">
        <v>2471</v>
      </c>
      <c r="S240" s="25" t="s">
        <v>3744</v>
      </c>
      <c r="T240" s="25" t="s">
        <v>2465</v>
      </c>
      <c r="V240" s="25" t="s">
        <v>1233</v>
      </c>
      <c r="X240" s="25" t="s">
        <v>1233</v>
      </c>
      <c r="Z240" s="25" t="s">
        <v>2471</v>
      </c>
    </row>
    <row r="241" spans="1:26">
      <c r="A241" s="25" t="s">
        <v>2087</v>
      </c>
      <c r="B241" s="25" t="s">
        <v>657</v>
      </c>
      <c r="C241" s="25" t="s">
        <v>1544</v>
      </c>
      <c r="D241" s="25" t="s">
        <v>1337</v>
      </c>
      <c r="E241" s="25" t="s">
        <v>1545</v>
      </c>
      <c r="G241" s="25" t="s">
        <v>1546</v>
      </c>
      <c r="H241" s="25">
        <v>30</v>
      </c>
      <c r="I241" s="25" t="s">
        <v>4602</v>
      </c>
      <c r="J241" s="25" t="str">
        <f>VLOOKUP(I241,'records (3)'!$A:$C,2,FALSE)</f>
        <v>003IV000010tSnSYAU</v>
      </c>
      <c r="K241" s="25" t="s">
        <v>4603</v>
      </c>
      <c r="L241" s="25" t="s">
        <v>2089</v>
      </c>
      <c r="M241" s="25" t="s">
        <v>4602</v>
      </c>
      <c r="N241" s="25" t="str">
        <f>VLOOKUP($M241,'records (3)'!$A:$C,2,FALSE)</f>
        <v>003IV000010tSnSYAU</v>
      </c>
      <c r="O241" s="25" t="s">
        <v>4603</v>
      </c>
      <c r="P241" s="25" t="s">
        <v>2089</v>
      </c>
      <c r="Q241" s="25" t="s">
        <v>3751</v>
      </c>
      <c r="R241" s="25" t="s">
        <v>2089</v>
      </c>
      <c r="S241" s="25" t="s">
        <v>3744</v>
      </c>
      <c r="T241" s="25" t="s">
        <v>2086</v>
      </c>
      <c r="V241" s="25" t="s">
        <v>1233</v>
      </c>
      <c r="X241" s="25" t="s">
        <v>1233</v>
      </c>
      <c r="Z241" s="25" t="s">
        <v>2089</v>
      </c>
    </row>
    <row r="242" spans="1:26">
      <c r="A242" s="25" t="s">
        <v>2445</v>
      </c>
      <c r="B242" s="25" t="s">
        <v>1129</v>
      </c>
      <c r="C242" s="25" t="s">
        <v>2442</v>
      </c>
      <c r="D242" s="25" t="s">
        <v>1337</v>
      </c>
      <c r="E242" s="25" t="s">
        <v>4604</v>
      </c>
      <c r="G242" s="25" t="s">
        <v>2444</v>
      </c>
      <c r="H242" s="25">
        <v>30</v>
      </c>
      <c r="I242" s="25" t="s">
        <v>4605</v>
      </c>
      <c r="J242" s="25" t="str">
        <f>VLOOKUP(I242,'records (3)'!$A:$C,2,FALSE)</f>
        <v>003IV000010tSrYYAU</v>
      </c>
      <c r="K242" s="25" t="s">
        <v>1832</v>
      </c>
      <c r="L242" s="25" t="s">
        <v>2447</v>
      </c>
      <c r="M242" s="25" t="s">
        <v>4605</v>
      </c>
      <c r="N242" s="25" t="str">
        <f>VLOOKUP($M242,'records (3)'!$A:$C,2,FALSE)</f>
        <v>003IV000010tSrYYAU</v>
      </c>
      <c r="O242" s="25" t="s">
        <v>1832</v>
      </c>
      <c r="P242" s="25" t="s">
        <v>2447</v>
      </c>
      <c r="Q242" s="25" t="s">
        <v>3751</v>
      </c>
      <c r="R242" s="25" t="s">
        <v>2447</v>
      </c>
      <c r="S242" s="25" t="s">
        <v>3744</v>
      </c>
      <c r="T242" s="25" t="s">
        <v>2441</v>
      </c>
      <c r="V242" s="25" t="s">
        <v>1233</v>
      </c>
      <c r="X242" s="25" t="s">
        <v>1233</v>
      </c>
      <c r="Z242" s="25" t="s">
        <v>2447</v>
      </c>
    </row>
    <row r="243" spans="1:26">
      <c r="A243" s="25" t="s">
        <v>2683</v>
      </c>
      <c r="B243" s="25" t="s">
        <v>599</v>
      </c>
      <c r="C243" s="25" t="s">
        <v>2680</v>
      </c>
      <c r="D243" s="25" t="s">
        <v>1337</v>
      </c>
      <c r="E243" s="25" t="s">
        <v>2681</v>
      </c>
      <c r="G243" s="25" t="s">
        <v>2682</v>
      </c>
      <c r="H243" s="25">
        <v>30</v>
      </c>
      <c r="I243" s="25" t="s">
        <v>4606</v>
      </c>
      <c r="J243" s="25" t="str">
        <f>VLOOKUP(I243,'records (3)'!$A:$C,2,FALSE)</f>
        <v>003IV000010tSn4YAE</v>
      </c>
      <c r="K243" s="25" t="s">
        <v>4607</v>
      </c>
      <c r="L243" s="25" t="s">
        <v>4608</v>
      </c>
      <c r="M243" s="25" t="s">
        <v>4609</v>
      </c>
      <c r="N243" s="25" t="str">
        <f>VLOOKUP($M243,'records (3)'!$A:$C,2,FALSE)</f>
        <v>003IV000010tSn5YAE</v>
      </c>
      <c r="O243" s="25" t="s">
        <v>4610</v>
      </c>
      <c r="P243" s="25" t="s">
        <v>4611</v>
      </c>
      <c r="Q243" s="25" t="s">
        <v>3751</v>
      </c>
      <c r="R243" s="25" t="s">
        <v>2685</v>
      </c>
      <c r="S243" s="25" t="s">
        <v>3744</v>
      </c>
      <c r="T243" s="25" t="s">
        <v>2679</v>
      </c>
      <c r="V243" s="25" t="s">
        <v>1233</v>
      </c>
      <c r="X243" s="25" t="s">
        <v>1233</v>
      </c>
      <c r="Z243" s="25" t="s">
        <v>2685</v>
      </c>
    </row>
    <row r="244" spans="1:26">
      <c r="A244" s="25" t="s">
        <v>1291</v>
      </c>
      <c r="B244" s="25" t="s">
        <v>419</v>
      </c>
      <c r="C244" s="25" t="s">
        <v>1974</v>
      </c>
      <c r="D244" s="25" t="s">
        <v>1337</v>
      </c>
      <c r="E244" s="25" t="s">
        <v>1975</v>
      </c>
      <c r="G244" s="25" t="s">
        <v>4612</v>
      </c>
      <c r="H244" s="25">
        <v>45</v>
      </c>
      <c r="I244" s="25" t="s">
        <v>4613</v>
      </c>
      <c r="J244" s="25" t="str">
        <f>VLOOKUP(I244,'records (3)'!$A:$C,2,FALSE)</f>
        <v>003IV000010su8XYAQ</v>
      </c>
      <c r="K244" s="25" t="s">
        <v>4614</v>
      </c>
      <c r="L244" s="25" t="s">
        <v>1978</v>
      </c>
      <c r="M244" s="25" t="s">
        <v>4613</v>
      </c>
      <c r="N244" s="25" t="str">
        <f>VLOOKUP($M244,'records (3)'!$A:$C,2,FALSE)</f>
        <v>003IV000010su8XYAQ</v>
      </c>
      <c r="O244" s="25" t="s">
        <v>4614</v>
      </c>
      <c r="P244" s="25" t="s">
        <v>1978</v>
      </c>
      <c r="Q244" s="25" t="s">
        <v>3751</v>
      </c>
      <c r="R244" s="25" t="s">
        <v>1978</v>
      </c>
      <c r="S244" s="25" t="s">
        <v>3744</v>
      </c>
      <c r="T244" s="25" t="s">
        <v>1973</v>
      </c>
      <c r="V244" s="25" t="s">
        <v>1233</v>
      </c>
      <c r="X244" s="25" t="s">
        <v>1233</v>
      </c>
      <c r="Z244" s="25" t="s">
        <v>1978</v>
      </c>
    </row>
    <row r="245" spans="1:26">
      <c r="A245" s="25" t="s">
        <v>2353</v>
      </c>
      <c r="B245" s="25" t="s">
        <v>620</v>
      </c>
      <c r="C245" s="25" t="s">
        <v>2350</v>
      </c>
      <c r="D245" s="25" t="s">
        <v>1337</v>
      </c>
      <c r="E245" s="25" t="s">
        <v>2351</v>
      </c>
      <c r="G245" s="25" t="s">
        <v>2352</v>
      </c>
      <c r="H245" s="25">
        <v>30</v>
      </c>
      <c r="I245" s="25" t="s">
        <v>4615</v>
      </c>
      <c r="J245" s="25" t="str">
        <f>VLOOKUP(I245,'records (3)'!$A:$C,2,FALSE)</f>
        <v>003IV000010t67oYAA</v>
      </c>
      <c r="K245" s="25" t="s">
        <v>4616</v>
      </c>
      <c r="L245" s="25" t="s">
        <v>2355</v>
      </c>
      <c r="M245" s="25" t="s">
        <v>4615</v>
      </c>
      <c r="N245" s="25" t="str">
        <f>VLOOKUP($M245,'records (3)'!$A:$C,2,FALSE)</f>
        <v>003IV000010t67oYAA</v>
      </c>
      <c r="O245" s="25" t="s">
        <v>4616</v>
      </c>
      <c r="P245" s="25" t="s">
        <v>2355</v>
      </c>
      <c r="Q245" s="25" t="s">
        <v>3751</v>
      </c>
      <c r="R245" s="25" t="s">
        <v>2355</v>
      </c>
      <c r="S245" s="25" t="s">
        <v>3744</v>
      </c>
      <c r="T245" s="25" t="s">
        <v>2349</v>
      </c>
      <c r="V245" s="25" t="s">
        <v>1233</v>
      </c>
      <c r="X245" s="25" t="s">
        <v>1233</v>
      </c>
      <c r="Z245" s="25" t="s">
        <v>2355</v>
      </c>
    </row>
    <row r="246" spans="1:26">
      <c r="A246" s="25" t="s">
        <v>2786</v>
      </c>
      <c r="B246" s="25" t="s">
        <v>854</v>
      </c>
      <c r="C246" s="25" t="s">
        <v>2783</v>
      </c>
      <c r="E246" s="25" t="s">
        <v>2784</v>
      </c>
      <c r="G246" s="25" t="s">
        <v>2785</v>
      </c>
      <c r="H246" s="25">
        <v>30</v>
      </c>
      <c r="I246" s="25" t="s">
        <v>4617</v>
      </c>
      <c r="J246" s="25" t="str">
        <f>VLOOKUP(I246,'records (3)'!$A:$C,2,FALSE)</f>
        <v>003IV000010su8cYAA</v>
      </c>
      <c r="K246" s="25" t="s">
        <v>4618</v>
      </c>
      <c r="L246" s="25" t="s">
        <v>2788</v>
      </c>
      <c r="M246" s="25" t="s">
        <v>4617</v>
      </c>
      <c r="N246" s="25" t="str">
        <f>VLOOKUP($M246,'records (3)'!$A:$C,2,FALSE)</f>
        <v>003IV000010su8cYAA</v>
      </c>
      <c r="O246" s="25" t="s">
        <v>4618</v>
      </c>
      <c r="P246" s="25" t="s">
        <v>2788</v>
      </c>
      <c r="Q246" s="25" t="s">
        <v>3751</v>
      </c>
      <c r="R246" s="25" t="s">
        <v>2788</v>
      </c>
      <c r="S246" s="25" t="s">
        <v>3744</v>
      </c>
      <c r="T246" s="25" t="s">
        <v>2782</v>
      </c>
      <c r="V246" s="25" t="s">
        <v>1233</v>
      </c>
      <c r="X246" s="25" t="s">
        <v>1233</v>
      </c>
      <c r="Z246" s="25" t="s">
        <v>2788</v>
      </c>
    </row>
    <row r="247" spans="1:26">
      <c r="A247" s="25" t="s">
        <v>2413</v>
      </c>
      <c r="B247" s="25" t="s">
        <v>1027</v>
      </c>
      <c r="C247" s="25" t="s">
        <v>2409</v>
      </c>
      <c r="D247" s="25" t="s">
        <v>1337</v>
      </c>
      <c r="E247" s="25" t="s">
        <v>2411</v>
      </c>
      <c r="G247" s="25" t="s">
        <v>2412</v>
      </c>
      <c r="H247" s="25">
        <v>30</v>
      </c>
      <c r="I247" s="25" t="s">
        <v>4619</v>
      </c>
      <c r="J247" s="25" t="str">
        <f>VLOOKUP(I247,'records (3)'!$A:$C,2,FALSE)</f>
        <v>003IV000010su8bYAA</v>
      </c>
      <c r="K247" s="25" t="s">
        <v>4620</v>
      </c>
      <c r="L247" s="25" t="s">
        <v>4621</v>
      </c>
      <c r="M247" s="25" t="s">
        <v>4619</v>
      </c>
      <c r="N247" s="25" t="str">
        <f>VLOOKUP($M247,'records (3)'!$A:$C,2,FALSE)</f>
        <v>003IV000010su8bYAA</v>
      </c>
      <c r="O247" s="25" t="s">
        <v>4620</v>
      </c>
      <c r="P247" s="25" t="s">
        <v>4621</v>
      </c>
      <c r="Q247" s="25" t="s">
        <v>3751</v>
      </c>
      <c r="R247" s="25" t="s">
        <v>2406</v>
      </c>
      <c r="S247" s="25" t="s">
        <v>3744</v>
      </c>
      <c r="T247" s="25" t="s">
        <v>2408</v>
      </c>
      <c r="U247" s="25" t="s">
        <v>2410</v>
      </c>
      <c r="V247" s="25" t="s">
        <v>1233</v>
      </c>
      <c r="X247" s="25" t="s">
        <v>1233</v>
      </c>
      <c r="Z247" s="25" t="s">
        <v>2406</v>
      </c>
    </row>
    <row r="248" spans="1:26">
      <c r="A248" s="25" t="s">
        <v>1292</v>
      </c>
      <c r="B248" s="25" t="s">
        <v>795</v>
      </c>
      <c r="C248" s="25" t="s">
        <v>3192</v>
      </c>
      <c r="D248" s="25" t="s">
        <v>1337</v>
      </c>
      <c r="E248" s="25" t="s">
        <v>3193</v>
      </c>
      <c r="G248" s="25" t="s">
        <v>3194</v>
      </c>
      <c r="H248" s="25">
        <v>45</v>
      </c>
      <c r="I248" s="25" t="s">
        <v>4622</v>
      </c>
      <c r="J248" s="25" t="str">
        <f>VLOOKUP(I248,'records (3)'!$A:$C,2,FALSE)</f>
        <v>003IV000010su8eYAA</v>
      </c>
      <c r="K248" s="25" t="s">
        <v>4623</v>
      </c>
      <c r="L248" s="25" t="s">
        <v>4624</v>
      </c>
      <c r="M248" s="25" t="s">
        <v>4625</v>
      </c>
      <c r="N248" s="25" t="str">
        <f>VLOOKUP($M248,'records (3)'!$A:$C,2,FALSE)</f>
        <v>003IV000010su8dYAA</v>
      </c>
      <c r="O248" s="25" t="s">
        <v>4626</v>
      </c>
      <c r="P248" s="25" t="s">
        <v>4627</v>
      </c>
      <c r="Q248" s="25" t="s">
        <v>3751</v>
      </c>
      <c r="R248" s="25" t="s">
        <v>3196</v>
      </c>
      <c r="S248" s="25" t="s">
        <v>3744</v>
      </c>
      <c r="T248" s="25" t="s">
        <v>3191</v>
      </c>
      <c r="V248" s="25" t="s">
        <v>1233</v>
      </c>
      <c r="X248" s="25" t="s">
        <v>1233</v>
      </c>
      <c r="Z248" s="25" t="s">
        <v>3196</v>
      </c>
    </row>
    <row r="249" spans="1:26">
      <c r="A249" s="25" t="s">
        <v>1293</v>
      </c>
      <c r="B249" s="25" t="s">
        <v>1182</v>
      </c>
      <c r="C249" s="25" t="s">
        <v>3111</v>
      </c>
      <c r="D249" s="25" t="s">
        <v>1337</v>
      </c>
      <c r="E249" s="25" t="s">
        <v>3112</v>
      </c>
      <c r="G249" s="25" t="s">
        <v>3113</v>
      </c>
      <c r="H249" s="25">
        <v>60</v>
      </c>
      <c r="I249" s="25" t="s">
        <v>4628</v>
      </c>
      <c r="J249" s="25" t="str">
        <f>VLOOKUP(I249,'records (3)'!$A:$C,2,FALSE)</f>
        <v>003IV000010tHInYAM</v>
      </c>
      <c r="K249" s="25" t="s">
        <v>4629</v>
      </c>
      <c r="L249" s="25" t="s">
        <v>4630</v>
      </c>
      <c r="M249" s="25" t="s">
        <v>4628</v>
      </c>
      <c r="N249" s="25" t="str">
        <f>VLOOKUP($M249,'records (3)'!$A:$C,2,FALSE)</f>
        <v>003IV000010tHInYAM</v>
      </c>
      <c r="O249" s="25" t="s">
        <v>4629</v>
      </c>
      <c r="P249" s="25" t="s">
        <v>4630</v>
      </c>
      <c r="Q249" s="25" t="s">
        <v>3751</v>
      </c>
      <c r="R249" s="25" t="s">
        <v>3115</v>
      </c>
      <c r="S249" s="25" t="s">
        <v>3744</v>
      </c>
      <c r="T249" s="25" t="s">
        <v>3110</v>
      </c>
      <c r="V249" s="25" t="s">
        <v>1233</v>
      </c>
      <c r="X249" s="25" t="s">
        <v>1233</v>
      </c>
      <c r="Z249" s="25" t="s">
        <v>3115</v>
      </c>
    </row>
    <row r="250" spans="1:26">
      <c r="A250" s="25" t="s">
        <v>1294</v>
      </c>
      <c r="B250" s="25" t="s">
        <v>1179</v>
      </c>
      <c r="C250" s="25" t="s">
        <v>3117</v>
      </c>
      <c r="D250" s="25" t="s">
        <v>1337</v>
      </c>
      <c r="E250" s="25" t="s">
        <v>3118</v>
      </c>
      <c r="G250" s="25" t="s">
        <v>3113</v>
      </c>
      <c r="H250" s="25">
        <v>60</v>
      </c>
      <c r="I250" s="25" t="s">
        <v>4628</v>
      </c>
      <c r="J250" s="25" t="str">
        <f>VLOOKUP(I250,'records (3)'!$A:$C,2,FALSE)</f>
        <v>003IV000010tHInYAM</v>
      </c>
      <c r="K250" s="25" t="s">
        <v>4629</v>
      </c>
      <c r="L250" s="25" t="s">
        <v>4630</v>
      </c>
      <c r="M250" s="25" t="s">
        <v>4628</v>
      </c>
      <c r="N250" s="25" t="str">
        <f>VLOOKUP($M250,'records (3)'!$A:$C,2,FALSE)</f>
        <v>003IV000010tHInYAM</v>
      </c>
      <c r="O250" s="25" t="s">
        <v>4629</v>
      </c>
      <c r="P250" s="25" t="s">
        <v>4630</v>
      </c>
      <c r="Q250" s="25" t="s">
        <v>3751</v>
      </c>
      <c r="R250" s="25" t="s">
        <v>3115</v>
      </c>
      <c r="S250" s="25" t="s">
        <v>3744</v>
      </c>
      <c r="T250" s="25" t="s">
        <v>3110</v>
      </c>
      <c r="V250" s="25" t="s">
        <v>1233</v>
      </c>
      <c r="X250" s="25" t="s">
        <v>1233</v>
      </c>
      <c r="Z250" s="25" t="s">
        <v>3115</v>
      </c>
    </row>
    <row r="251" spans="1:26">
      <c r="A251" s="25" t="s">
        <v>3413</v>
      </c>
      <c r="B251" s="25" t="s">
        <v>231</v>
      </c>
      <c r="C251" s="25" t="s">
        <v>3410</v>
      </c>
      <c r="E251" s="25" t="s">
        <v>3411</v>
      </c>
      <c r="G251" s="25" t="s">
        <v>3412</v>
      </c>
      <c r="H251" s="25">
        <v>30</v>
      </c>
      <c r="I251" s="25" t="s">
        <v>4631</v>
      </c>
      <c r="J251" s="25" t="str">
        <f>VLOOKUP(I251,'records (3)'!$A:$C,2,FALSE)</f>
        <v>003IV000010t6CGYAY</v>
      </c>
      <c r="K251" s="25" t="s">
        <v>4632</v>
      </c>
      <c r="L251" s="25" t="s">
        <v>4633</v>
      </c>
      <c r="M251" s="25" t="s">
        <v>4631</v>
      </c>
      <c r="N251" s="25" t="str">
        <f>VLOOKUP($M251,'records (3)'!$A:$C,2,FALSE)</f>
        <v>003IV000010t6CGYAY</v>
      </c>
      <c r="O251" s="25" t="s">
        <v>4632</v>
      </c>
      <c r="P251" s="25" t="s">
        <v>4633</v>
      </c>
      <c r="Q251" s="25" t="s">
        <v>3751</v>
      </c>
      <c r="R251" s="25" t="s">
        <v>3415</v>
      </c>
      <c r="S251" s="25" t="s">
        <v>3744</v>
      </c>
      <c r="T251" s="25" t="s">
        <v>230</v>
      </c>
      <c r="V251" s="25" t="s">
        <v>1233</v>
      </c>
      <c r="X251" s="25" t="s">
        <v>1233</v>
      </c>
      <c r="Z251" s="25" t="s">
        <v>3415</v>
      </c>
    </row>
    <row r="252" spans="1:26">
      <c r="A252" s="25" t="s">
        <v>3722</v>
      </c>
      <c r="B252" s="25" t="s">
        <v>1157</v>
      </c>
      <c r="D252" s="25" t="s">
        <v>1337</v>
      </c>
      <c r="H252" s="25">
        <v>30</v>
      </c>
      <c r="J252" s="25" t="e">
        <f>VLOOKUP(I252,'records (3)'!$A:$C,2,FALSE)</f>
        <v>#N/A</v>
      </c>
      <c r="N252" s="25" t="e">
        <f>VLOOKUP($M252,'records (3)'!$A:$C,2,FALSE)</f>
        <v>#N/A</v>
      </c>
      <c r="S252" s="25" t="s">
        <v>3744</v>
      </c>
    </row>
    <row r="253" spans="1:26">
      <c r="A253" s="25" t="s">
        <v>1411</v>
      </c>
      <c r="B253" s="25" t="s">
        <v>171</v>
      </c>
      <c r="C253" s="25" t="s">
        <v>1408</v>
      </c>
      <c r="D253" s="25" t="s">
        <v>1337</v>
      </c>
      <c r="E253" s="25" t="s">
        <v>1409</v>
      </c>
      <c r="G253" s="25" t="s">
        <v>1410</v>
      </c>
      <c r="H253" s="25">
        <v>30</v>
      </c>
      <c r="I253" s="25" t="s">
        <v>4634</v>
      </c>
      <c r="J253" s="25" t="str">
        <f>VLOOKUP(I253,'records (3)'!$A:$C,2,FALSE)</f>
        <v>003IV000010t2BcYAI</v>
      </c>
      <c r="K253" s="25" t="s">
        <v>4635</v>
      </c>
      <c r="L253" s="25" t="s">
        <v>4636</v>
      </c>
      <c r="M253" s="25" t="s">
        <v>4634</v>
      </c>
      <c r="N253" s="25" t="str">
        <f>VLOOKUP($M253,'records (3)'!$A:$C,2,FALSE)</f>
        <v>003IV000010t2BcYAI</v>
      </c>
      <c r="O253" s="25" t="s">
        <v>4635</v>
      </c>
      <c r="P253" s="25" t="s">
        <v>4636</v>
      </c>
      <c r="Q253" s="25" t="s">
        <v>3751</v>
      </c>
      <c r="R253" s="25" t="s">
        <v>1413</v>
      </c>
      <c r="S253" s="25" t="s">
        <v>3744</v>
      </c>
      <c r="T253" s="25" t="s">
        <v>1407</v>
      </c>
      <c r="V253" s="25" t="s">
        <v>1233</v>
      </c>
      <c r="X253" s="25" t="s">
        <v>1233</v>
      </c>
      <c r="Z253" s="25" t="s">
        <v>1413</v>
      </c>
    </row>
    <row r="254" spans="1:26">
      <c r="A254" s="25" t="s">
        <v>1295</v>
      </c>
      <c r="B254" s="25" t="s">
        <v>635</v>
      </c>
      <c r="C254" s="25" t="s">
        <v>2609</v>
      </c>
      <c r="D254" s="25" t="s">
        <v>1337</v>
      </c>
      <c r="E254" s="25" t="s">
        <v>2611</v>
      </c>
      <c r="G254" s="25" t="s">
        <v>2612</v>
      </c>
      <c r="H254" s="25">
        <v>45</v>
      </c>
      <c r="I254" s="25" t="s">
        <v>4637</v>
      </c>
      <c r="J254" s="25" t="str">
        <f>VLOOKUP(I254,'records (3)'!$A:$C,2,FALSE)</f>
        <v>003IV000010tFE1YAM</v>
      </c>
      <c r="K254" s="25" t="s">
        <v>4638</v>
      </c>
      <c r="L254" s="25" t="s">
        <v>4639</v>
      </c>
      <c r="M254" s="25" t="s">
        <v>4640</v>
      </c>
      <c r="N254" s="25" t="str">
        <f>VLOOKUP($M254,'records (3)'!$A:$C,2,FALSE)</f>
        <v>003IV000010su8hYAA</v>
      </c>
      <c r="O254" s="25" t="s">
        <v>4641</v>
      </c>
      <c r="P254" s="25" t="s">
        <v>4642</v>
      </c>
      <c r="Q254" s="25" t="s">
        <v>3751</v>
      </c>
      <c r="R254" s="25" t="s">
        <v>2614</v>
      </c>
      <c r="S254" s="25" t="s">
        <v>3744</v>
      </c>
      <c r="T254" s="25" t="s">
        <v>2608</v>
      </c>
      <c r="U254" s="25" t="s">
        <v>2610</v>
      </c>
      <c r="V254" s="25" t="s">
        <v>1233</v>
      </c>
      <c r="X254" s="25" t="s">
        <v>1233</v>
      </c>
      <c r="Z254" s="25" t="s">
        <v>2614</v>
      </c>
    </row>
    <row r="255" spans="1:26">
      <c r="A255" s="25" t="s">
        <v>2007</v>
      </c>
      <c r="B255" s="25" t="s">
        <v>1041</v>
      </c>
      <c r="C255" s="25" t="s">
        <v>1041</v>
      </c>
      <c r="D255" s="25" t="s">
        <v>1337</v>
      </c>
      <c r="E255" s="25" t="s">
        <v>2005</v>
      </c>
      <c r="G255" s="25" t="s">
        <v>2006</v>
      </c>
      <c r="H255" s="25">
        <v>30</v>
      </c>
      <c r="I255" s="25" t="s">
        <v>4643</v>
      </c>
      <c r="J255" s="25" t="str">
        <f>VLOOKUP(I255,'records (3)'!$A:$C,2,FALSE)</f>
        <v>003IV000010su8iYAA</v>
      </c>
      <c r="K255" s="25" t="s">
        <v>4644</v>
      </c>
      <c r="L255" s="25" t="s">
        <v>4645</v>
      </c>
      <c r="M255" s="25" t="s">
        <v>4643</v>
      </c>
      <c r="N255" s="25" t="str">
        <f>VLOOKUP($M255,'records (3)'!$A:$C,2,FALSE)</f>
        <v>003IV000010su8iYAA</v>
      </c>
      <c r="O255" s="25" t="s">
        <v>4644</v>
      </c>
      <c r="P255" s="25" t="s">
        <v>4645</v>
      </c>
      <c r="Q255" s="25" t="s">
        <v>3751</v>
      </c>
      <c r="R255" s="25" t="s">
        <v>4645</v>
      </c>
      <c r="S255" s="25" t="s">
        <v>3744</v>
      </c>
      <c r="T255" s="25" t="s">
        <v>2004</v>
      </c>
      <c r="V255" s="25" t="s">
        <v>1233</v>
      </c>
      <c r="X255" s="25" t="s">
        <v>1233</v>
      </c>
      <c r="Z255" s="25" t="s">
        <v>4645</v>
      </c>
    </row>
    <row r="256" spans="1:26">
      <c r="A256" s="25" t="s">
        <v>2937</v>
      </c>
      <c r="B256" s="25" t="s">
        <v>242</v>
      </c>
      <c r="C256" s="25" t="s">
        <v>2933</v>
      </c>
      <c r="D256" s="25" t="s">
        <v>1337</v>
      </c>
      <c r="E256" s="25" t="s">
        <v>2935</v>
      </c>
      <c r="G256" s="25" t="s">
        <v>2936</v>
      </c>
      <c r="H256" s="25">
        <v>60</v>
      </c>
      <c r="I256" s="25" t="s">
        <v>4646</v>
      </c>
      <c r="J256" s="25" t="str">
        <f>VLOOKUP(I256,'records (3)'!$A:$C,2,FALSE)</f>
        <v>003IV000010tWWPYA2</v>
      </c>
      <c r="K256" s="25" t="s">
        <v>4647</v>
      </c>
      <c r="L256" s="25" t="s">
        <v>2939</v>
      </c>
      <c r="M256" s="25" t="s">
        <v>4648</v>
      </c>
      <c r="N256" s="25" t="str">
        <f>VLOOKUP($M256,'records (3)'!$A:$C,2,FALSE)</f>
        <v>003IV000010sxGwYAI</v>
      </c>
      <c r="O256" s="25" t="s">
        <v>4649</v>
      </c>
      <c r="P256" s="25" t="s">
        <v>2939</v>
      </c>
      <c r="Q256" s="25" t="s">
        <v>3751</v>
      </c>
      <c r="R256" s="25" t="s">
        <v>2939</v>
      </c>
      <c r="S256" s="25" t="s">
        <v>3744</v>
      </c>
      <c r="T256" s="25" t="s">
        <v>2932</v>
      </c>
      <c r="U256" s="25" t="s">
        <v>2934</v>
      </c>
      <c r="V256" s="25" t="s">
        <v>1233</v>
      </c>
      <c r="X256" s="25" t="s">
        <v>1233</v>
      </c>
      <c r="Z256" s="25" t="s">
        <v>2939</v>
      </c>
    </row>
    <row r="257" spans="1:26">
      <c r="A257" s="25" t="s">
        <v>1296</v>
      </c>
      <c r="B257" s="25" t="s">
        <v>574</v>
      </c>
      <c r="C257" s="25" t="s">
        <v>1454</v>
      </c>
      <c r="D257" s="25" t="s">
        <v>1337</v>
      </c>
      <c r="E257" s="25" t="s">
        <v>2172</v>
      </c>
      <c r="G257" s="25" t="s">
        <v>4650</v>
      </c>
      <c r="H257" s="25">
        <v>30</v>
      </c>
      <c r="I257" s="25" t="s">
        <v>4651</v>
      </c>
      <c r="J257" s="25" t="str">
        <f>VLOOKUP(I257,'records (3)'!$A:$C,2,FALSE)</f>
        <v>003IV000010t0uxYAA</v>
      </c>
      <c r="K257" s="25" t="s">
        <v>4652</v>
      </c>
      <c r="L257" s="25" t="s">
        <v>4653</v>
      </c>
      <c r="M257" s="25" t="s">
        <v>4651</v>
      </c>
      <c r="N257" s="25" t="str">
        <f>VLOOKUP($M257,'records (3)'!$A:$C,2,FALSE)</f>
        <v>003IV000010t0uxYAA</v>
      </c>
      <c r="O257" s="25" t="s">
        <v>4652</v>
      </c>
      <c r="P257" s="25" t="s">
        <v>4653</v>
      </c>
      <c r="Q257" s="25" t="s">
        <v>3751</v>
      </c>
      <c r="S257" s="25" t="s">
        <v>3744</v>
      </c>
      <c r="T257" s="25" t="s">
        <v>4654</v>
      </c>
      <c r="V257" s="25" t="s">
        <v>1454</v>
      </c>
      <c r="W257" s="25" t="s">
        <v>1337</v>
      </c>
      <c r="X257" s="25" t="s">
        <v>2172</v>
      </c>
      <c r="Z257" s="25" t="s">
        <v>4650</v>
      </c>
    </row>
    <row r="258" spans="1:26">
      <c r="A258" s="25" t="s">
        <v>2595</v>
      </c>
      <c r="B258" s="25" t="s">
        <v>809</v>
      </c>
      <c r="C258" s="25" t="s">
        <v>2591</v>
      </c>
      <c r="D258" s="25" t="s">
        <v>1337</v>
      </c>
      <c r="E258" s="25" t="s">
        <v>2593</v>
      </c>
      <c r="G258" s="25" t="s">
        <v>2594</v>
      </c>
      <c r="H258" s="25">
        <v>30</v>
      </c>
      <c r="I258" s="25" t="s">
        <v>4655</v>
      </c>
      <c r="J258" s="25" t="str">
        <f>VLOOKUP(I258,'records (3)'!$A:$C,2,FALSE)</f>
        <v>003IV000010rlbQYAQ</v>
      </c>
      <c r="K258" s="25" t="s">
        <v>4656</v>
      </c>
      <c r="L258" s="25" t="s">
        <v>4657</v>
      </c>
      <c r="M258" s="25" t="s">
        <v>4655</v>
      </c>
      <c r="N258" s="25" t="str">
        <f>VLOOKUP($M258,'records (3)'!$A:$C,2,FALSE)</f>
        <v>003IV000010rlbQYAQ</v>
      </c>
      <c r="O258" s="25" t="s">
        <v>4656</v>
      </c>
      <c r="P258" s="25" t="s">
        <v>4657</v>
      </c>
      <c r="Q258" s="25" t="s">
        <v>3751</v>
      </c>
      <c r="R258" s="25" t="s">
        <v>4658</v>
      </c>
      <c r="S258" s="25" t="s">
        <v>3744</v>
      </c>
      <c r="T258" s="25" t="s">
        <v>4659</v>
      </c>
      <c r="U258" s="25" t="s">
        <v>2592</v>
      </c>
      <c r="V258" s="25" t="s">
        <v>4660</v>
      </c>
      <c r="X258" s="25" t="s">
        <v>4661</v>
      </c>
      <c r="Z258" s="25" t="s">
        <v>4662</v>
      </c>
    </row>
    <row r="259" spans="1:26">
      <c r="A259" s="25" t="s">
        <v>1449</v>
      </c>
      <c r="B259" s="25" t="s">
        <v>220</v>
      </c>
      <c r="C259" s="25" t="s">
        <v>1446</v>
      </c>
      <c r="D259" s="25" t="s">
        <v>1337</v>
      </c>
      <c r="E259" s="25" t="s">
        <v>1447</v>
      </c>
      <c r="G259" s="25" t="s">
        <v>1448</v>
      </c>
      <c r="H259" s="25">
        <v>30</v>
      </c>
      <c r="I259" s="25" t="s">
        <v>4663</v>
      </c>
      <c r="J259" s="25" t="str">
        <f>VLOOKUP(I259,'records (3)'!$A:$C,2,FALSE)</f>
        <v>003IV000010su8kYAA</v>
      </c>
      <c r="K259" s="25" t="s">
        <v>4664</v>
      </c>
      <c r="L259" s="25" t="s">
        <v>1451</v>
      </c>
      <c r="M259" s="25" t="s">
        <v>4663</v>
      </c>
      <c r="N259" s="25" t="str">
        <f>VLOOKUP($M259,'records (3)'!$A:$C,2,FALSE)</f>
        <v>003IV000010su8kYAA</v>
      </c>
      <c r="O259" s="25" t="s">
        <v>4664</v>
      </c>
      <c r="P259" s="25" t="s">
        <v>1451</v>
      </c>
      <c r="Q259" s="25" t="s">
        <v>3751</v>
      </c>
      <c r="R259" s="25" t="s">
        <v>1451</v>
      </c>
      <c r="S259" s="25" t="s">
        <v>3744</v>
      </c>
      <c r="T259" s="25" t="s">
        <v>1445</v>
      </c>
      <c r="V259" s="25" t="s">
        <v>1233</v>
      </c>
      <c r="X259" s="25" t="s">
        <v>1233</v>
      </c>
      <c r="Z259" s="25" t="s">
        <v>1451</v>
      </c>
    </row>
    <row r="260" spans="1:26">
      <c r="A260" s="25" t="s">
        <v>2037</v>
      </c>
      <c r="B260" s="25" t="s">
        <v>186</v>
      </c>
      <c r="C260" s="25" t="s">
        <v>2034</v>
      </c>
      <c r="D260" s="25" t="s">
        <v>1337</v>
      </c>
      <c r="E260" s="25" t="s">
        <v>2035</v>
      </c>
      <c r="G260" s="25" t="s">
        <v>2036</v>
      </c>
      <c r="H260" s="25">
        <v>30</v>
      </c>
      <c r="I260" s="25" t="s">
        <v>4665</v>
      </c>
      <c r="J260" s="25" t="str">
        <f>VLOOKUP(I260,'records (3)'!$A:$C,2,FALSE)</f>
        <v>003IV000010su8lYAA</v>
      </c>
      <c r="K260" s="25" t="s">
        <v>4666</v>
      </c>
      <c r="L260" s="25" t="s">
        <v>4667</v>
      </c>
      <c r="M260" s="25" t="s">
        <v>4665</v>
      </c>
      <c r="N260" s="25" t="str">
        <f>VLOOKUP($M260,'records (3)'!$A:$C,2,FALSE)</f>
        <v>003IV000010su8lYAA</v>
      </c>
      <c r="O260" s="25" t="s">
        <v>4666</v>
      </c>
      <c r="P260" s="25" t="s">
        <v>4667</v>
      </c>
      <c r="Q260" s="25" t="s">
        <v>3751</v>
      </c>
      <c r="R260" s="25" t="s">
        <v>2039</v>
      </c>
      <c r="S260" s="25" t="s">
        <v>3744</v>
      </c>
      <c r="T260" s="25" t="s">
        <v>186</v>
      </c>
      <c r="V260" s="25" t="s">
        <v>1233</v>
      </c>
      <c r="X260" s="25" t="s">
        <v>1233</v>
      </c>
      <c r="Z260" s="25" t="s">
        <v>2039</v>
      </c>
    </row>
    <row r="261" spans="1:26">
      <c r="A261" s="25" t="s">
        <v>1297</v>
      </c>
      <c r="B261" s="25" t="s">
        <v>327</v>
      </c>
      <c r="C261" s="25" t="s">
        <v>1529</v>
      </c>
      <c r="D261" s="25" t="s">
        <v>1337</v>
      </c>
      <c r="E261" s="25" t="s">
        <v>1530</v>
      </c>
      <c r="G261" s="25" t="s">
        <v>1531</v>
      </c>
      <c r="H261" s="25">
        <v>30</v>
      </c>
      <c r="I261" s="25" t="s">
        <v>4668</v>
      </c>
      <c r="J261" s="25" t="str">
        <f>VLOOKUP(I261,'records (3)'!$A:$C,2,FALSE)</f>
        <v>003IV000010tSkkYAE</v>
      </c>
      <c r="K261" s="25" t="s">
        <v>4669</v>
      </c>
      <c r="L261" s="25" t="s">
        <v>1533</v>
      </c>
      <c r="M261" s="25" t="s">
        <v>4668</v>
      </c>
      <c r="N261" s="25" t="str">
        <f>VLOOKUP($M261,'records (3)'!$A:$C,2,FALSE)</f>
        <v>003IV000010tSkkYAE</v>
      </c>
      <c r="O261" s="25" t="s">
        <v>4669</v>
      </c>
      <c r="P261" s="25" t="s">
        <v>1533</v>
      </c>
      <c r="Q261" s="25" t="s">
        <v>3751</v>
      </c>
      <c r="R261" s="25" t="s">
        <v>1533</v>
      </c>
      <c r="S261" s="25" t="s">
        <v>3744</v>
      </c>
      <c r="T261" s="25" t="s">
        <v>1528</v>
      </c>
      <c r="V261" s="25" t="s">
        <v>1233</v>
      </c>
      <c r="X261" s="25" t="s">
        <v>1233</v>
      </c>
      <c r="Z261" s="25" t="s">
        <v>1533</v>
      </c>
    </row>
    <row r="262" spans="1:26">
      <c r="A262" s="25" t="s">
        <v>2498</v>
      </c>
      <c r="B262" s="25" t="s">
        <v>216</v>
      </c>
      <c r="C262" s="25" t="s">
        <v>1454</v>
      </c>
      <c r="D262" s="25" t="s">
        <v>1337</v>
      </c>
      <c r="E262" s="25" t="s">
        <v>2496</v>
      </c>
      <c r="G262" s="25" t="s">
        <v>2497</v>
      </c>
      <c r="H262" s="25">
        <v>30</v>
      </c>
      <c r="I262" s="25" t="s">
        <v>4670</v>
      </c>
      <c r="J262" s="25" t="str">
        <f>VLOOKUP(I262,'records (3)'!$A:$C,2,FALSE)</f>
        <v>003IV000010su8qYAA</v>
      </c>
      <c r="K262" s="25" t="s">
        <v>4671</v>
      </c>
      <c r="L262" s="25" t="s">
        <v>4672</v>
      </c>
      <c r="M262" s="25" t="s">
        <v>4670</v>
      </c>
      <c r="N262" s="25" t="str">
        <f>VLOOKUP($M262,'records (3)'!$A:$C,2,FALSE)</f>
        <v>003IV000010su8qYAA</v>
      </c>
      <c r="O262" s="25" t="s">
        <v>4671</v>
      </c>
      <c r="P262" s="25" t="s">
        <v>4672</v>
      </c>
      <c r="Q262" s="25" t="s">
        <v>3751</v>
      </c>
      <c r="R262" s="25" t="s">
        <v>2500</v>
      </c>
      <c r="S262" s="25" t="s">
        <v>3744</v>
      </c>
      <c r="T262" s="25" t="s">
        <v>2495</v>
      </c>
      <c r="V262" s="25" t="s">
        <v>1233</v>
      </c>
      <c r="X262" s="25" t="s">
        <v>1233</v>
      </c>
      <c r="Z262" s="25" t="s">
        <v>2500</v>
      </c>
    </row>
    <row r="263" spans="1:26">
      <c r="A263" s="25" t="s">
        <v>3052</v>
      </c>
      <c r="B263" s="25" t="s">
        <v>960</v>
      </c>
      <c r="C263" s="25" t="s">
        <v>3049</v>
      </c>
      <c r="D263" s="25" t="s">
        <v>1337</v>
      </c>
      <c r="E263" s="25" t="s">
        <v>3050</v>
      </c>
      <c r="G263" s="25" t="s">
        <v>3051</v>
      </c>
      <c r="H263" s="25">
        <v>30</v>
      </c>
      <c r="I263" s="25" t="s">
        <v>4673</v>
      </c>
      <c r="J263" s="25" t="str">
        <f>VLOOKUP(I263,'records (3)'!$A:$C,2,FALSE)</f>
        <v>003IV000010su9DYAQ</v>
      </c>
      <c r="K263" s="25" t="s">
        <v>4674</v>
      </c>
      <c r="L263" s="25" t="s">
        <v>3054</v>
      </c>
      <c r="M263" s="25" t="s">
        <v>4673</v>
      </c>
      <c r="N263" s="25" t="str">
        <f>VLOOKUP($M263,'records (3)'!$A:$C,2,FALSE)</f>
        <v>003IV000010su9DYAQ</v>
      </c>
      <c r="O263" s="25" t="s">
        <v>4674</v>
      </c>
      <c r="P263" s="25" t="s">
        <v>3054</v>
      </c>
      <c r="Q263" s="25" t="s">
        <v>3751</v>
      </c>
      <c r="R263" s="25" t="s">
        <v>3054</v>
      </c>
      <c r="S263" s="25" t="s">
        <v>3744</v>
      </c>
      <c r="T263" s="25" t="s">
        <v>3048</v>
      </c>
      <c r="V263" s="25" t="s">
        <v>1233</v>
      </c>
      <c r="X263" s="25" t="s">
        <v>1233</v>
      </c>
      <c r="Z263" s="25" t="s">
        <v>3054</v>
      </c>
    </row>
    <row r="264" spans="1:26">
      <c r="A264" s="25" t="s">
        <v>1757</v>
      </c>
      <c r="B264" s="25" t="s">
        <v>571</v>
      </c>
      <c r="C264" s="25" t="s">
        <v>1754</v>
      </c>
      <c r="D264" s="25" t="s">
        <v>1337</v>
      </c>
      <c r="E264" s="25" t="s">
        <v>1755</v>
      </c>
      <c r="G264" s="25" t="s">
        <v>1756</v>
      </c>
      <c r="H264" s="25">
        <v>30</v>
      </c>
      <c r="I264" s="25" t="s">
        <v>4675</v>
      </c>
      <c r="J264" s="25" t="str">
        <f>VLOOKUP(I264,'records (3)'!$A:$C,2,FALSE)</f>
        <v>003IV000010su8nYAA</v>
      </c>
      <c r="K264" s="25" t="s">
        <v>1832</v>
      </c>
      <c r="L264" s="25" t="s">
        <v>4676</v>
      </c>
      <c r="M264" s="25" t="s">
        <v>4675</v>
      </c>
      <c r="N264" s="25" t="str">
        <f>VLOOKUP($M264,'records (3)'!$A:$C,2,FALSE)</f>
        <v>003IV000010su8nYAA</v>
      </c>
      <c r="O264" s="25" t="s">
        <v>1832</v>
      </c>
      <c r="P264" s="25" t="s">
        <v>4676</v>
      </c>
      <c r="Q264" s="25" t="s">
        <v>3751</v>
      </c>
      <c r="R264" s="25" t="s">
        <v>1759</v>
      </c>
      <c r="S264" s="25" t="s">
        <v>3744</v>
      </c>
      <c r="T264" s="25" t="s">
        <v>1753</v>
      </c>
      <c r="V264" s="25" t="s">
        <v>1233</v>
      </c>
      <c r="X264" s="25" t="s">
        <v>1233</v>
      </c>
      <c r="Z264" s="25" t="s">
        <v>1759</v>
      </c>
    </row>
    <row r="265" spans="1:26">
      <c r="A265" s="25" t="s">
        <v>1387</v>
      </c>
      <c r="B265" s="25" t="s">
        <v>1007</v>
      </c>
      <c r="C265" s="25" t="s">
        <v>1384</v>
      </c>
      <c r="D265" s="25" t="s">
        <v>1337</v>
      </c>
      <c r="E265" s="25" t="s">
        <v>4677</v>
      </c>
      <c r="G265" s="25" t="s">
        <v>1386</v>
      </c>
      <c r="H265" s="25">
        <v>30</v>
      </c>
      <c r="I265" s="25" t="s">
        <v>4678</v>
      </c>
      <c r="J265" s="25" t="str">
        <f>VLOOKUP(I265,'records (3)'!$A:$C,2,FALSE)</f>
        <v>003IV000010su8mYAA</v>
      </c>
      <c r="K265" s="25" t="s">
        <v>4679</v>
      </c>
      <c r="L265" s="25" t="s">
        <v>4680</v>
      </c>
      <c r="M265" s="25" t="s">
        <v>4678</v>
      </c>
      <c r="N265" s="25" t="str">
        <f>VLOOKUP($M265,'records (3)'!$A:$C,2,FALSE)</f>
        <v>003IV000010su8mYAA</v>
      </c>
      <c r="O265" s="25" t="s">
        <v>4679</v>
      </c>
      <c r="P265" s="25" t="s">
        <v>4680</v>
      </c>
      <c r="Q265" s="25" t="s">
        <v>3751</v>
      </c>
      <c r="R265" s="25" t="s">
        <v>1389</v>
      </c>
      <c r="S265" s="25" t="s">
        <v>3744</v>
      </c>
      <c r="T265" s="25" t="s">
        <v>1383</v>
      </c>
      <c r="V265" s="25" t="s">
        <v>1233</v>
      </c>
      <c r="X265" s="25" t="s">
        <v>1233</v>
      </c>
      <c r="Z265" s="25" t="s">
        <v>1389</v>
      </c>
    </row>
    <row r="266" spans="1:26">
      <c r="A266" s="25" t="s">
        <v>2894</v>
      </c>
      <c r="B266" s="25" t="s">
        <v>690</v>
      </c>
      <c r="C266" s="25" t="s">
        <v>2891</v>
      </c>
      <c r="D266" s="25" t="s">
        <v>1337</v>
      </c>
      <c r="E266" s="25" t="s">
        <v>2892</v>
      </c>
      <c r="G266" s="25" t="s">
        <v>2893</v>
      </c>
      <c r="H266" s="25">
        <v>30</v>
      </c>
      <c r="I266" s="25" t="s">
        <v>4681</v>
      </c>
      <c r="J266" s="25" t="str">
        <f>VLOOKUP(I266,'records (3)'!$A:$C,2,FALSE)</f>
        <v>003IV000010tRdrYAE</v>
      </c>
      <c r="K266" s="25" t="s">
        <v>4682</v>
      </c>
      <c r="L266" s="25" t="s">
        <v>2896</v>
      </c>
      <c r="M266" s="25" t="s">
        <v>4681</v>
      </c>
      <c r="N266" s="25" t="str">
        <f>VLOOKUP($M266,'records (3)'!$A:$C,2,FALSE)</f>
        <v>003IV000010tRdrYAE</v>
      </c>
      <c r="O266" s="25" t="s">
        <v>4682</v>
      </c>
      <c r="P266" s="25" t="s">
        <v>2896</v>
      </c>
      <c r="Q266" s="25" t="s">
        <v>3751</v>
      </c>
      <c r="R266" s="25" t="s">
        <v>2896</v>
      </c>
      <c r="S266" s="25" t="s">
        <v>3744</v>
      </c>
      <c r="T266" s="25" t="s">
        <v>2890</v>
      </c>
      <c r="V266" s="25" t="s">
        <v>1233</v>
      </c>
      <c r="X266" s="25" t="s">
        <v>1233</v>
      </c>
      <c r="Z266" s="25" t="s">
        <v>2896</v>
      </c>
    </row>
    <row r="267" spans="1:26">
      <c r="A267" s="25" t="s">
        <v>1298</v>
      </c>
      <c r="B267" s="25" t="s">
        <v>934</v>
      </c>
      <c r="C267" s="25" t="s">
        <v>2226</v>
      </c>
      <c r="D267" s="25" t="s">
        <v>1337</v>
      </c>
      <c r="E267" s="25" t="s">
        <v>4683</v>
      </c>
      <c r="G267" s="25" t="s">
        <v>2228</v>
      </c>
      <c r="H267" s="25">
        <v>30</v>
      </c>
      <c r="I267" s="25" t="s">
        <v>4684</v>
      </c>
      <c r="J267" s="25" t="str">
        <f>VLOOKUP(I267,'records (3)'!$A:$C,2,FALSE)</f>
        <v>003IV000010tSnAYAU</v>
      </c>
      <c r="K267" s="25" t="s">
        <v>4685</v>
      </c>
      <c r="L267" s="25" t="s">
        <v>4686</v>
      </c>
      <c r="M267" s="25" t="s">
        <v>4684</v>
      </c>
      <c r="N267" s="25" t="str">
        <f>VLOOKUP($M267,'records (3)'!$A:$C,2,FALSE)</f>
        <v>003IV000010tSnAYAU</v>
      </c>
      <c r="O267" s="25" t="s">
        <v>4685</v>
      </c>
      <c r="P267" s="25" t="s">
        <v>4686</v>
      </c>
      <c r="Q267" s="25" t="s">
        <v>3751</v>
      </c>
      <c r="R267" s="25" t="s">
        <v>2230</v>
      </c>
      <c r="S267" s="25" t="s">
        <v>3744</v>
      </c>
      <c r="T267" s="25" t="s">
        <v>2225</v>
      </c>
      <c r="V267" s="25" t="s">
        <v>1233</v>
      </c>
      <c r="X267" s="25" t="s">
        <v>1233</v>
      </c>
      <c r="Z267" s="25" t="s">
        <v>2230</v>
      </c>
    </row>
    <row r="268" spans="1:26">
      <c r="A268" s="25" t="s">
        <v>2730</v>
      </c>
      <c r="B268" s="25" t="s">
        <v>705</v>
      </c>
      <c r="C268" s="25" t="s">
        <v>2727</v>
      </c>
      <c r="D268" s="25" t="s">
        <v>1337</v>
      </c>
      <c r="E268" s="25" t="s">
        <v>2728</v>
      </c>
      <c r="G268" s="25" t="s">
        <v>2729</v>
      </c>
      <c r="H268" s="25">
        <v>30</v>
      </c>
      <c r="I268" s="25" t="s">
        <v>4687</v>
      </c>
      <c r="J268" s="25" t="str">
        <f>VLOOKUP(I268,'records (3)'!$A:$C,2,FALSE)</f>
        <v>003IV000010su9SYAQ</v>
      </c>
      <c r="K268" s="25" t="s">
        <v>4688</v>
      </c>
      <c r="L268" s="25" t="s">
        <v>4689</v>
      </c>
      <c r="M268" s="25" t="s">
        <v>4687</v>
      </c>
      <c r="N268" s="25" t="str">
        <f>VLOOKUP($M268,'records (3)'!$A:$C,2,FALSE)</f>
        <v>003IV000010su9SYAQ</v>
      </c>
      <c r="O268" s="25" t="s">
        <v>4688</v>
      </c>
      <c r="P268" s="25" t="s">
        <v>4689</v>
      </c>
      <c r="Q268" s="25" t="s">
        <v>3751</v>
      </c>
      <c r="R268" s="25" t="s">
        <v>4690</v>
      </c>
      <c r="S268" s="25" t="s">
        <v>3744</v>
      </c>
      <c r="T268" s="25" t="s">
        <v>2726</v>
      </c>
      <c r="V268" s="25" t="s">
        <v>2732</v>
      </c>
      <c r="W268" s="25" t="s">
        <v>4691</v>
      </c>
      <c r="X268" s="25" t="s">
        <v>1255</v>
      </c>
      <c r="Z268" s="25" t="s">
        <v>2734</v>
      </c>
    </row>
    <row r="269" spans="1:26">
      <c r="A269" s="25" t="s">
        <v>2149</v>
      </c>
      <c r="B269" s="25" t="s">
        <v>907</v>
      </c>
      <c r="C269" s="25" t="s">
        <v>2146</v>
      </c>
      <c r="D269" s="25" t="s">
        <v>1337</v>
      </c>
      <c r="E269" s="25" t="s">
        <v>2147</v>
      </c>
      <c r="G269" s="25" t="s">
        <v>2148</v>
      </c>
      <c r="H269" s="25">
        <v>30</v>
      </c>
      <c r="I269" s="25" t="s">
        <v>4692</v>
      </c>
      <c r="J269" s="25" t="str">
        <f>VLOOKUP(I269,'records (3)'!$A:$C,2,FALSE)</f>
        <v>003IV000010su98YAA</v>
      </c>
      <c r="K269" s="25" t="s">
        <v>4693</v>
      </c>
      <c r="L269" s="25" t="s">
        <v>2151</v>
      </c>
      <c r="M269" s="25" t="s">
        <v>4694</v>
      </c>
      <c r="N269" s="25" t="str">
        <f>VLOOKUP($M269,'records (3)'!$A:$C,2,FALSE)</f>
        <v>003IV000010tKf9YAE</v>
      </c>
      <c r="O269" s="25" t="s">
        <v>4695</v>
      </c>
      <c r="P269" s="25" t="s">
        <v>4696</v>
      </c>
      <c r="Q269" s="25" t="s">
        <v>3751</v>
      </c>
      <c r="R269" s="25" t="s">
        <v>2151</v>
      </c>
      <c r="S269" s="25" t="s">
        <v>3744</v>
      </c>
      <c r="T269" s="25" t="s">
        <v>2145</v>
      </c>
      <c r="U269" s="25" t="s">
        <v>1425</v>
      </c>
      <c r="V269" s="25" t="s">
        <v>1233</v>
      </c>
      <c r="X269" s="25" t="s">
        <v>1233</v>
      </c>
      <c r="Z269" s="25" t="s">
        <v>2151</v>
      </c>
    </row>
    <row r="270" spans="1:26">
      <c r="A270" s="25" t="s">
        <v>2816</v>
      </c>
      <c r="B270" s="25" t="s">
        <v>701</v>
      </c>
      <c r="C270" s="25" t="s">
        <v>2813</v>
      </c>
      <c r="D270" s="25" t="s">
        <v>1337</v>
      </c>
      <c r="E270" s="25" t="s">
        <v>2814</v>
      </c>
      <c r="G270" s="25" t="s">
        <v>2815</v>
      </c>
      <c r="H270" s="25">
        <v>45</v>
      </c>
      <c r="I270" s="25" t="s">
        <v>4697</v>
      </c>
      <c r="J270" s="25" t="str">
        <f>VLOOKUP(I270,'records (3)'!$A:$C,2,FALSE)</f>
        <v>003IV000010su91YAA</v>
      </c>
      <c r="K270" s="25" t="s">
        <v>4698</v>
      </c>
      <c r="L270" s="25" t="s">
        <v>4699</v>
      </c>
      <c r="M270" s="25" t="s">
        <v>4700</v>
      </c>
      <c r="N270" s="25" t="str">
        <f>VLOOKUP($M270,'records (3)'!$A:$C,2,FALSE)</f>
        <v>003IV000010su92YAA</v>
      </c>
      <c r="O270" s="25" t="s">
        <v>4701</v>
      </c>
      <c r="P270" s="25" t="s">
        <v>2818</v>
      </c>
      <c r="Q270" s="25" t="s">
        <v>3751</v>
      </c>
      <c r="R270" s="25" t="s">
        <v>2818</v>
      </c>
      <c r="S270" s="25" t="s">
        <v>3744</v>
      </c>
      <c r="T270" s="25" t="s">
        <v>2812</v>
      </c>
      <c r="V270" s="25" t="s">
        <v>1233</v>
      </c>
      <c r="X270" s="25" t="s">
        <v>1233</v>
      </c>
      <c r="Z270" s="25" t="s">
        <v>2818</v>
      </c>
    </row>
    <row r="271" spans="1:26">
      <c r="A271" s="25" t="s">
        <v>2628</v>
      </c>
      <c r="B271" s="25" t="s">
        <v>533</v>
      </c>
      <c r="C271" s="25" t="s">
        <v>2625</v>
      </c>
      <c r="D271" s="25" t="s">
        <v>1337</v>
      </c>
      <c r="E271" s="25" t="s">
        <v>2626</v>
      </c>
      <c r="G271" s="25" t="s">
        <v>2627</v>
      </c>
      <c r="H271" s="25">
        <v>30</v>
      </c>
      <c r="I271" s="25" t="s">
        <v>4702</v>
      </c>
      <c r="J271" s="25" t="str">
        <f>VLOOKUP(I271,'records (3)'!$A:$C,2,FALSE)</f>
        <v>003IV000010su94YAA</v>
      </c>
      <c r="K271" s="25" t="s">
        <v>4703</v>
      </c>
      <c r="L271" s="25" t="s">
        <v>2631</v>
      </c>
      <c r="M271" s="25" t="s">
        <v>4702</v>
      </c>
      <c r="N271" s="25" t="str">
        <f>VLOOKUP($M271,'records (3)'!$A:$C,2,FALSE)</f>
        <v>003IV000010su94YAA</v>
      </c>
      <c r="O271" s="25" t="s">
        <v>4703</v>
      </c>
      <c r="P271" s="25" t="s">
        <v>2631</v>
      </c>
      <c r="Q271" s="25" t="s">
        <v>3751</v>
      </c>
      <c r="R271" s="25" t="s">
        <v>2631</v>
      </c>
      <c r="S271" s="25" t="s">
        <v>3744</v>
      </c>
      <c r="T271" s="25" t="s">
        <v>2624</v>
      </c>
      <c r="V271" s="25" t="s">
        <v>1233</v>
      </c>
      <c r="X271" s="25" t="s">
        <v>1233</v>
      </c>
      <c r="Z271" s="25" t="s">
        <v>2631</v>
      </c>
    </row>
    <row r="272" spans="1:26">
      <c r="A272" s="25" t="s">
        <v>1299</v>
      </c>
      <c r="B272" s="25" t="s">
        <v>1075</v>
      </c>
      <c r="C272" s="25" t="s">
        <v>2672</v>
      </c>
      <c r="D272" s="25" t="s">
        <v>1337</v>
      </c>
      <c r="E272" s="25" t="s">
        <v>3540</v>
      </c>
      <c r="G272" s="25" t="s">
        <v>3541</v>
      </c>
      <c r="H272" s="25">
        <v>30</v>
      </c>
      <c r="I272" s="25" t="s">
        <v>4704</v>
      </c>
      <c r="J272" s="25" t="str">
        <f>VLOOKUP(I272,'records (3)'!$A:$C,2,FALSE)</f>
        <v>003IV000010su97YAA</v>
      </c>
      <c r="K272" s="25" t="s">
        <v>4705</v>
      </c>
      <c r="L272" s="25" t="s">
        <v>4706</v>
      </c>
      <c r="M272" s="25" t="s">
        <v>4707</v>
      </c>
      <c r="N272" s="25" t="str">
        <f>VLOOKUP($M272,'records (3)'!$A:$C,2,FALSE)</f>
        <v>003IV000010su96YAA</v>
      </c>
      <c r="O272" s="25" t="s">
        <v>4708</v>
      </c>
      <c r="P272" s="25" t="s">
        <v>3543</v>
      </c>
      <c r="Q272" s="25" t="s">
        <v>3751</v>
      </c>
      <c r="R272" s="25" t="s">
        <v>3543</v>
      </c>
      <c r="S272" s="25" t="s">
        <v>3744</v>
      </c>
      <c r="T272" s="25" t="s">
        <v>3538</v>
      </c>
      <c r="U272" s="25" t="s">
        <v>3539</v>
      </c>
      <c r="V272" s="25" t="s">
        <v>1233</v>
      </c>
      <c r="X272" s="25" t="s">
        <v>1233</v>
      </c>
      <c r="Z272" s="25" t="s">
        <v>3543</v>
      </c>
    </row>
    <row r="273" spans="1:26">
      <c r="A273" s="25" t="s">
        <v>2645</v>
      </c>
      <c r="B273" s="25" t="s">
        <v>647</v>
      </c>
      <c r="C273" s="25" t="s">
        <v>2642</v>
      </c>
      <c r="D273" s="25" t="s">
        <v>1337</v>
      </c>
      <c r="E273" s="25" t="s">
        <v>2643</v>
      </c>
      <c r="G273" s="25" t="s">
        <v>2644</v>
      </c>
      <c r="H273" s="25">
        <v>30</v>
      </c>
      <c r="I273" s="25" t="s">
        <v>4709</v>
      </c>
      <c r="J273" s="25" t="str">
        <f>VLOOKUP(I273,'records (3)'!$A:$C,2,FALSE)</f>
        <v>003IV000010t1X4YAI</v>
      </c>
      <c r="K273" s="25" t="s">
        <v>4710</v>
      </c>
      <c r="L273" s="25" t="s">
        <v>2647</v>
      </c>
      <c r="M273" s="25" t="s">
        <v>4709</v>
      </c>
      <c r="N273" s="25" t="str">
        <f>VLOOKUP($M273,'records (3)'!$A:$C,2,FALSE)</f>
        <v>003IV000010t1X4YAI</v>
      </c>
      <c r="O273" s="25" t="s">
        <v>4710</v>
      </c>
      <c r="P273" s="25" t="s">
        <v>2647</v>
      </c>
      <c r="Q273" s="25" t="s">
        <v>3751</v>
      </c>
      <c r="R273" s="25" t="s">
        <v>4711</v>
      </c>
      <c r="S273" s="25" t="s">
        <v>3744</v>
      </c>
      <c r="T273" s="25" t="s">
        <v>2641</v>
      </c>
      <c r="V273" s="25" t="s">
        <v>1233</v>
      </c>
      <c r="X273" s="25" t="s">
        <v>1233</v>
      </c>
      <c r="Z273" s="25" t="s">
        <v>4711</v>
      </c>
    </row>
    <row r="274" spans="1:26">
      <c r="A274" s="25" t="s">
        <v>2915</v>
      </c>
      <c r="B274" s="25" t="s">
        <v>283</v>
      </c>
      <c r="C274" s="25" t="s">
        <v>1944</v>
      </c>
      <c r="D274" s="25" t="s">
        <v>1337</v>
      </c>
      <c r="E274" s="25" t="s">
        <v>1945</v>
      </c>
      <c r="G274" s="25" t="s">
        <v>2914</v>
      </c>
      <c r="H274" s="25">
        <v>60</v>
      </c>
      <c r="I274" s="25" t="s">
        <v>4712</v>
      </c>
      <c r="J274" s="25" t="str">
        <f>VLOOKUP(I274,'records (3)'!$A:$C,2,FALSE)</f>
        <v>003IV000010su9FYAQ</v>
      </c>
      <c r="K274" s="25" t="s">
        <v>4713</v>
      </c>
      <c r="L274" s="25" t="s">
        <v>4714</v>
      </c>
      <c r="M274" s="25" t="s">
        <v>4712</v>
      </c>
      <c r="N274" s="25" t="str">
        <f>VLOOKUP($M274,'records (3)'!$A:$C,2,FALSE)</f>
        <v>003IV000010su9FYAQ</v>
      </c>
      <c r="O274" s="25" t="s">
        <v>4713</v>
      </c>
      <c r="P274" s="25" t="s">
        <v>4714</v>
      </c>
      <c r="Q274" s="25" t="s">
        <v>3751</v>
      </c>
      <c r="R274" s="25" t="s">
        <v>2917</v>
      </c>
      <c r="S274" s="25" t="s">
        <v>3744</v>
      </c>
      <c r="T274" s="25" t="s">
        <v>2913</v>
      </c>
      <c r="V274" s="25" t="s">
        <v>1233</v>
      </c>
      <c r="X274" s="25" t="s">
        <v>1233</v>
      </c>
      <c r="Z274" s="25" t="s">
        <v>2917</v>
      </c>
    </row>
    <row r="275" spans="1:26">
      <c r="A275" s="25" t="s">
        <v>2082</v>
      </c>
      <c r="B275" s="25" t="s">
        <v>152</v>
      </c>
      <c r="C275" s="25" t="s">
        <v>2079</v>
      </c>
      <c r="D275" s="25" t="s">
        <v>1337</v>
      </c>
      <c r="E275" s="25" t="s">
        <v>2080</v>
      </c>
      <c r="G275" s="25" t="s">
        <v>2081</v>
      </c>
      <c r="H275" s="25">
        <v>30</v>
      </c>
      <c r="I275" s="25" t="s">
        <v>4715</v>
      </c>
      <c r="J275" s="25" t="str">
        <f>VLOOKUP(I275,'records (3)'!$A:$C,2,FALSE)</f>
        <v>003IV000010sqLKYAY</v>
      </c>
      <c r="K275" s="25" t="s">
        <v>4716</v>
      </c>
      <c r="L275" s="25" t="s">
        <v>4717</v>
      </c>
      <c r="M275" s="25" t="s">
        <v>4718</v>
      </c>
      <c r="N275" s="25" t="str">
        <f>VLOOKUP($M275,'records (3)'!$A:$C,2,FALSE)</f>
        <v>003IV000010sqLJYAY</v>
      </c>
      <c r="O275" s="25" t="s">
        <v>4719</v>
      </c>
      <c r="P275" s="25" t="s">
        <v>4720</v>
      </c>
      <c r="Q275" s="25" t="s">
        <v>3751</v>
      </c>
      <c r="R275" s="25" t="s">
        <v>4720</v>
      </c>
      <c r="S275" s="25" t="s">
        <v>3744</v>
      </c>
      <c r="T275" s="25" t="s">
        <v>152</v>
      </c>
      <c r="U275" s="25" t="s">
        <v>1425</v>
      </c>
      <c r="V275" s="25" t="s">
        <v>1233</v>
      </c>
      <c r="X275" s="25" t="s">
        <v>1233</v>
      </c>
      <c r="Z275" s="25" t="s">
        <v>2084</v>
      </c>
    </row>
    <row r="276" spans="1:26">
      <c r="A276" s="25" t="s">
        <v>1620</v>
      </c>
      <c r="B276" s="25" t="s">
        <v>777</v>
      </c>
      <c r="C276" s="25" t="s">
        <v>1617</v>
      </c>
      <c r="D276" s="25" t="s">
        <v>1337</v>
      </c>
      <c r="E276" s="25" t="s">
        <v>4721</v>
      </c>
      <c r="G276" s="25" t="s">
        <v>1619</v>
      </c>
      <c r="H276" s="25">
        <v>30</v>
      </c>
      <c r="I276" s="25" t="s">
        <v>4722</v>
      </c>
      <c r="J276" s="25" t="str">
        <f>VLOOKUP(I276,'records (3)'!$A:$C,2,FALSE)</f>
        <v>003IV000010su9HYAQ</v>
      </c>
      <c r="K276" s="25" t="s">
        <v>4723</v>
      </c>
      <c r="L276" s="25" t="s">
        <v>4724</v>
      </c>
      <c r="M276" s="25" t="s">
        <v>4722</v>
      </c>
      <c r="N276" s="25" t="str">
        <f>VLOOKUP($M276,'records (3)'!$A:$C,2,FALSE)</f>
        <v>003IV000010su9HYAQ</v>
      </c>
      <c r="O276" s="25" t="s">
        <v>4723</v>
      </c>
      <c r="P276" s="25" t="s">
        <v>4724</v>
      </c>
      <c r="Q276" s="25" t="s">
        <v>3751</v>
      </c>
      <c r="R276" s="25" t="s">
        <v>1238</v>
      </c>
      <c r="S276" s="25" t="s">
        <v>4078</v>
      </c>
      <c r="T276" s="25" t="s">
        <v>1616</v>
      </c>
      <c r="V276" s="25" t="s">
        <v>1233</v>
      </c>
      <c r="X276" s="25" t="s">
        <v>1622</v>
      </c>
      <c r="Y276" s="25" t="s">
        <v>1233</v>
      </c>
      <c r="Z276" s="25" t="s">
        <v>1226</v>
      </c>
    </row>
    <row r="277" spans="1:26">
      <c r="A277" s="25" t="s">
        <v>1300</v>
      </c>
      <c r="B277" s="25" t="s">
        <v>275</v>
      </c>
      <c r="C277" s="25" t="s">
        <v>3600</v>
      </c>
      <c r="D277" s="25" t="s">
        <v>1337</v>
      </c>
      <c r="E277" s="25" t="s">
        <v>3601</v>
      </c>
      <c r="G277" s="25" t="s">
        <v>3602</v>
      </c>
      <c r="H277" s="25">
        <v>45</v>
      </c>
      <c r="I277" s="25" t="s">
        <v>4725</v>
      </c>
      <c r="J277" s="25" t="str">
        <f>VLOOKUP(I277,'records (3)'!$A:$C,2,FALSE)</f>
        <v>003IV000010tJZpYAM</v>
      </c>
      <c r="K277" s="25" t="s">
        <v>4726</v>
      </c>
      <c r="L277" s="25" t="s">
        <v>4727</v>
      </c>
      <c r="M277" s="25" t="s">
        <v>4725</v>
      </c>
      <c r="N277" s="25" t="str">
        <f>VLOOKUP($M277,'records (3)'!$A:$C,2,FALSE)</f>
        <v>003IV000010tJZpYAM</v>
      </c>
      <c r="O277" s="25" t="s">
        <v>4726</v>
      </c>
      <c r="P277" s="25" t="s">
        <v>4727</v>
      </c>
      <c r="Q277" s="25" t="s">
        <v>3751</v>
      </c>
      <c r="S277" s="25" t="s">
        <v>3744</v>
      </c>
      <c r="T277" s="25" t="s">
        <v>3599</v>
      </c>
      <c r="V277" s="25" t="s">
        <v>3600</v>
      </c>
      <c r="X277" s="25" t="s">
        <v>3601</v>
      </c>
      <c r="Z277" s="25" t="s">
        <v>3602</v>
      </c>
    </row>
    <row r="278" spans="1:26">
      <c r="A278" s="25" t="s">
        <v>2586</v>
      </c>
      <c r="B278" s="25" t="s">
        <v>541</v>
      </c>
      <c r="C278" s="25" t="s">
        <v>2584</v>
      </c>
      <c r="D278" s="25" t="s">
        <v>1337</v>
      </c>
      <c r="E278" s="25" t="s">
        <v>1228</v>
      </c>
      <c r="G278" s="25" t="s">
        <v>2585</v>
      </c>
      <c r="H278" s="25">
        <v>30</v>
      </c>
      <c r="I278" s="25" t="s">
        <v>4728</v>
      </c>
      <c r="J278" s="25" t="str">
        <f>VLOOKUP(I278,'records (3)'!$A:$C,2,FALSE)</f>
        <v>003IV000010tJZSYA2</v>
      </c>
      <c r="K278" s="25" t="s">
        <v>4729</v>
      </c>
      <c r="L278" s="25" t="s">
        <v>4730</v>
      </c>
      <c r="M278" s="25" t="s">
        <v>4728</v>
      </c>
      <c r="N278" s="25" t="str">
        <f>VLOOKUP($M278,'records (3)'!$A:$C,2,FALSE)</f>
        <v>003IV000010tJZSYA2</v>
      </c>
      <c r="O278" s="25" t="s">
        <v>4729</v>
      </c>
      <c r="P278" s="25" t="s">
        <v>4730</v>
      </c>
      <c r="Q278" s="25" t="s">
        <v>3751</v>
      </c>
      <c r="R278" s="25" t="s">
        <v>2588</v>
      </c>
      <c r="S278" s="25" t="s">
        <v>3744</v>
      </c>
      <c r="T278" s="25" t="s">
        <v>2583</v>
      </c>
      <c r="V278" s="25" t="s">
        <v>1233</v>
      </c>
      <c r="X278" s="25" t="s">
        <v>1233</v>
      </c>
      <c r="Z278" s="25" t="s">
        <v>2588</v>
      </c>
    </row>
    <row r="279" spans="1:26">
      <c r="A279" s="25" t="s">
        <v>2667</v>
      </c>
      <c r="B279" s="25" t="s">
        <v>1176</v>
      </c>
      <c r="C279" s="25" t="s">
        <v>2663</v>
      </c>
      <c r="D279" s="25" t="s">
        <v>1337</v>
      </c>
      <c r="E279" s="25" t="s">
        <v>2665</v>
      </c>
      <c r="G279" s="25" t="s">
        <v>4731</v>
      </c>
      <c r="H279" s="25">
        <v>60</v>
      </c>
      <c r="I279" s="25" t="s">
        <v>4732</v>
      </c>
      <c r="J279" s="25" t="str">
        <f>VLOOKUP(I279,'records (3)'!$A:$C,2,FALSE)</f>
        <v>003IV000010su9IYAQ</v>
      </c>
      <c r="K279" s="25" t="s">
        <v>4733</v>
      </c>
      <c r="L279" s="25" t="s">
        <v>4734</v>
      </c>
      <c r="M279" s="25" t="s">
        <v>4732</v>
      </c>
      <c r="N279" s="25" t="str">
        <f>VLOOKUP($M279,'records (3)'!$A:$C,2,FALSE)</f>
        <v>003IV000010su9IYAQ</v>
      </c>
      <c r="O279" s="25" t="s">
        <v>4733</v>
      </c>
      <c r="P279" s="25" t="s">
        <v>4734</v>
      </c>
      <c r="Q279" s="25" t="s">
        <v>3751</v>
      </c>
      <c r="R279" s="25" t="s">
        <v>2669</v>
      </c>
      <c r="S279" s="25" t="s">
        <v>3744</v>
      </c>
      <c r="T279" s="25" t="s">
        <v>2662</v>
      </c>
      <c r="U279" s="25" t="s">
        <v>2664</v>
      </c>
      <c r="V279" s="25" t="s">
        <v>1233</v>
      </c>
      <c r="X279" s="25" t="s">
        <v>1233</v>
      </c>
      <c r="Z279" s="25" t="s">
        <v>2669</v>
      </c>
    </row>
    <row r="280" spans="1:26">
      <c r="A280" s="25" t="s">
        <v>1301</v>
      </c>
      <c r="B280" s="25" t="s">
        <v>654</v>
      </c>
      <c r="C280" s="25" t="s">
        <v>1454</v>
      </c>
      <c r="D280" s="25" t="s">
        <v>1337</v>
      </c>
      <c r="E280" s="25" t="s">
        <v>2172</v>
      </c>
      <c r="G280" s="25" t="s">
        <v>2173</v>
      </c>
      <c r="H280" s="25">
        <v>30</v>
      </c>
      <c r="I280" s="25" t="s">
        <v>4735</v>
      </c>
      <c r="J280" s="25" t="str">
        <f>VLOOKUP(I280,'records (3)'!$A:$C,2,FALSE)</f>
        <v>003IV000010su9LYAQ</v>
      </c>
      <c r="K280" s="25" t="s">
        <v>4736</v>
      </c>
      <c r="L280" s="25" t="s">
        <v>4737</v>
      </c>
      <c r="M280" s="25" t="s">
        <v>4735</v>
      </c>
      <c r="N280" s="25" t="str">
        <f>VLOOKUP($M280,'records (3)'!$A:$C,2,FALSE)</f>
        <v>003IV000010su9LYAQ</v>
      </c>
      <c r="O280" s="25" t="s">
        <v>4736</v>
      </c>
      <c r="P280" s="25" t="s">
        <v>4737</v>
      </c>
      <c r="Q280" s="25" t="s">
        <v>3751</v>
      </c>
      <c r="R280" s="25" t="s">
        <v>2175</v>
      </c>
      <c r="S280" s="25" t="s">
        <v>3744</v>
      </c>
      <c r="T280" s="25" t="s">
        <v>2171</v>
      </c>
      <c r="V280" s="25" t="s">
        <v>1233</v>
      </c>
      <c r="X280" s="25" t="s">
        <v>1233</v>
      </c>
      <c r="Z280" s="25" t="s">
        <v>2175</v>
      </c>
    </row>
    <row r="281" spans="1:26">
      <c r="A281" s="25" t="s">
        <v>1693</v>
      </c>
      <c r="B281" s="25" t="s">
        <v>928</v>
      </c>
      <c r="C281" s="25" t="s">
        <v>1690</v>
      </c>
      <c r="D281" s="25" t="s">
        <v>1337</v>
      </c>
      <c r="E281" s="25" t="s">
        <v>1691</v>
      </c>
      <c r="G281" s="25" t="s">
        <v>1692</v>
      </c>
      <c r="H281" s="25">
        <v>45</v>
      </c>
      <c r="I281" s="25" t="s">
        <v>4738</v>
      </c>
      <c r="J281" s="25" t="str">
        <f>VLOOKUP(I281,'records (3)'!$A:$C,2,FALSE)</f>
        <v>003IV000010t3skYAA</v>
      </c>
      <c r="K281" s="25" t="s">
        <v>4739</v>
      </c>
      <c r="L281" s="25" t="s">
        <v>4740</v>
      </c>
      <c r="M281" s="25" t="s">
        <v>4738</v>
      </c>
      <c r="N281" s="25" t="str">
        <f>VLOOKUP($M281,'records (3)'!$A:$C,2,FALSE)</f>
        <v>003IV000010t3skYAA</v>
      </c>
      <c r="O281" s="25" t="s">
        <v>4739</v>
      </c>
      <c r="P281" s="25" t="s">
        <v>4740</v>
      </c>
      <c r="Q281" s="25" t="s">
        <v>3751</v>
      </c>
      <c r="R281" s="25" t="s">
        <v>1695</v>
      </c>
      <c r="S281" s="25" t="s">
        <v>3744</v>
      </c>
      <c r="T281" s="25" t="s">
        <v>1689</v>
      </c>
      <c r="V281" s="25" t="s">
        <v>1233</v>
      </c>
      <c r="X281" s="25" t="s">
        <v>1233</v>
      </c>
      <c r="Z281" s="25" t="s">
        <v>1695</v>
      </c>
    </row>
    <row r="282" spans="1:26">
      <c r="A282" s="25" t="s">
        <v>2266</v>
      </c>
      <c r="B282" s="25" t="s">
        <v>175</v>
      </c>
      <c r="C282" s="25" t="s">
        <v>2263</v>
      </c>
      <c r="D282" s="25" t="s">
        <v>1337</v>
      </c>
      <c r="E282" s="25" t="s">
        <v>2264</v>
      </c>
      <c r="G282" s="25" t="s">
        <v>2265</v>
      </c>
      <c r="H282" s="25">
        <v>30</v>
      </c>
      <c r="I282" s="25" t="s">
        <v>4741</v>
      </c>
      <c r="J282" s="25" t="str">
        <f>VLOOKUP(I282,'records (3)'!$A:$C,2,FALSE)</f>
        <v>003IV000010su9QYAQ</v>
      </c>
      <c r="K282" s="25" t="s">
        <v>4742</v>
      </c>
      <c r="L282" s="25" t="s">
        <v>4743</v>
      </c>
      <c r="M282" s="25" t="s">
        <v>4741</v>
      </c>
      <c r="N282" s="25" t="str">
        <f>VLOOKUP($M282,'records (3)'!$A:$C,2,FALSE)</f>
        <v>003IV000010su9QYAQ</v>
      </c>
      <c r="O282" s="25" t="s">
        <v>4742</v>
      </c>
      <c r="P282" s="25" t="s">
        <v>4743</v>
      </c>
      <c r="Q282" s="25" t="s">
        <v>3751</v>
      </c>
      <c r="R282" s="25" t="s">
        <v>2268</v>
      </c>
      <c r="S282" s="25" t="s">
        <v>3744</v>
      </c>
      <c r="T282" s="25" t="s">
        <v>2262</v>
      </c>
      <c r="V282" s="25" t="s">
        <v>1233</v>
      </c>
      <c r="X282" s="25" t="s">
        <v>1233</v>
      </c>
      <c r="Z282" s="25" t="s">
        <v>2268</v>
      </c>
    </row>
    <row r="283" spans="1:26">
      <c r="A283" s="25" t="s">
        <v>1835</v>
      </c>
      <c r="B283" s="25" t="s">
        <v>548</v>
      </c>
      <c r="C283" s="25" t="s">
        <v>1831</v>
      </c>
      <c r="D283" s="25" t="s">
        <v>1337</v>
      </c>
      <c r="E283" s="25" t="s">
        <v>1833</v>
      </c>
      <c r="G283" s="25" t="s">
        <v>1834</v>
      </c>
      <c r="H283" s="25">
        <v>30</v>
      </c>
      <c r="I283" s="25" t="s">
        <v>4744</v>
      </c>
      <c r="J283" s="25" t="str">
        <f>VLOOKUP(I283,'records (3)'!$A:$C,2,FALSE)</f>
        <v>003IV000010tJWDYA2</v>
      </c>
      <c r="K283" s="25" t="s">
        <v>4745</v>
      </c>
      <c r="L283" s="25" t="s">
        <v>4746</v>
      </c>
      <c r="M283" s="25" t="s">
        <v>4744</v>
      </c>
      <c r="N283" s="25" t="str">
        <f>VLOOKUP($M283,'records (3)'!$A:$C,2,FALSE)</f>
        <v>003IV000010tJWDYA2</v>
      </c>
      <c r="O283" s="25" t="s">
        <v>4745</v>
      </c>
      <c r="P283" s="25" t="s">
        <v>4746</v>
      </c>
      <c r="Q283" s="25" t="s">
        <v>3751</v>
      </c>
      <c r="R283" s="25" t="s">
        <v>1837</v>
      </c>
      <c r="S283" s="25" t="s">
        <v>3744</v>
      </c>
      <c r="T283" s="25" t="s">
        <v>1830</v>
      </c>
      <c r="U283" s="25" t="s">
        <v>1832</v>
      </c>
      <c r="V283" s="25" t="s">
        <v>1233</v>
      </c>
      <c r="X283" s="25" t="s">
        <v>1233</v>
      </c>
      <c r="Z283" s="25" t="s">
        <v>1837</v>
      </c>
    </row>
    <row r="284" spans="1:26">
      <c r="A284" s="25" t="s">
        <v>1302</v>
      </c>
      <c r="B284" s="25" t="s">
        <v>1303</v>
      </c>
      <c r="C284" s="25" t="s">
        <v>2310</v>
      </c>
      <c r="E284" s="25" t="s">
        <v>2311</v>
      </c>
      <c r="G284" s="25" t="s">
        <v>2312</v>
      </c>
      <c r="H284" s="25">
        <v>30</v>
      </c>
      <c r="I284" s="25" t="s">
        <v>4747</v>
      </c>
      <c r="J284" s="25" t="str">
        <f>VLOOKUP(I284,'records (3)'!$A:$C,2,FALSE)</f>
        <v>003IV000010su9PYAQ</v>
      </c>
      <c r="K284" s="25" t="s">
        <v>4748</v>
      </c>
      <c r="L284" s="25" t="s">
        <v>2314</v>
      </c>
      <c r="M284" s="25" t="s">
        <v>4747</v>
      </c>
      <c r="N284" s="25" t="str">
        <f>VLOOKUP($M284,'records (3)'!$A:$C,2,FALSE)</f>
        <v>003IV000010su9PYAQ</v>
      </c>
      <c r="O284" s="25" t="s">
        <v>4748</v>
      </c>
      <c r="P284" s="25" t="s">
        <v>2314</v>
      </c>
      <c r="Q284" s="25" t="s">
        <v>3751</v>
      </c>
      <c r="R284" s="25" t="s">
        <v>2314</v>
      </c>
      <c r="S284" s="25" t="s">
        <v>3744</v>
      </c>
      <c r="T284" s="25" t="s">
        <v>4749</v>
      </c>
      <c r="V284" s="25" t="s">
        <v>1233</v>
      </c>
      <c r="X284" s="25" t="s">
        <v>1233</v>
      </c>
      <c r="Z284" s="25" t="s">
        <v>2314</v>
      </c>
    </row>
    <row r="285" spans="1:26">
      <c r="A285" s="25" t="s">
        <v>2745</v>
      </c>
      <c r="B285" s="25" t="s">
        <v>1053</v>
      </c>
      <c r="C285" s="25" t="s">
        <v>2742</v>
      </c>
      <c r="D285" s="25" t="s">
        <v>1337</v>
      </c>
      <c r="E285" s="25" t="s">
        <v>2743</v>
      </c>
      <c r="G285" s="25" t="s">
        <v>4750</v>
      </c>
      <c r="H285" s="25">
        <v>30</v>
      </c>
      <c r="I285" s="25" t="s">
        <v>4751</v>
      </c>
      <c r="J285" s="25" t="str">
        <f>VLOOKUP(I285,'records (3)'!$A:$C,2,FALSE)</f>
        <v>003IV000010tJajYAE</v>
      </c>
      <c r="K285" s="25" t="s">
        <v>4752</v>
      </c>
      <c r="L285" s="25" t="s">
        <v>2747</v>
      </c>
      <c r="M285" s="25" t="s">
        <v>4751</v>
      </c>
      <c r="N285" s="25" t="str">
        <f>VLOOKUP($M285,'records (3)'!$A:$C,2,FALSE)</f>
        <v>003IV000010tJajYAE</v>
      </c>
      <c r="O285" s="25" t="s">
        <v>4752</v>
      </c>
      <c r="P285" s="25" t="s">
        <v>2747</v>
      </c>
      <c r="Q285" s="25" t="s">
        <v>3751</v>
      </c>
      <c r="R285" s="25" t="s">
        <v>2747</v>
      </c>
      <c r="S285" s="25" t="s">
        <v>3744</v>
      </c>
      <c r="T285" s="25" t="s">
        <v>2741</v>
      </c>
      <c r="V285" s="25" t="s">
        <v>1233</v>
      </c>
      <c r="X285" s="25" t="s">
        <v>1233</v>
      </c>
      <c r="Z285" s="25" t="s">
        <v>2747</v>
      </c>
    </row>
    <row r="286" spans="1:26">
      <c r="A286" s="25" t="s">
        <v>1720</v>
      </c>
      <c r="B286" s="25" t="s">
        <v>1714</v>
      </c>
      <c r="C286" s="25" t="s">
        <v>1716</v>
      </c>
      <c r="D286" s="25" t="s">
        <v>1337</v>
      </c>
      <c r="E286" s="25" t="s">
        <v>1718</v>
      </c>
      <c r="G286" s="25" t="s">
        <v>1719</v>
      </c>
      <c r="H286" s="25">
        <v>30</v>
      </c>
      <c r="I286" s="25" t="s">
        <v>4753</v>
      </c>
      <c r="J286" s="25" t="str">
        <f>VLOOKUP(I286,'records (3)'!$A:$C,2,FALSE)</f>
        <v>003IV000010tOTEYA2</v>
      </c>
      <c r="K286" s="25" t="s">
        <v>1717</v>
      </c>
      <c r="L286" s="25" t="s">
        <v>1722</v>
      </c>
      <c r="M286" s="25" t="s">
        <v>4753</v>
      </c>
      <c r="N286" s="25" t="str">
        <f>VLOOKUP($M286,'records (3)'!$A:$C,2,FALSE)</f>
        <v>003IV000010tOTEYA2</v>
      </c>
      <c r="O286" s="25" t="s">
        <v>1717</v>
      </c>
      <c r="P286" s="25" t="s">
        <v>1722</v>
      </c>
      <c r="Q286" s="25" t="s">
        <v>3888</v>
      </c>
      <c r="R286" s="25" t="s">
        <v>1722</v>
      </c>
      <c r="S286" s="25" t="s">
        <v>3744</v>
      </c>
      <c r="T286" s="25" t="s">
        <v>1715</v>
      </c>
      <c r="U286" s="25" t="s">
        <v>1717</v>
      </c>
      <c r="V286" s="25" t="s">
        <v>1233</v>
      </c>
      <c r="X286" s="25" t="s">
        <v>1233</v>
      </c>
      <c r="Z286" s="25" t="s">
        <v>1722</v>
      </c>
    </row>
    <row r="287" spans="1:26">
      <c r="A287" s="25" t="s">
        <v>1780</v>
      </c>
      <c r="B287" s="25" t="s">
        <v>279</v>
      </c>
      <c r="C287" s="25" t="s">
        <v>1777</v>
      </c>
      <c r="D287" s="25" t="s">
        <v>1337</v>
      </c>
      <c r="E287" s="25" t="s">
        <v>1778</v>
      </c>
      <c r="G287" s="25" t="s">
        <v>1779</v>
      </c>
      <c r="H287" s="25">
        <v>30</v>
      </c>
      <c r="I287" s="25" t="s">
        <v>4754</v>
      </c>
      <c r="J287" s="25" t="str">
        <f>VLOOKUP(I287,'records (3)'!$A:$C,2,FALSE)</f>
        <v>003IV000010su9RYAQ</v>
      </c>
      <c r="K287" s="25" t="s">
        <v>4755</v>
      </c>
      <c r="L287" s="25" t="s">
        <v>1782</v>
      </c>
      <c r="M287" s="25" t="s">
        <v>4754</v>
      </c>
      <c r="N287" s="25" t="str">
        <f>VLOOKUP($M287,'records (3)'!$A:$C,2,FALSE)</f>
        <v>003IV000010su9RYAQ</v>
      </c>
      <c r="O287" s="25" t="s">
        <v>4755</v>
      </c>
      <c r="P287" s="25" t="s">
        <v>1782</v>
      </c>
      <c r="Q287" s="25" t="s">
        <v>3751</v>
      </c>
      <c r="R287" s="25" t="s">
        <v>1782</v>
      </c>
      <c r="S287" s="25" t="s">
        <v>3744</v>
      </c>
      <c r="T287" s="25" t="s">
        <v>279</v>
      </c>
      <c r="V287" s="25" t="s">
        <v>1233</v>
      </c>
      <c r="X287" s="25" t="s">
        <v>1233</v>
      </c>
      <c r="Z287" s="25" t="s">
        <v>1782</v>
      </c>
    </row>
    <row r="288" spans="1:26">
      <c r="A288" s="25" t="s">
        <v>1304</v>
      </c>
      <c r="B288" s="25" t="s">
        <v>788</v>
      </c>
      <c r="C288" s="25" t="s">
        <v>1432</v>
      </c>
      <c r="D288" s="25" t="s">
        <v>1337</v>
      </c>
      <c r="E288" s="25" t="s">
        <v>1433</v>
      </c>
      <c r="G288" s="25" t="s">
        <v>1434</v>
      </c>
      <c r="H288" s="25">
        <v>30</v>
      </c>
      <c r="I288" s="25" t="s">
        <v>4756</v>
      </c>
      <c r="J288" s="25" t="str">
        <f>VLOOKUP(I288,'records (3)'!$A:$C,2,FALSE)</f>
        <v>003IV000010su9XYAQ</v>
      </c>
      <c r="K288" s="25" t="s">
        <v>4757</v>
      </c>
      <c r="L288" s="25" t="s">
        <v>4758</v>
      </c>
      <c r="M288" s="25" t="s">
        <v>4756</v>
      </c>
      <c r="N288" s="25" t="str">
        <f>VLOOKUP($M288,'records (3)'!$A:$C,2,FALSE)</f>
        <v>003IV000010su9XYAQ</v>
      </c>
      <c r="O288" s="25" t="s">
        <v>4757</v>
      </c>
      <c r="P288" s="25" t="s">
        <v>4758</v>
      </c>
      <c r="Q288" s="25" t="s">
        <v>3751</v>
      </c>
      <c r="R288" s="25" t="s">
        <v>1436</v>
      </c>
      <c r="S288" s="25" t="s">
        <v>3744</v>
      </c>
      <c r="T288" s="25" t="s">
        <v>1431</v>
      </c>
      <c r="V288" s="25" t="s">
        <v>1233</v>
      </c>
      <c r="X288" s="25" t="s">
        <v>1233</v>
      </c>
      <c r="Z288" s="25" t="s">
        <v>1436</v>
      </c>
    </row>
    <row r="289" spans="1:26">
      <c r="A289" s="25" t="s">
        <v>1547</v>
      </c>
      <c r="B289" s="25" t="s">
        <v>4759</v>
      </c>
      <c r="C289" s="25" t="s">
        <v>1544</v>
      </c>
      <c r="D289" s="25" t="s">
        <v>1337</v>
      </c>
      <c r="E289" s="25" t="s">
        <v>1545</v>
      </c>
      <c r="G289" s="25" t="s">
        <v>1546</v>
      </c>
      <c r="H289" s="25">
        <v>30</v>
      </c>
      <c r="I289" s="25" t="s">
        <v>4760</v>
      </c>
      <c r="J289" s="25" t="str">
        <f>VLOOKUP(I289,'records (3)'!$A:$C,2,FALSE)</f>
        <v>003IV000010tJWHYA2</v>
      </c>
      <c r="K289" s="25" t="s">
        <v>4761</v>
      </c>
      <c r="L289" s="25" t="s">
        <v>4762</v>
      </c>
      <c r="M289" s="25" t="s">
        <v>4760</v>
      </c>
      <c r="N289" s="25" t="str">
        <f>VLOOKUP($M289,'records (3)'!$A:$C,2,FALSE)</f>
        <v>003IV000010tJWHYA2</v>
      </c>
      <c r="O289" s="25" t="s">
        <v>4761</v>
      </c>
      <c r="P289" s="25" t="s">
        <v>4762</v>
      </c>
      <c r="Q289" s="25" t="s">
        <v>3751</v>
      </c>
      <c r="R289" s="25" t="s">
        <v>1549</v>
      </c>
      <c r="S289" s="25" t="s">
        <v>3744</v>
      </c>
      <c r="T289" s="25" t="s">
        <v>1543</v>
      </c>
      <c r="V289" s="25" t="s">
        <v>1233</v>
      </c>
      <c r="X289" s="25" t="s">
        <v>1233</v>
      </c>
      <c r="Z289" s="25" t="s">
        <v>1549</v>
      </c>
    </row>
    <row r="290" spans="1:26">
      <c r="A290" s="25" t="s">
        <v>2014</v>
      </c>
      <c r="B290" s="25" t="s">
        <v>697</v>
      </c>
      <c r="C290" s="25" t="s">
        <v>2011</v>
      </c>
      <c r="D290" s="25" t="s">
        <v>1337</v>
      </c>
      <c r="E290" s="25" t="s">
        <v>2012</v>
      </c>
      <c r="G290" s="25" t="s">
        <v>4763</v>
      </c>
      <c r="H290" s="25">
        <v>30</v>
      </c>
      <c r="I290" s="25" t="s">
        <v>4764</v>
      </c>
      <c r="J290" s="25" t="str">
        <f>VLOOKUP(I290,'records (3)'!$A:$C,2,FALSE)</f>
        <v>003IV000010tJZRYA2</v>
      </c>
      <c r="K290" s="25" t="s">
        <v>4765</v>
      </c>
      <c r="L290" s="25" t="s">
        <v>4766</v>
      </c>
      <c r="M290" s="25" t="s">
        <v>4764</v>
      </c>
      <c r="N290" s="25" t="str">
        <f>VLOOKUP($M290,'records (3)'!$A:$C,2,FALSE)</f>
        <v>003IV000010tJZRYA2</v>
      </c>
      <c r="O290" s="25" t="s">
        <v>4765</v>
      </c>
      <c r="P290" s="25" t="s">
        <v>4766</v>
      </c>
      <c r="Q290" s="25" t="s">
        <v>3751</v>
      </c>
      <c r="R290" s="25" t="s">
        <v>2016</v>
      </c>
      <c r="S290" s="25" t="s">
        <v>3744</v>
      </c>
      <c r="T290" s="25" t="s">
        <v>2010</v>
      </c>
      <c r="V290" s="25" t="s">
        <v>1233</v>
      </c>
      <c r="X290" s="25" t="s">
        <v>1233</v>
      </c>
      <c r="Z290" s="25" t="s">
        <v>2016</v>
      </c>
    </row>
    <row r="291" spans="1:26">
      <c r="A291" s="25" t="s">
        <v>3714</v>
      </c>
      <c r="B291" s="25" t="s">
        <v>1159</v>
      </c>
      <c r="D291" s="25" t="s">
        <v>1337</v>
      </c>
      <c r="H291" s="25">
        <v>30</v>
      </c>
      <c r="J291" s="25" t="e">
        <f>VLOOKUP(I291,'records (3)'!$A:$C,2,FALSE)</f>
        <v>#N/A</v>
      </c>
      <c r="N291" s="25" t="e">
        <f>VLOOKUP($M291,'records (3)'!$A:$C,2,FALSE)</f>
        <v>#N/A</v>
      </c>
      <c r="S291" s="25" t="s">
        <v>3744</v>
      </c>
    </row>
    <row r="292" spans="1:26">
      <c r="A292" s="25" t="s">
        <v>3629</v>
      </c>
      <c r="B292" s="25" t="s">
        <v>4767</v>
      </c>
      <c r="C292" s="25" t="s">
        <v>3626</v>
      </c>
      <c r="D292" s="25" t="s">
        <v>1337</v>
      </c>
      <c r="E292" s="25" t="s">
        <v>3627</v>
      </c>
      <c r="G292" s="25" t="s">
        <v>3628</v>
      </c>
      <c r="H292" s="25">
        <v>30</v>
      </c>
      <c r="I292" s="25" t="s">
        <v>4768</v>
      </c>
      <c r="J292" s="25" t="str">
        <f>VLOOKUP(I292,'records (3)'!$A:$C,2,FALSE)</f>
        <v>003IV000010tSjCYAU</v>
      </c>
      <c r="K292" s="25" t="s">
        <v>4769</v>
      </c>
      <c r="L292" s="25" t="s">
        <v>4770</v>
      </c>
      <c r="M292" s="25" t="s">
        <v>4771</v>
      </c>
      <c r="N292" s="25" t="str">
        <f>VLOOKUP($M292,'records (3)'!$A:$C,2,FALSE)</f>
        <v>003IV000010tNmEYAU</v>
      </c>
      <c r="O292" s="25" t="s">
        <v>4772</v>
      </c>
      <c r="P292" s="25" t="s">
        <v>4773</v>
      </c>
      <c r="Q292" s="25" t="s">
        <v>3751</v>
      </c>
      <c r="S292" s="25" t="s">
        <v>3744</v>
      </c>
      <c r="T292" s="25" t="s">
        <v>4774</v>
      </c>
      <c r="V292" s="25" t="s">
        <v>3626</v>
      </c>
      <c r="X292" s="25" t="s">
        <v>3627</v>
      </c>
      <c r="Z292" s="25" t="s">
        <v>3628</v>
      </c>
    </row>
    <row r="293" spans="1:26">
      <c r="A293" s="25" t="s">
        <v>1305</v>
      </c>
      <c r="B293" s="25" t="s">
        <v>911</v>
      </c>
      <c r="C293" s="25" t="s">
        <v>1967</v>
      </c>
      <c r="D293" s="25" t="s">
        <v>1337</v>
      </c>
      <c r="E293" s="25" t="s">
        <v>1968</v>
      </c>
      <c r="G293" s="25" t="s">
        <v>1969</v>
      </c>
      <c r="H293" s="25">
        <v>60</v>
      </c>
      <c r="I293" s="25" t="s">
        <v>4775</v>
      </c>
      <c r="J293" s="25" t="str">
        <f>VLOOKUP(I293,'records (3)'!$A:$C,2,FALSE)</f>
        <v>003IV000010tJZYYA2</v>
      </c>
      <c r="K293" s="25" t="s">
        <v>4776</v>
      </c>
      <c r="L293" s="25" t="s">
        <v>1971</v>
      </c>
      <c r="M293" s="25" t="s">
        <v>4775</v>
      </c>
      <c r="N293" s="25" t="str">
        <f>VLOOKUP($M293,'records (3)'!$A:$C,2,FALSE)</f>
        <v>003IV000010tJZYYA2</v>
      </c>
      <c r="O293" s="25" t="s">
        <v>4776</v>
      </c>
      <c r="P293" s="25" t="s">
        <v>1971</v>
      </c>
      <c r="Q293" s="25" t="s">
        <v>3751</v>
      </c>
      <c r="R293" s="25" t="s">
        <v>1971</v>
      </c>
      <c r="S293" s="25" t="s">
        <v>3744</v>
      </c>
      <c r="T293" s="25" t="s">
        <v>1966</v>
      </c>
      <c r="V293" s="25" t="s">
        <v>1233</v>
      </c>
      <c r="X293" s="25" t="s">
        <v>1233</v>
      </c>
      <c r="Z293" s="25" t="s">
        <v>1971</v>
      </c>
    </row>
    <row r="294" spans="1:26">
      <c r="A294" s="25" t="s">
        <v>3716</v>
      </c>
      <c r="B294" s="25" t="s">
        <v>1160</v>
      </c>
      <c r="D294" s="25" t="s">
        <v>1337</v>
      </c>
      <c r="J294" s="25" t="e">
        <f>VLOOKUP(I294,'records (3)'!$A:$C,2,FALSE)</f>
        <v>#N/A</v>
      </c>
      <c r="N294" s="25" t="e">
        <f>VLOOKUP($M294,'records (3)'!$A:$C,2,FALSE)</f>
        <v>#N/A</v>
      </c>
      <c r="S294" s="25" t="s">
        <v>3744</v>
      </c>
    </row>
    <row r="295" spans="1:26">
      <c r="A295" s="25" t="s">
        <v>3719</v>
      </c>
      <c r="B295" s="25" t="s">
        <v>1161</v>
      </c>
      <c r="D295" s="25" t="s">
        <v>1337</v>
      </c>
      <c r="J295" s="25" t="e">
        <f>VLOOKUP(I295,'records (3)'!$A:$C,2,FALSE)</f>
        <v>#N/A</v>
      </c>
      <c r="N295" s="25" t="e">
        <f>VLOOKUP($M295,'records (3)'!$A:$C,2,FALSE)</f>
        <v>#N/A</v>
      </c>
    </row>
    <row r="296" spans="1:26">
      <c r="A296" s="25" t="s">
        <v>1307</v>
      </c>
      <c r="B296" s="25" t="s">
        <v>1122</v>
      </c>
      <c r="C296" s="25" t="s">
        <v>3177</v>
      </c>
      <c r="D296" s="25" t="s">
        <v>1337</v>
      </c>
      <c r="E296" s="25" t="s">
        <v>3178</v>
      </c>
      <c r="G296" s="25" t="s">
        <v>3179</v>
      </c>
      <c r="H296" s="25">
        <v>30</v>
      </c>
      <c r="I296" s="25" t="s">
        <v>4777</v>
      </c>
      <c r="J296" s="25" t="str">
        <f>VLOOKUP(I296,'records (3)'!$A:$C,2,FALSE)</f>
        <v>003IV000010tJaBYAU</v>
      </c>
      <c r="K296" s="25" t="s">
        <v>4778</v>
      </c>
      <c r="L296" s="25" t="s">
        <v>4779</v>
      </c>
      <c r="M296" s="25" t="s">
        <v>4777</v>
      </c>
      <c r="N296" s="25" t="str">
        <f>VLOOKUP($M296,'records (3)'!$A:$C,2,FALSE)</f>
        <v>003IV000010tJaBYAU</v>
      </c>
      <c r="O296" s="25" t="s">
        <v>4778</v>
      </c>
      <c r="P296" s="25" t="s">
        <v>4779</v>
      </c>
      <c r="Q296" s="25" t="s">
        <v>3751</v>
      </c>
      <c r="R296" s="25" t="s">
        <v>3181</v>
      </c>
      <c r="S296" s="25" t="s">
        <v>3744</v>
      </c>
      <c r="T296" s="25" t="s">
        <v>3176</v>
      </c>
      <c r="V296" s="25" t="s">
        <v>1233</v>
      </c>
      <c r="X296" s="25" t="s">
        <v>1233</v>
      </c>
      <c r="Z296" s="25" t="s">
        <v>3181</v>
      </c>
    </row>
    <row r="297" spans="1:26">
      <c r="A297" s="25" t="s">
        <v>2514</v>
      </c>
      <c r="B297" s="25" t="s">
        <v>365</v>
      </c>
      <c r="C297" s="25" t="s">
        <v>2511</v>
      </c>
      <c r="D297" s="25" t="s">
        <v>1337</v>
      </c>
      <c r="E297" s="25" t="s">
        <v>2512</v>
      </c>
      <c r="G297" s="25" t="s">
        <v>2513</v>
      </c>
      <c r="H297" s="25">
        <v>45</v>
      </c>
      <c r="I297" s="25" t="s">
        <v>4780</v>
      </c>
      <c r="J297" s="25" t="str">
        <f>VLOOKUP(I297,'records (3)'!$A:$C,2,FALSE)</f>
        <v>003IV000010tJZfYAM</v>
      </c>
      <c r="K297" s="25" t="s">
        <v>4781</v>
      </c>
      <c r="L297" s="25" t="s">
        <v>4782</v>
      </c>
      <c r="M297" s="25" t="s">
        <v>4783</v>
      </c>
      <c r="N297" s="25" t="str">
        <f>VLOOKUP($M297,'records (3)'!$A:$C,2,FALSE)</f>
        <v>003IV000010tIdXYAU</v>
      </c>
      <c r="O297" s="25" t="s">
        <v>4784</v>
      </c>
      <c r="P297" s="25" t="s">
        <v>4785</v>
      </c>
      <c r="Q297" s="25" t="s">
        <v>3751</v>
      </c>
      <c r="R297" s="25" t="s">
        <v>2516</v>
      </c>
      <c r="S297" s="25" t="s">
        <v>3744</v>
      </c>
      <c r="T297" s="25" t="s">
        <v>2510</v>
      </c>
      <c r="U297" s="25" t="s">
        <v>1425</v>
      </c>
      <c r="V297" s="25" t="s">
        <v>1233</v>
      </c>
      <c r="X297" s="25" t="s">
        <v>1233</v>
      </c>
      <c r="Z297" s="25" t="s">
        <v>2516</v>
      </c>
    </row>
    <row r="298" spans="1:26">
      <c r="A298" s="25" t="s">
        <v>3164</v>
      </c>
      <c r="B298" s="25" t="s">
        <v>578</v>
      </c>
      <c r="C298" s="25" t="s">
        <v>3161</v>
      </c>
      <c r="D298" s="25" t="s">
        <v>1337</v>
      </c>
      <c r="E298" s="25" t="s">
        <v>3162</v>
      </c>
      <c r="G298" s="25" t="s">
        <v>3163</v>
      </c>
      <c r="H298" s="25">
        <v>30</v>
      </c>
      <c r="I298" s="25" t="s">
        <v>4786</v>
      </c>
      <c r="J298" s="25" t="str">
        <f>VLOOKUP(I298,'records (3)'!$A:$C,2,FALSE)</f>
        <v>003IV000010tJZgYAM</v>
      </c>
      <c r="K298" s="25" t="s">
        <v>4787</v>
      </c>
      <c r="L298" s="25" t="s">
        <v>4788</v>
      </c>
      <c r="M298" s="25" t="s">
        <v>4786</v>
      </c>
      <c r="N298" s="25" t="str">
        <f>VLOOKUP($M298,'records (3)'!$A:$C,2,FALSE)</f>
        <v>003IV000010tJZgYAM</v>
      </c>
      <c r="O298" s="25" t="s">
        <v>4787</v>
      </c>
      <c r="P298" s="25" t="s">
        <v>4788</v>
      </c>
      <c r="Q298" s="25" t="s">
        <v>3751</v>
      </c>
      <c r="R298" s="25" t="s">
        <v>3166</v>
      </c>
      <c r="S298" s="25" t="s">
        <v>3744</v>
      </c>
      <c r="T298" s="25" t="s">
        <v>3160</v>
      </c>
      <c r="V298" s="25" t="s">
        <v>1233</v>
      </c>
      <c r="X298" s="25" t="s">
        <v>1233</v>
      </c>
      <c r="Z298" s="25" t="s">
        <v>3166</v>
      </c>
    </row>
    <row r="299" spans="1:26">
      <c r="A299" s="25" t="s">
        <v>1308</v>
      </c>
      <c r="B299" s="25" t="s">
        <v>1035</v>
      </c>
      <c r="C299" s="25" t="s">
        <v>2602</v>
      </c>
      <c r="D299" s="25" t="s">
        <v>1337</v>
      </c>
      <c r="E299" s="25" t="s">
        <v>4789</v>
      </c>
      <c r="G299" s="25" t="s">
        <v>2604</v>
      </c>
      <c r="H299" s="25">
        <v>30</v>
      </c>
      <c r="I299" s="25" t="s">
        <v>4790</v>
      </c>
      <c r="J299" s="25" t="str">
        <f>VLOOKUP(I299,'records (3)'!$A:$C,2,FALSE)</f>
        <v>003IV000010tJZhYAM</v>
      </c>
      <c r="K299" s="25" t="s">
        <v>4791</v>
      </c>
      <c r="L299" s="25" t="s">
        <v>2606</v>
      </c>
      <c r="M299" s="25" t="s">
        <v>4790</v>
      </c>
      <c r="N299" s="25" t="str">
        <f>VLOOKUP($M299,'records (3)'!$A:$C,2,FALSE)</f>
        <v>003IV000010tJZhYAM</v>
      </c>
      <c r="O299" s="25" t="s">
        <v>4791</v>
      </c>
      <c r="P299" s="25" t="s">
        <v>2606</v>
      </c>
      <c r="Q299" s="25" t="s">
        <v>3751</v>
      </c>
      <c r="R299" s="25" t="s">
        <v>2606</v>
      </c>
      <c r="S299" s="25" t="s">
        <v>3744</v>
      </c>
      <c r="T299" s="25" t="s">
        <v>2601</v>
      </c>
      <c r="V299" s="25" t="s">
        <v>1233</v>
      </c>
      <c r="X299" s="25" t="s">
        <v>1233</v>
      </c>
      <c r="Z299" s="25" t="s">
        <v>2606</v>
      </c>
    </row>
    <row r="300" spans="1:26">
      <c r="A300" s="25" t="s">
        <v>1309</v>
      </c>
      <c r="B300" s="25" t="s">
        <v>423</v>
      </c>
      <c r="C300" s="25" t="s">
        <v>2107</v>
      </c>
      <c r="D300" s="25" t="s">
        <v>1337</v>
      </c>
      <c r="E300" s="25" t="s">
        <v>2108</v>
      </c>
      <c r="G300" s="25" t="s">
        <v>4792</v>
      </c>
      <c r="H300" s="25">
        <v>60</v>
      </c>
      <c r="I300" s="25" t="s">
        <v>4793</v>
      </c>
      <c r="J300" s="25" t="str">
        <f>VLOOKUP(I300,'records (3)'!$A:$C,2,FALSE)</f>
        <v>003IV000010tTxyYAE</v>
      </c>
      <c r="K300" s="25" t="s">
        <v>4794</v>
      </c>
      <c r="L300" s="25" t="s">
        <v>4795</v>
      </c>
      <c r="M300" s="25" t="s">
        <v>4793</v>
      </c>
      <c r="N300" s="25" t="str">
        <f>VLOOKUP($M300,'records (3)'!$A:$C,2,FALSE)</f>
        <v>003IV000010tTxyYAE</v>
      </c>
      <c r="O300" s="25" t="s">
        <v>4794</v>
      </c>
      <c r="P300" s="25" t="s">
        <v>4795</v>
      </c>
      <c r="Q300" s="25" t="s">
        <v>3888</v>
      </c>
      <c r="R300" s="25" t="s">
        <v>4795</v>
      </c>
      <c r="S300" s="25" t="s">
        <v>3744</v>
      </c>
      <c r="T300" s="25" t="s">
        <v>3222</v>
      </c>
      <c r="U300" s="25" t="s">
        <v>3225</v>
      </c>
      <c r="V300" s="25" t="s">
        <v>1233</v>
      </c>
      <c r="X300" s="25" t="s">
        <v>1233</v>
      </c>
      <c r="Z300" s="25" t="s">
        <v>3229</v>
      </c>
    </row>
    <row r="301" spans="1:26">
      <c r="A301" s="25" t="s">
        <v>3633</v>
      </c>
      <c r="B301" s="25" t="s">
        <v>1162</v>
      </c>
      <c r="D301" s="25" t="s">
        <v>1337</v>
      </c>
      <c r="H301" s="25">
        <v>30</v>
      </c>
      <c r="J301" s="25" t="e">
        <f>VLOOKUP(I301,'records (3)'!$A:$C,2,FALSE)</f>
        <v>#N/A</v>
      </c>
      <c r="N301" s="25" t="e">
        <f>VLOOKUP($M301,'records (3)'!$A:$C,2,FALSE)</f>
        <v>#N/A</v>
      </c>
      <c r="S301" s="25" t="s">
        <v>3744</v>
      </c>
    </row>
    <row r="302" spans="1:26">
      <c r="A302" s="25" t="s">
        <v>3044</v>
      </c>
      <c r="B302" s="25" t="s">
        <v>878</v>
      </c>
      <c r="C302" s="25" t="s">
        <v>3041</v>
      </c>
      <c r="E302" s="25" t="s">
        <v>3042</v>
      </c>
      <c r="G302" s="25" t="s">
        <v>3043</v>
      </c>
      <c r="H302" s="25">
        <v>30</v>
      </c>
      <c r="I302" s="25" t="s">
        <v>4796</v>
      </c>
      <c r="J302" s="25" t="str">
        <f>VLOOKUP(I302,'records (3)'!$A:$C,2,FALSE)</f>
        <v>003IV000010t1hzYAA</v>
      </c>
      <c r="K302" s="25" t="s">
        <v>4797</v>
      </c>
      <c r="L302" s="25" t="s">
        <v>3046</v>
      </c>
      <c r="M302" s="25" t="s">
        <v>4796</v>
      </c>
      <c r="N302" s="25" t="str">
        <f>VLOOKUP($M302,'records (3)'!$A:$C,2,FALSE)</f>
        <v>003IV000010t1hzYAA</v>
      </c>
      <c r="O302" s="25" t="s">
        <v>4797</v>
      </c>
      <c r="P302" s="25" t="s">
        <v>3046</v>
      </c>
      <c r="Q302" s="25" t="s">
        <v>3751</v>
      </c>
      <c r="R302" s="25" t="s">
        <v>3046</v>
      </c>
      <c r="S302" s="25" t="s">
        <v>3744</v>
      </c>
      <c r="T302" s="25" t="s">
        <v>878</v>
      </c>
      <c r="V302" s="25" t="s">
        <v>1233</v>
      </c>
      <c r="X302" s="25" t="s">
        <v>1233</v>
      </c>
      <c r="Z302" s="25" t="s">
        <v>3046</v>
      </c>
    </row>
    <row r="303" spans="1:26">
      <c r="A303" s="25" t="s">
        <v>2722</v>
      </c>
      <c r="B303" s="25" t="s">
        <v>1069</v>
      </c>
      <c r="C303" s="25" t="s">
        <v>2719</v>
      </c>
      <c r="D303" s="25" t="s">
        <v>1337</v>
      </c>
      <c r="E303" s="25" t="s">
        <v>2720</v>
      </c>
      <c r="G303" s="25" t="s">
        <v>4798</v>
      </c>
      <c r="H303" s="25">
        <v>45</v>
      </c>
      <c r="I303" s="25" t="s">
        <v>4799</v>
      </c>
      <c r="J303" s="25" t="str">
        <f>VLOOKUP(I303,'records (3)'!$A:$C,2,FALSE)</f>
        <v>003IV000010tJZoYAM</v>
      </c>
      <c r="K303" s="25" t="s">
        <v>4800</v>
      </c>
      <c r="L303" s="25" t="s">
        <v>2724</v>
      </c>
      <c r="M303" s="25" t="s">
        <v>4799</v>
      </c>
      <c r="N303" s="25" t="str">
        <f>VLOOKUP($M303,'records (3)'!$A:$C,2,FALSE)</f>
        <v>003IV000010tJZoYAM</v>
      </c>
      <c r="O303" s="25" t="s">
        <v>4800</v>
      </c>
      <c r="P303" s="25" t="s">
        <v>2724</v>
      </c>
      <c r="Q303" s="25" t="s">
        <v>3751</v>
      </c>
      <c r="R303" s="25" t="s">
        <v>2724</v>
      </c>
      <c r="S303" s="25" t="s">
        <v>3744</v>
      </c>
      <c r="T303" s="25" t="s">
        <v>2718</v>
      </c>
      <c r="V303" s="25" t="s">
        <v>1233</v>
      </c>
      <c r="X303" s="25" t="s">
        <v>1233</v>
      </c>
      <c r="Z303" s="25" t="s">
        <v>2724</v>
      </c>
    </row>
    <row r="304" spans="1:26">
      <c r="A304" s="25" t="s">
        <v>1310</v>
      </c>
      <c r="B304" s="25" t="s">
        <v>1059</v>
      </c>
      <c r="C304" s="25" t="s">
        <v>3471</v>
      </c>
      <c r="E304" s="25" t="s">
        <v>3472</v>
      </c>
      <c r="G304" s="25" t="s">
        <v>3473</v>
      </c>
      <c r="H304" s="25">
        <v>30</v>
      </c>
      <c r="I304" s="25" t="s">
        <v>4801</v>
      </c>
      <c r="J304" s="25" t="str">
        <f>VLOOKUP(I304,'records (3)'!$A:$C,2,FALSE)</f>
        <v>003IV000010tJZqYAM</v>
      </c>
      <c r="K304" s="25" t="s">
        <v>4802</v>
      </c>
      <c r="L304" s="25" t="s">
        <v>4803</v>
      </c>
      <c r="M304" s="25" t="s">
        <v>4801</v>
      </c>
      <c r="N304" s="25" t="str">
        <f>VLOOKUP($M304,'records (3)'!$A:$C,2,FALSE)</f>
        <v>003IV000010tJZqYAM</v>
      </c>
      <c r="O304" s="25" t="s">
        <v>4802</v>
      </c>
      <c r="P304" s="25" t="s">
        <v>4803</v>
      </c>
      <c r="Q304" s="25" t="s">
        <v>3751</v>
      </c>
      <c r="R304" s="25" t="s">
        <v>3475</v>
      </c>
      <c r="S304" s="25" t="s">
        <v>3744</v>
      </c>
      <c r="T304" s="25" t="s">
        <v>3470</v>
      </c>
      <c r="U304" s="25" t="s">
        <v>1439</v>
      </c>
      <c r="V304" s="25" t="s">
        <v>1233</v>
      </c>
      <c r="X304" s="25" t="s">
        <v>1233</v>
      </c>
      <c r="Z304" s="25" t="s">
        <v>3475</v>
      </c>
    </row>
    <row r="305" spans="1:26">
      <c r="A305" s="25" t="s">
        <v>2110</v>
      </c>
      <c r="B305" s="25" t="s">
        <v>1049</v>
      </c>
      <c r="C305" s="25" t="s">
        <v>2107</v>
      </c>
      <c r="D305" s="25" t="s">
        <v>1337</v>
      </c>
      <c r="E305" s="25" t="s">
        <v>2108</v>
      </c>
      <c r="G305" s="25" t="s">
        <v>2109</v>
      </c>
      <c r="H305" s="25">
        <v>45</v>
      </c>
      <c r="I305" s="25" t="s">
        <v>4804</v>
      </c>
      <c r="J305" s="25" t="str">
        <f>VLOOKUP(I305,'records (3)'!$A:$C,2,FALSE)</f>
        <v>003IV000010tJZsYAM</v>
      </c>
      <c r="K305" s="25" t="s">
        <v>4805</v>
      </c>
      <c r="L305" s="25" t="s">
        <v>4806</v>
      </c>
      <c r="M305" s="25" t="s">
        <v>4804</v>
      </c>
      <c r="N305" s="25" t="str">
        <f>VLOOKUP($M305,'records (3)'!$A:$C,2,FALSE)</f>
        <v>003IV000010tJZsYAM</v>
      </c>
      <c r="O305" s="25" t="s">
        <v>4805</v>
      </c>
      <c r="P305" s="25" t="s">
        <v>4806</v>
      </c>
      <c r="Q305" s="25" t="s">
        <v>3751</v>
      </c>
      <c r="R305" s="25" t="s">
        <v>2112</v>
      </c>
      <c r="S305" s="25" t="s">
        <v>3744</v>
      </c>
      <c r="T305" s="25" t="s">
        <v>1049</v>
      </c>
      <c r="V305" s="25" t="s">
        <v>1233</v>
      </c>
      <c r="X305" s="25" t="s">
        <v>1233</v>
      </c>
      <c r="Z305" s="25" t="s">
        <v>2112</v>
      </c>
    </row>
    <row r="306" spans="1:26">
      <c r="A306" s="25" t="s">
        <v>2562</v>
      </c>
      <c r="B306" s="25" t="s">
        <v>1145</v>
      </c>
      <c r="C306" s="25" t="s">
        <v>2559</v>
      </c>
      <c r="D306" s="25" t="s">
        <v>1337</v>
      </c>
      <c r="E306" s="25" t="s">
        <v>2560</v>
      </c>
      <c r="G306" s="25" t="s">
        <v>2561</v>
      </c>
      <c r="H306" s="25">
        <v>45</v>
      </c>
      <c r="I306" s="25" t="s">
        <v>4807</v>
      </c>
      <c r="J306" s="25" t="str">
        <f>VLOOKUP(I306,'records (3)'!$A:$C,2,FALSE)</f>
        <v>003IV000010tJZxYAM</v>
      </c>
      <c r="K306" s="25" t="s">
        <v>4808</v>
      </c>
      <c r="L306" s="25" t="s">
        <v>4809</v>
      </c>
      <c r="M306" s="25" t="s">
        <v>4807</v>
      </c>
      <c r="N306" s="25" t="str">
        <f>VLOOKUP($M306,'records (3)'!$A:$C,2,FALSE)</f>
        <v>003IV000010tJZxYAM</v>
      </c>
      <c r="O306" s="25" t="s">
        <v>4808</v>
      </c>
      <c r="P306" s="25" t="s">
        <v>4809</v>
      </c>
      <c r="Q306" s="25" t="s">
        <v>3751</v>
      </c>
      <c r="R306" s="25" t="s">
        <v>2564</v>
      </c>
      <c r="S306" s="25" t="s">
        <v>3744</v>
      </c>
      <c r="T306" s="25" t="s">
        <v>2558</v>
      </c>
      <c r="V306" s="25" t="s">
        <v>1233</v>
      </c>
      <c r="X306" s="25" t="s">
        <v>1233</v>
      </c>
      <c r="Z306" s="25" t="s">
        <v>2564</v>
      </c>
    </row>
    <row r="307" spans="1:26">
      <c r="A307" s="25" t="s">
        <v>1311</v>
      </c>
      <c r="B307" s="25" t="s">
        <v>1084</v>
      </c>
      <c r="C307" s="25" t="s">
        <v>2122</v>
      </c>
      <c r="E307" s="25" t="s">
        <v>4468</v>
      </c>
      <c r="G307" s="25" t="s">
        <v>4810</v>
      </c>
      <c r="H307" s="25">
        <v>45</v>
      </c>
      <c r="I307" s="25" t="s">
        <v>4811</v>
      </c>
      <c r="J307" s="25" t="str">
        <f>VLOOKUP(I307,'records (3)'!$A:$C,2,FALSE)</f>
        <v>003IV000010tJa8YAE</v>
      </c>
      <c r="K307" s="25" t="s">
        <v>4812</v>
      </c>
      <c r="L307" s="25" t="s">
        <v>2126</v>
      </c>
      <c r="M307" s="25" t="s">
        <v>4811</v>
      </c>
      <c r="N307" s="25" t="str">
        <f>VLOOKUP($M307,'records (3)'!$A:$C,2,FALSE)</f>
        <v>003IV000010tJa8YAE</v>
      </c>
      <c r="O307" s="25" t="s">
        <v>4812</v>
      </c>
      <c r="P307" s="25" t="s">
        <v>2126</v>
      </c>
      <c r="Q307" s="25" t="s">
        <v>3751</v>
      </c>
      <c r="R307" s="25" t="s">
        <v>2126</v>
      </c>
      <c r="S307" s="25" t="s">
        <v>3744</v>
      </c>
      <c r="T307" s="25" t="s">
        <v>2121</v>
      </c>
      <c r="V307" s="25" t="s">
        <v>1233</v>
      </c>
      <c r="X307" s="25" t="s">
        <v>1233</v>
      </c>
      <c r="Z307" s="25" t="s">
        <v>2126</v>
      </c>
    </row>
    <row r="308" spans="1:26">
      <c r="A308" s="25" t="s">
        <v>1312</v>
      </c>
      <c r="B308" s="25" t="s">
        <v>1038</v>
      </c>
      <c r="C308" s="25" t="s">
        <v>1461</v>
      </c>
      <c r="D308" s="25" t="s">
        <v>1337</v>
      </c>
      <c r="E308" s="25" t="s">
        <v>1462</v>
      </c>
      <c r="G308" s="25" t="s">
        <v>1463</v>
      </c>
      <c r="H308" s="25">
        <v>60</v>
      </c>
      <c r="I308" s="25" t="s">
        <v>4813</v>
      </c>
      <c r="J308" s="25" t="str">
        <f>VLOOKUP(I308,'records (3)'!$A:$C,2,FALSE)</f>
        <v>003IV000010tJa7YAE</v>
      </c>
      <c r="K308" s="25" t="s">
        <v>4814</v>
      </c>
      <c r="L308" s="25" t="s">
        <v>1466</v>
      </c>
      <c r="M308" s="25" t="s">
        <v>4813</v>
      </c>
      <c r="N308" s="25" t="str">
        <f>VLOOKUP($M308,'records (3)'!$A:$C,2,FALSE)</f>
        <v>003IV000010tJa7YAE</v>
      </c>
      <c r="O308" s="25" t="s">
        <v>4814</v>
      </c>
      <c r="P308" s="25" t="s">
        <v>1466</v>
      </c>
      <c r="Q308" s="25" t="s">
        <v>3751</v>
      </c>
      <c r="R308" s="25" t="s">
        <v>1466</v>
      </c>
      <c r="S308" s="25" t="s">
        <v>3744</v>
      </c>
      <c r="T308" s="25" t="s">
        <v>1460</v>
      </c>
      <c r="V308" s="25" t="s">
        <v>1233</v>
      </c>
      <c r="X308" s="25" t="s">
        <v>1233</v>
      </c>
      <c r="Z308" s="25" t="s">
        <v>1466</v>
      </c>
    </row>
    <row r="309" spans="1:26">
      <c r="A309" s="25" t="s">
        <v>1669</v>
      </c>
      <c r="B309" s="25" t="s">
        <v>527</v>
      </c>
      <c r="C309" s="25" t="s">
        <v>1666</v>
      </c>
      <c r="D309" s="25" t="s">
        <v>1337</v>
      </c>
      <c r="E309" s="25" t="s">
        <v>1667</v>
      </c>
      <c r="G309" s="25" t="s">
        <v>1668</v>
      </c>
      <c r="H309" s="25">
        <v>30</v>
      </c>
      <c r="I309" s="25" t="s">
        <v>4815</v>
      </c>
      <c r="J309" s="25" t="str">
        <f>VLOOKUP(I309,'records (3)'!$A:$C,2,FALSE)</f>
        <v>003IV000010tJaCYAU</v>
      </c>
      <c r="K309" s="25" t="s">
        <v>1840</v>
      </c>
      <c r="L309" s="25" t="s">
        <v>1671</v>
      </c>
      <c r="M309" s="25" t="s">
        <v>4815</v>
      </c>
      <c r="N309" s="25" t="str">
        <f>VLOOKUP($M309,'records (3)'!$A:$C,2,FALSE)</f>
        <v>003IV000010tJaCYAU</v>
      </c>
      <c r="O309" s="25" t="s">
        <v>1840</v>
      </c>
      <c r="P309" s="25" t="s">
        <v>1671</v>
      </c>
      <c r="Q309" s="25" t="s">
        <v>3751</v>
      </c>
      <c r="R309" s="25" t="s">
        <v>1671</v>
      </c>
      <c r="S309" s="25" t="s">
        <v>3744</v>
      </c>
      <c r="T309" s="25" t="s">
        <v>1665</v>
      </c>
      <c r="V309" s="25" t="s">
        <v>1233</v>
      </c>
      <c r="X309" s="25" t="s">
        <v>1233</v>
      </c>
      <c r="Z309" s="25" t="s">
        <v>1671</v>
      </c>
    </row>
    <row r="310" spans="1:26">
      <c r="A310" s="25" t="s">
        <v>1313</v>
      </c>
      <c r="B310" s="25" t="s">
        <v>1065</v>
      </c>
      <c r="C310" s="25" t="s">
        <v>2859</v>
      </c>
      <c r="D310" s="25" t="s">
        <v>1337</v>
      </c>
      <c r="E310" s="25" t="s">
        <v>2860</v>
      </c>
      <c r="G310" s="25" t="s">
        <v>2861</v>
      </c>
      <c r="H310" s="25">
        <v>30</v>
      </c>
      <c r="I310" s="25" t="s">
        <v>4816</v>
      </c>
      <c r="J310" s="25" t="str">
        <f>VLOOKUP(I310,'records (3)'!$A:$C,2,FALSE)</f>
        <v>003IV000010tJaeYAE</v>
      </c>
      <c r="K310" s="25" t="s">
        <v>4817</v>
      </c>
      <c r="L310" s="25" t="s">
        <v>4818</v>
      </c>
      <c r="M310" s="25" t="s">
        <v>4816</v>
      </c>
      <c r="N310" s="25" t="str">
        <f>VLOOKUP($M310,'records (3)'!$A:$C,2,FALSE)</f>
        <v>003IV000010tJaeYAE</v>
      </c>
      <c r="O310" s="25" t="s">
        <v>4817</v>
      </c>
      <c r="P310" s="25" t="s">
        <v>4818</v>
      </c>
      <c r="Q310" s="25" t="s">
        <v>3751</v>
      </c>
      <c r="R310" s="25" t="s">
        <v>2863</v>
      </c>
      <c r="S310" s="25" t="s">
        <v>3744</v>
      </c>
      <c r="T310" s="25" t="s">
        <v>2858</v>
      </c>
      <c r="V310" s="25" t="s">
        <v>1233</v>
      </c>
      <c r="X310" s="25" t="s">
        <v>1233</v>
      </c>
      <c r="Z310" s="25" t="s">
        <v>2863</v>
      </c>
    </row>
    <row r="311" spans="1:26">
      <c r="A311" s="25" t="s">
        <v>3682</v>
      </c>
      <c r="B311" s="25" t="s">
        <v>1164</v>
      </c>
      <c r="D311" s="25" t="s">
        <v>1337</v>
      </c>
      <c r="H311" s="25">
        <v>30</v>
      </c>
      <c r="J311" s="25" t="e">
        <f>VLOOKUP(I311,'records (3)'!$A:$C,2,FALSE)</f>
        <v>#N/A</v>
      </c>
      <c r="N311" s="25" t="e">
        <f>VLOOKUP($M311,'records (3)'!$A:$C,2,FALSE)</f>
        <v>#N/A</v>
      </c>
      <c r="Q311" s="25" t="s">
        <v>3751</v>
      </c>
      <c r="S311" s="25" t="s">
        <v>3744</v>
      </c>
    </row>
    <row r="312" spans="1:26">
      <c r="A312" s="25" t="s">
        <v>1314</v>
      </c>
      <c r="B312" s="25" t="s">
        <v>1099</v>
      </c>
      <c r="C312" s="25" t="s">
        <v>1511</v>
      </c>
      <c r="D312" s="25" t="s">
        <v>1337</v>
      </c>
      <c r="E312" s="25" t="s">
        <v>1513</v>
      </c>
      <c r="G312" s="25" t="s">
        <v>1514</v>
      </c>
      <c r="H312" s="25">
        <v>60</v>
      </c>
      <c r="I312" s="25" t="s">
        <v>4819</v>
      </c>
      <c r="J312" s="25" t="str">
        <f>VLOOKUP(I312,'records (3)'!$A:$C,2,FALSE)</f>
        <v>003IV000010tSrXYAU</v>
      </c>
      <c r="K312" s="25" t="s">
        <v>1832</v>
      </c>
      <c r="L312" s="25" t="s">
        <v>1236</v>
      </c>
      <c r="M312" s="25" t="s">
        <v>4819</v>
      </c>
      <c r="N312" s="25" t="str">
        <f>VLOOKUP($M312,'records (3)'!$A:$C,2,FALSE)</f>
        <v>003IV000010tSrXYAU</v>
      </c>
      <c r="O312" s="25" t="s">
        <v>1832</v>
      </c>
      <c r="P312" s="25" t="s">
        <v>1236</v>
      </c>
      <c r="Q312" s="25" t="s">
        <v>3751</v>
      </c>
      <c r="R312" s="25" t="s">
        <v>1236</v>
      </c>
      <c r="S312" s="25" t="s">
        <v>3744</v>
      </c>
      <c r="T312" s="25" t="s">
        <v>1510</v>
      </c>
      <c r="U312" s="25" t="s">
        <v>1512</v>
      </c>
      <c r="V312" s="25" t="s">
        <v>1233</v>
      </c>
      <c r="X312" s="25" t="s">
        <v>1233</v>
      </c>
    </row>
    <row r="313" spans="1:26">
      <c r="A313" s="25" t="s">
        <v>3692</v>
      </c>
      <c r="B313" s="25" t="s">
        <v>1167</v>
      </c>
      <c r="D313" s="25" t="s">
        <v>1337</v>
      </c>
      <c r="H313" s="25">
        <v>30</v>
      </c>
      <c r="J313" s="25" t="e">
        <f>VLOOKUP(I313,'records (3)'!$A:$C,2,FALSE)</f>
        <v>#N/A</v>
      </c>
      <c r="N313" s="25" t="e">
        <f>VLOOKUP($M313,'records (3)'!$A:$C,2,FALSE)</f>
        <v>#N/A</v>
      </c>
      <c r="S313" s="25" t="s">
        <v>3744</v>
      </c>
    </row>
    <row r="314" spans="1:26">
      <c r="A314" s="25" t="s">
        <v>1947</v>
      </c>
      <c r="B314" s="25" t="s">
        <v>34</v>
      </c>
      <c r="C314" s="25" t="s">
        <v>1944</v>
      </c>
      <c r="D314" s="25" t="s">
        <v>1337</v>
      </c>
      <c r="E314" s="25" t="s">
        <v>1945</v>
      </c>
      <c r="G314" s="25" t="s">
        <v>1946</v>
      </c>
      <c r="H314" s="25">
        <v>30</v>
      </c>
      <c r="I314" s="25" t="s">
        <v>4820</v>
      </c>
      <c r="J314" s="25" t="str">
        <f>VLOOKUP(I314,'records (3)'!$A:$C,2,FALSE)</f>
        <v>003IV000010t9wmYAA</v>
      </c>
      <c r="K314" s="25" t="s">
        <v>4821</v>
      </c>
      <c r="L314" s="25" t="s">
        <v>4822</v>
      </c>
      <c r="M314" s="25" t="s">
        <v>4820</v>
      </c>
      <c r="N314" s="25" t="str">
        <f>VLOOKUP($M314,'records (3)'!$A:$C,2,FALSE)</f>
        <v>003IV000010t9wmYAA</v>
      </c>
      <c r="O314" s="25" t="s">
        <v>4821</v>
      </c>
      <c r="P314" s="25" t="s">
        <v>4822</v>
      </c>
      <c r="R314" s="25" t="s">
        <v>1949</v>
      </c>
      <c r="S314" s="25" t="s">
        <v>3744</v>
      </c>
      <c r="T314" s="25" t="s">
        <v>1943</v>
      </c>
      <c r="V314" s="25" t="s">
        <v>1233</v>
      </c>
      <c r="X314" s="25" t="s">
        <v>1233</v>
      </c>
      <c r="Z314" s="25" t="s">
        <v>1949</v>
      </c>
    </row>
    <row r="315" spans="1:26">
      <c r="A315" s="25" t="s">
        <v>2979</v>
      </c>
      <c r="B315" s="25" t="s">
        <v>1116</v>
      </c>
      <c r="C315" s="25" t="s">
        <v>1967</v>
      </c>
      <c r="D315" s="25" t="s">
        <v>1337</v>
      </c>
      <c r="E315" s="25" t="s">
        <v>1968</v>
      </c>
      <c r="G315" s="25" t="s">
        <v>2978</v>
      </c>
      <c r="H315" s="25">
        <v>30</v>
      </c>
      <c r="I315" s="25" t="s">
        <v>4823</v>
      </c>
      <c r="J315" s="25" t="str">
        <f>VLOOKUP(I315,'records (3)'!$A:$C,2,FALSE)</f>
        <v>003IV000010t9x4YAA</v>
      </c>
      <c r="K315" s="25" t="s">
        <v>4824</v>
      </c>
      <c r="L315" s="25" t="s">
        <v>2981</v>
      </c>
      <c r="M315" s="25" t="s">
        <v>4823</v>
      </c>
      <c r="N315" s="25" t="str">
        <f>VLOOKUP($M315,'records (3)'!$A:$C,2,FALSE)</f>
        <v>003IV000010t9x4YAA</v>
      </c>
      <c r="O315" s="25" t="s">
        <v>4824</v>
      </c>
      <c r="P315" s="25" t="s">
        <v>2981</v>
      </c>
      <c r="Q315" s="25" t="s">
        <v>3751</v>
      </c>
      <c r="R315" s="25" t="s">
        <v>2981</v>
      </c>
      <c r="S315" s="25" t="s">
        <v>3744</v>
      </c>
      <c r="T315" s="25" t="s">
        <v>2977</v>
      </c>
      <c r="V315" s="25" t="s">
        <v>1233</v>
      </c>
      <c r="X315" s="25" t="s">
        <v>1233</v>
      </c>
      <c r="Z315" s="25" t="s">
        <v>2981</v>
      </c>
    </row>
    <row r="316" spans="1:26">
      <c r="A316" s="25" t="s">
        <v>1315</v>
      </c>
      <c r="B316" s="25" t="s">
        <v>1155</v>
      </c>
      <c r="C316" s="25" t="s">
        <v>1454</v>
      </c>
      <c r="D316" s="25" t="s">
        <v>1337</v>
      </c>
      <c r="E316" s="25" t="s">
        <v>1455</v>
      </c>
      <c r="G316" s="25" t="s">
        <v>1456</v>
      </c>
      <c r="H316" s="25">
        <v>30</v>
      </c>
      <c r="I316" s="25" t="s">
        <v>4825</v>
      </c>
      <c r="J316" s="25" t="str">
        <f>VLOOKUP(I316,'records (3)'!$A:$C,2,FALSE)</f>
        <v>003IV000010t9wwYAA</v>
      </c>
      <c r="K316" s="25" t="s">
        <v>4826</v>
      </c>
      <c r="L316" s="25" t="s">
        <v>4827</v>
      </c>
      <c r="M316" s="25" t="s">
        <v>4825</v>
      </c>
      <c r="N316" s="25" t="str">
        <f>VLOOKUP($M316,'records (3)'!$A:$C,2,FALSE)</f>
        <v>003IV000010t9wwYAA</v>
      </c>
      <c r="O316" s="25" t="s">
        <v>4826</v>
      </c>
      <c r="P316" s="25" t="s">
        <v>4827</v>
      </c>
      <c r="Q316" s="25" t="s">
        <v>3751</v>
      </c>
      <c r="R316" s="25" t="s">
        <v>1458</v>
      </c>
      <c r="S316" s="25" t="s">
        <v>3744</v>
      </c>
      <c r="T316" s="25" t="s">
        <v>1453</v>
      </c>
      <c r="V316" s="25" t="s">
        <v>1233</v>
      </c>
      <c r="X316" s="25" t="s">
        <v>1233</v>
      </c>
      <c r="Z316" s="25" t="s">
        <v>1458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9B60-8316-4394-A8CE-C726E6FE082E}">
  <dimension ref="A1:C376"/>
  <sheetViews>
    <sheetView topLeftCell="A148" workbookViewId="0"/>
  </sheetViews>
  <sheetFormatPr defaultColWidth="11.5703125" defaultRowHeight="15.6"/>
  <cols>
    <col min="1" max="16384" width="11.5703125" style="25"/>
  </cols>
  <sheetData>
    <row r="1" spans="1:3">
      <c r="A1" s="25" t="s">
        <v>1323</v>
      </c>
      <c r="B1" s="25" t="s">
        <v>1260</v>
      </c>
      <c r="C1" s="25" t="s">
        <v>1261</v>
      </c>
    </row>
    <row r="2" spans="1:3">
      <c r="A2" s="25" t="s">
        <v>4227</v>
      </c>
      <c r="B2" s="25" t="s">
        <v>4828</v>
      </c>
      <c r="C2" s="25" t="s">
        <v>4228</v>
      </c>
    </row>
    <row r="3" spans="1:3">
      <c r="A3" s="25" t="s">
        <v>4694</v>
      </c>
      <c r="B3" s="25" t="s">
        <v>4829</v>
      </c>
      <c r="C3" s="25" t="s">
        <v>4695</v>
      </c>
    </row>
    <row r="4" spans="1:3">
      <c r="A4" s="25" t="s">
        <v>4041</v>
      </c>
      <c r="B4" s="25" t="s">
        <v>4830</v>
      </c>
      <c r="C4" s="25" t="s">
        <v>4042</v>
      </c>
    </row>
    <row r="5" spans="1:3">
      <c r="A5" s="25" t="s">
        <v>3740</v>
      </c>
      <c r="B5" s="25" t="s">
        <v>4831</v>
      </c>
      <c r="C5" s="25" t="s">
        <v>3741</v>
      </c>
    </row>
    <row r="6" spans="1:3">
      <c r="A6" s="25" t="s">
        <v>4547</v>
      </c>
      <c r="B6" s="25" t="s">
        <v>4832</v>
      </c>
      <c r="C6" s="25" t="s">
        <v>4548</v>
      </c>
    </row>
    <row r="7" spans="1:3">
      <c r="A7" s="25" t="s">
        <v>4709</v>
      </c>
      <c r="B7" s="25" t="s">
        <v>4833</v>
      </c>
      <c r="C7" s="25" t="s">
        <v>4710</v>
      </c>
    </row>
    <row r="8" spans="1:3">
      <c r="A8" s="25" t="s">
        <v>4637</v>
      </c>
      <c r="B8" s="25" t="s">
        <v>4834</v>
      </c>
      <c r="C8" s="25" t="s">
        <v>4638</v>
      </c>
    </row>
    <row r="9" spans="1:3">
      <c r="A9" s="25" t="s">
        <v>4170</v>
      </c>
      <c r="B9" s="25" t="s">
        <v>4835</v>
      </c>
      <c r="C9" s="25" t="s">
        <v>4171</v>
      </c>
    </row>
    <row r="10" spans="1:3">
      <c r="A10" s="25" t="s">
        <v>4655</v>
      </c>
      <c r="B10" s="25" t="s">
        <v>4836</v>
      </c>
      <c r="C10" s="25" t="s">
        <v>4656</v>
      </c>
    </row>
    <row r="11" spans="1:3">
      <c r="A11" s="25" t="s">
        <v>4796</v>
      </c>
      <c r="B11" s="25" t="s">
        <v>4837</v>
      </c>
      <c r="C11" s="25" t="s">
        <v>4797</v>
      </c>
    </row>
    <row r="12" spans="1:3">
      <c r="A12" s="25" t="s">
        <v>4188</v>
      </c>
      <c r="B12" s="25" t="s">
        <v>4838</v>
      </c>
      <c r="C12" s="25" t="s">
        <v>4189</v>
      </c>
    </row>
    <row r="13" spans="1:3">
      <c r="A13" s="25" t="s">
        <v>3768</v>
      </c>
      <c r="B13" s="25" t="s">
        <v>4839</v>
      </c>
      <c r="C13" s="25" t="s">
        <v>3769</v>
      </c>
    </row>
    <row r="14" spans="1:3">
      <c r="A14" s="25" t="s">
        <v>3749</v>
      </c>
      <c r="B14" s="25" t="s">
        <v>4840</v>
      </c>
      <c r="C14" s="25" t="s">
        <v>3750</v>
      </c>
    </row>
    <row r="15" spans="1:3">
      <c r="A15" s="25" t="s">
        <v>3746</v>
      </c>
      <c r="B15" s="25" t="s">
        <v>4841</v>
      </c>
      <c r="C15" s="25" t="s">
        <v>3747</v>
      </c>
    </row>
    <row r="16" spans="1:3">
      <c r="A16" s="25" t="s">
        <v>3785</v>
      </c>
      <c r="B16" s="25" t="s">
        <v>4842</v>
      </c>
      <c r="C16" s="25" t="s">
        <v>3786</v>
      </c>
    </row>
    <row r="17" spans="1:3">
      <c r="A17" s="25" t="s">
        <v>3771</v>
      </c>
      <c r="B17" s="25" t="s">
        <v>4843</v>
      </c>
      <c r="C17" s="25" t="s">
        <v>3772</v>
      </c>
    </row>
    <row r="18" spans="1:3">
      <c r="A18" s="25" t="s">
        <v>3789</v>
      </c>
      <c r="B18" s="25" t="s">
        <v>4844</v>
      </c>
      <c r="C18" s="25" t="s">
        <v>3790</v>
      </c>
    </row>
    <row r="19" spans="1:3">
      <c r="A19" s="25" t="s">
        <v>3796</v>
      </c>
      <c r="B19" s="25" t="s">
        <v>4845</v>
      </c>
      <c r="C19" s="25" t="s">
        <v>3797</v>
      </c>
    </row>
    <row r="20" spans="1:3">
      <c r="A20" s="25" t="s">
        <v>3802</v>
      </c>
      <c r="B20" s="25" t="s">
        <v>4846</v>
      </c>
      <c r="C20" s="25" t="s">
        <v>3803</v>
      </c>
    </row>
    <row r="21" spans="1:3">
      <c r="A21" s="25" t="s">
        <v>3809</v>
      </c>
      <c r="B21" s="25" t="s">
        <v>4847</v>
      </c>
      <c r="C21" s="25" t="s">
        <v>3810</v>
      </c>
    </row>
    <row r="22" spans="1:3">
      <c r="A22" s="25" t="s">
        <v>3792</v>
      </c>
      <c r="B22" s="25" t="s">
        <v>4848</v>
      </c>
      <c r="C22" s="25" t="s">
        <v>3793</v>
      </c>
    </row>
    <row r="23" spans="1:3">
      <c r="A23" s="25" t="s">
        <v>3811</v>
      </c>
      <c r="B23" s="25" t="s">
        <v>4849</v>
      </c>
      <c r="C23" s="25" t="s">
        <v>3812</v>
      </c>
    </row>
    <row r="24" spans="1:3">
      <c r="A24" s="25" t="s">
        <v>3822</v>
      </c>
      <c r="B24" s="25" t="s">
        <v>4850</v>
      </c>
      <c r="C24" s="25" t="s">
        <v>3823</v>
      </c>
    </row>
    <row r="25" spans="1:3">
      <c r="A25" s="25" t="s">
        <v>3835</v>
      </c>
      <c r="B25" s="25" t="s">
        <v>4851</v>
      </c>
      <c r="C25" s="25" t="s">
        <v>3836</v>
      </c>
    </row>
    <row r="26" spans="1:3">
      <c r="A26" s="25" t="s">
        <v>3844</v>
      </c>
      <c r="B26" s="25" t="s">
        <v>4852</v>
      </c>
      <c r="C26" s="25" t="s">
        <v>3845</v>
      </c>
    </row>
    <row r="27" spans="1:3">
      <c r="A27" s="25" t="s">
        <v>3951</v>
      </c>
      <c r="B27" s="25" t="s">
        <v>4853</v>
      </c>
      <c r="C27" s="25" t="s">
        <v>3952</v>
      </c>
    </row>
    <row r="28" spans="1:3">
      <c r="A28" s="25" t="s">
        <v>3799</v>
      </c>
      <c r="B28" s="25" t="s">
        <v>4854</v>
      </c>
      <c r="C28" s="25" t="s">
        <v>3800</v>
      </c>
    </row>
    <row r="29" spans="1:3">
      <c r="A29" s="25" t="s">
        <v>3852</v>
      </c>
      <c r="B29" s="25" t="s">
        <v>4855</v>
      </c>
      <c r="C29" s="25" t="s">
        <v>3853</v>
      </c>
    </row>
    <row r="30" spans="1:3">
      <c r="A30" s="25" t="s">
        <v>3817</v>
      </c>
      <c r="B30" s="25" t="s">
        <v>4856</v>
      </c>
      <c r="C30" s="25" t="s">
        <v>3818</v>
      </c>
    </row>
    <row r="31" spans="1:3">
      <c r="A31" s="25" t="s">
        <v>3869</v>
      </c>
      <c r="B31" s="25" t="s">
        <v>4857</v>
      </c>
      <c r="C31" s="25" t="s">
        <v>2130</v>
      </c>
    </row>
    <row r="32" spans="1:3">
      <c r="A32" s="25" t="s">
        <v>3874</v>
      </c>
      <c r="B32" s="25" t="s">
        <v>4858</v>
      </c>
      <c r="C32" s="25" t="s">
        <v>3875</v>
      </c>
    </row>
    <row r="33" spans="1:3">
      <c r="A33" s="25" t="s">
        <v>3833</v>
      </c>
      <c r="B33" s="25" t="s">
        <v>4859</v>
      </c>
      <c r="C33" s="25" t="s">
        <v>3834</v>
      </c>
    </row>
    <row r="34" spans="1:3">
      <c r="A34" s="25" t="s">
        <v>3882</v>
      </c>
      <c r="B34" s="25" t="s">
        <v>4860</v>
      </c>
      <c r="C34" s="25" t="s">
        <v>3883</v>
      </c>
    </row>
    <row r="35" spans="1:3">
      <c r="A35" s="25" t="s">
        <v>3892</v>
      </c>
      <c r="B35" s="25" t="s">
        <v>4861</v>
      </c>
      <c r="C35" s="25" t="s">
        <v>3893</v>
      </c>
    </row>
    <row r="36" spans="1:3">
      <c r="A36" s="25" t="s">
        <v>3819</v>
      </c>
      <c r="B36" s="25" t="s">
        <v>4862</v>
      </c>
      <c r="C36" s="25" t="s">
        <v>3820</v>
      </c>
    </row>
    <row r="37" spans="1:3">
      <c r="A37" s="25" t="s">
        <v>3766</v>
      </c>
      <c r="B37" s="25" t="s">
        <v>4863</v>
      </c>
      <c r="C37" s="25" t="s">
        <v>3767</v>
      </c>
    </row>
    <row r="38" spans="1:3">
      <c r="A38" s="25" t="s">
        <v>3841</v>
      </c>
      <c r="B38" s="25" t="s">
        <v>4864</v>
      </c>
      <c r="C38" s="25" t="s">
        <v>3842</v>
      </c>
    </row>
    <row r="39" spans="1:3">
      <c r="A39" s="25" t="s">
        <v>3897</v>
      </c>
      <c r="B39" s="25" t="s">
        <v>4865</v>
      </c>
      <c r="C39" s="25" t="s">
        <v>3898</v>
      </c>
    </row>
    <row r="40" spans="1:3">
      <c r="A40" s="25" t="s">
        <v>3915</v>
      </c>
      <c r="B40" s="25" t="s">
        <v>4866</v>
      </c>
      <c r="C40" s="25" t="s">
        <v>3916</v>
      </c>
    </row>
    <row r="41" spans="1:3">
      <c r="A41" s="25" t="s">
        <v>3912</v>
      </c>
      <c r="B41" s="25" t="s">
        <v>4867</v>
      </c>
      <c r="C41" s="25" t="s">
        <v>3913</v>
      </c>
    </row>
    <row r="42" spans="1:3">
      <c r="A42" s="25" t="s">
        <v>3866</v>
      </c>
      <c r="B42" s="25" t="s">
        <v>4868</v>
      </c>
      <c r="C42" s="25" t="s">
        <v>3867</v>
      </c>
    </row>
    <row r="43" spans="1:3">
      <c r="A43" s="25" t="s">
        <v>3923</v>
      </c>
      <c r="B43" s="25" t="s">
        <v>4869</v>
      </c>
      <c r="C43" s="25" t="s">
        <v>3924</v>
      </c>
    </row>
    <row r="44" spans="1:3">
      <c r="A44" s="25" t="s">
        <v>4056</v>
      </c>
      <c r="B44" s="25" t="s">
        <v>4870</v>
      </c>
      <c r="C44" s="25" t="s">
        <v>4057</v>
      </c>
    </row>
    <row r="45" spans="1:3">
      <c r="A45" s="25" t="s">
        <v>3970</v>
      </c>
      <c r="B45" s="25" t="s">
        <v>4871</v>
      </c>
      <c r="C45" s="25" t="s">
        <v>3971</v>
      </c>
    </row>
    <row r="46" spans="1:3">
      <c r="A46" s="25" t="s">
        <v>3849</v>
      </c>
      <c r="B46" s="25" t="s">
        <v>4872</v>
      </c>
      <c r="C46" s="25" t="s">
        <v>3850</v>
      </c>
    </row>
    <row r="47" spans="1:3">
      <c r="A47" s="25" t="s">
        <v>3979</v>
      </c>
      <c r="B47" s="25" t="s">
        <v>4873</v>
      </c>
      <c r="C47" s="25" t="s">
        <v>3980</v>
      </c>
    </row>
    <row r="48" spans="1:3">
      <c r="A48" s="25" t="s">
        <v>4073</v>
      </c>
      <c r="B48" s="25" t="s">
        <v>4874</v>
      </c>
      <c r="C48" s="25" t="s">
        <v>4074</v>
      </c>
    </row>
    <row r="49" spans="1:3">
      <c r="A49" s="25" t="s">
        <v>3984</v>
      </c>
      <c r="B49" s="25" t="s">
        <v>4875</v>
      </c>
      <c r="C49" s="25" t="s">
        <v>3985</v>
      </c>
    </row>
    <row r="50" spans="1:3">
      <c r="A50" s="25" t="s">
        <v>3824</v>
      </c>
      <c r="B50" s="25" t="s">
        <v>4876</v>
      </c>
      <c r="C50" s="25" t="s">
        <v>3825</v>
      </c>
    </row>
    <row r="51" spans="1:3">
      <c r="A51" s="25" t="s">
        <v>3895</v>
      </c>
      <c r="B51" s="25" t="s">
        <v>4877</v>
      </c>
      <c r="C51" s="25" t="s">
        <v>3896</v>
      </c>
    </row>
    <row r="52" spans="1:3">
      <c r="A52" s="25" t="s">
        <v>3954</v>
      </c>
      <c r="B52" s="25" t="s">
        <v>4878</v>
      </c>
      <c r="C52" s="25" t="s">
        <v>3955</v>
      </c>
    </row>
    <row r="53" spans="1:3">
      <c r="A53" s="25" t="s">
        <v>3877</v>
      </c>
      <c r="B53" s="25" t="s">
        <v>4879</v>
      </c>
      <c r="C53" s="25" t="s">
        <v>3878</v>
      </c>
    </row>
    <row r="54" spans="1:3">
      <c r="A54" s="25" t="s">
        <v>3775</v>
      </c>
      <c r="B54" s="25" t="s">
        <v>4880</v>
      </c>
      <c r="C54" s="25" t="s">
        <v>3776</v>
      </c>
    </row>
    <row r="55" spans="1:3">
      <c r="A55" s="25" t="s">
        <v>3900</v>
      </c>
      <c r="B55" s="25" t="s">
        <v>4881</v>
      </c>
      <c r="C55" s="25" t="s">
        <v>3901</v>
      </c>
    </row>
    <row r="56" spans="1:3">
      <c r="A56" s="25" t="s">
        <v>3905</v>
      </c>
      <c r="B56" s="25" t="s">
        <v>4882</v>
      </c>
      <c r="C56" s="25" t="s">
        <v>3906</v>
      </c>
    </row>
    <row r="57" spans="1:3">
      <c r="A57" s="25" t="s">
        <v>3838</v>
      </c>
      <c r="B57" s="25" t="s">
        <v>4883</v>
      </c>
      <c r="C57" s="25" t="s">
        <v>3839</v>
      </c>
    </row>
    <row r="58" spans="1:3">
      <c r="A58" s="25" t="s">
        <v>3806</v>
      </c>
      <c r="B58" s="25" t="s">
        <v>4884</v>
      </c>
      <c r="C58" s="25" t="s">
        <v>3807</v>
      </c>
    </row>
    <row r="59" spans="1:3">
      <c r="A59" s="25" t="s">
        <v>3936</v>
      </c>
      <c r="B59" s="25" t="s">
        <v>4885</v>
      </c>
      <c r="C59" s="25" t="s">
        <v>3937</v>
      </c>
    </row>
    <row r="60" spans="1:3">
      <c r="A60" s="25" t="s">
        <v>3939</v>
      </c>
      <c r="B60" s="25" t="s">
        <v>4886</v>
      </c>
      <c r="C60" s="25" t="s">
        <v>3940</v>
      </c>
    </row>
    <row r="61" spans="1:3">
      <c r="A61" s="25" t="s">
        <v>3778</v>
      </c>
      <c r="B61" s="25" t="s">
        <v>4887</v>
      </c>
      <c r="C61" s="25" t="s">
        <v>3779</v>
      </c>
    </row>
    <row r="62" spans="1:3">
      <c r="A62" s="25" t="s">
        <v>3997</v>
      </c>
      <c r="B62" s="25" t="s">
        <v>4888</v>
      </c>
      <c r="C62" s="25" t="s">
        <v>3998</v>
      </c>
    </row>
    <row r="63" spans="1:3">
      <c r="A63" s="25" t="s">
        <v>3859</v>
      </c>
      <c r="B63" s="25" t="s">
        <v>4889</v>
      </c>
      <c r="C63" s="25" t="s">
        <v>3860</v>
      </c>
    </row>
    <row r="64" spans="1:3">
      <c r="A64" s="25" t="s">
        <v>4009</v>
      </c>
      <c r="B64" s="25" t="s">
        <v>4890</v>
      </c>
      <c r="C64" s="25" t="s">
        <v>4010</v>
      </c>
    </row>
    <row r="65" spans="1:3">
      <c r="A65" s="25" t="s">
        <v>3918</v>
      </c>
      <c r="B65" s="25" t="s">
        <v>4891</v>
      </c>
      <c r="C65" s="25" t="s">
        <v>3919</v>
      </c>
    </row>
    <row r="66" spans="1:3">
      <c r="A66" s="25" t="s">
        <v>3856</v>
      </c>
      <c r="B66" s="25" t="s">
        <v>4892</v>
      </c>
      <c r="C66" s="25" t="s">
        <v>3857</v>
      </c>
    </row>
    <row r="67" spans="1:3">
      <c r="A67" s="25" t="s">
        <v>3814</v>
      </c>
      <c r="B67" s="25" t="s">
        <v>4893</v>
      </c>
      <c r="C67" s="25" t="s">
        <v>3815</v>
      </c>
    </row>
    <row r="68" spans="1:3">
      <c r="A68" s="25" t="s">
        <v>3847</v>
      </c>
      <c r="B68" s="25" t="s">
        <v>4894</v>
      </c>
      <c r="C68" s="25" t="s">
        <v>3848</v>
      </c>
    </row>
    <row r="69" spans="1:3">
      <c r="A69" s="25" t="s">
        <v>4017</v>
      </c>
      <c r="B69" s="25" t="s">
        <v>4895</v>
      </c>
      <c r="C69" s="25" t="s">
        <v>4018</v>
      </c>
    </row>
    <row r="70" spans="1:3">
      <c r="A70" s="25" t="s">
        <v>3773</v>
      </c>
      <c r="B70" s="25" t="s">
        <v>4896</v>
      </c>
      <c r="C70" s="25" t="s">
        <v>3774</v>
      </c>
    </row>
    <row r="71" spans="1:3">
      <c r="A71" s="25" t="s">
        <v>3889</v>
      </c>
      <c r="B71" s="25" t="s">
        <v>4897</v>
      </c>
      <c r="C71" s="25" t="s">
        <v>3890</v>
      </c>
    </row>
    <row r="72" spans="1:3">
      <c r="A72" s="25" t="s">
        <v>3930</v>
      </c>
      <c r="B72" s="25" t="s">
        <v>4898</v>
      </c>
      <c r="C72" s="25" t="s">
        <v>3931</v>
      </c>
    </row>
    <row r="73" spans="1:3">
      <c r="A73" s="25" t="s">
        <v>3994</v>
      </c>
      <c r="B73" s="25" t="s">
        <v>4899</v>
      </c>
      <c r="C73" s="25" t="s">
        <v>3995</v>
      </c>
    </row>
    <row r="74" spans="1:3">
      <c r="A74" s="25" t="s">
        <v>3862</v>
      </c>
      <c r="B74" s="25" t="s">
        <v>4900</v>
      </c>
      <c r="C74" s="25" t="s">
        <v>3863</v>
      </c>
    </row>
    <row r="75" spans="1:3">
      <c r="A75" s="25" t="s">
        <v>3920</v>
      </c>
      <c r="B75" s="25" t="s">
        <v>4901</v>
      </c>
      <c r="C75" s="25" t="s">
        <v>3921</v>
      </c>
    </row>
    <row r="76" spans="1:3">
      <c r="A76" s="25" t="s">
        <v>3965</v>
      </c>
      <c r="B76" s="25" t="s">
        <v>4902</v>
      </c>
      <c r="C76" s="25" t="s">
        <v>3966</v>
      </c>
    </row>
    <row r="77" spans="1:3">
      <c r="A77" s="25" t="s">
        <v>3962</v>
      </c>
      <c r="B77" s="25" t="s">
        <v>4903</v>
      </c>
      <c r="C77" s="25" t="s">
        <v>3963</v>
      </c>
    </row>
    <row r="78" spans="1:3">
      <c r="A78" s="25" t="s">
        <v>4000</v>
      </c>
      <c r="B78" s="25" t="s">
        <v>4904</v>
      </c>
      <c r="C78" s="25" t="s">
        <v>4001</v>
      </c>
    </row>
    <row r="79" spans="1:3">
      <c r="A79" s="25" t="s">
        <v>3903</v>
      </c>
      <c r="B79" s="25" t="s">
        <v>4905</v>
      </c>
      <c r="C79" s="25" t="s">
        <v>3904</v>
      </c>
    </row>
    <row r="80" spans="1:3">
      <c r="A80" s="25" t="s">
        <v>4005</v>
      </c>
      <c r="B80" s="25" t="s">
        <v>4906</v>
      </c>
      <c r="C80" s="25" t="s">
        <v>4006</v>
      </c>
    </row>
    <row r="81" spans="1:3">
      <c r="A81" s="25" t="s">
        <v>3910</v>
      </c>
      <c r="B81" s="25" t="s">
        <v>4907</v>
      </c>
      <c r="C81" s="25" t="s">
        <v>3911</v>
      </c>
    </row>
    <row r="82" spans="1:3">
      <c r="A82" s="25" t="s">
        <v>3907</v>
      </c>
      <c r="B82" s="25" t="s">
        <v>4908</v>
      </c>
      <c r="C82" s="25" t="s">
        <v>3908</v>
      </c>
    </row>
    <row r="83" spans="1:3">
      <c r="A83" s="25" t="s">
        <v>3827</v>
      </c>
      <c r="B83" s="25" t="s">
        <v>4909</v>
      </c>
      <c r="C83" s="25" t="s">
        <v>3828</v>
      </c>
    </row>
    <row r="84" spans="1:3">
      <c r="A84" s="25" t="s">
        <v>3926</v>
      </c>
      <c r="B84" s="25" t="s">
        <v>4910</v>
      </c>
      <c r="C84" s="25" t="s">
        <v>3927</v>
      </c>
    </row>
    <row r="85" spans="1:3">
      <c r="A85" s="25" t="s">
        <v>4025</v>
      </c>
      <c r="B85" s="25" t="s">
        <v>4911</v>
      </c>
      <c r="C85" s="25" t="s">
        <v>4026</v>
      </c>
    </row>
    <row r="86" spans="1:3">
      <c r="A86" s="25" t="s">
        <v>4033</v>
      </c>
      <c r="B86" s="25" t="s">
        <v>4912</v>
      </c>
      <c r="C86" s="25" t="s">
        <v>4034</v>
      </c>
    </row>
    <row r="87" spans="1:3">
      <c r="A87" s="25" t="s">
        <v>4035</v>
      </c>
      <c r="B87" s="25" t="s">
        <v>4913</v>
      </c>
      <c r="C87" s="25" t="s">
        <v>4036</v>
      </c>
    </row>
    <row r="88" spans="1:3">
      <c r="A88" s="25" t="s">
        <v>4022</v>
      </c>
      <c r="B88" s="25" t="s">
        <v>4914</v>
      </c>
      <c r="C88" s="25" t="s">
        <v>4023</v>
      </c>
    </row>
    <row r="89" spans="1:3">
      <c r="A89" s="25" t="s">
        <v>4038</v>
      </c>
      <c r="B89" s="25" t="s">
        <v>4915</v>
      </c>
      <c r="C89" s="25" t="s">
        <v>4039</v>
      </c>
    </row>
    <row r="90" spans="1:3">
      <c r="A90" s="25" t="s">
        <v>4019</v>
      </c>
      <c r="B90" s="25" t="s">
        <v>4916</v>
      </c>
      <c r="C90" s="25" t="s">
        <v>4020</v>
      </c>
    </row>
    <row r="91" spans="1:3">
      <c r="A91" s="25" t="s">
        <v>3991</v>
      </c>
      <c r="B91" s="25" t="s">
        <v>4917</v>
      </c>
      <c r="C91" s="25" t="s">
        <v>3992</v>
      </c>
    </row>
    <row r="92" spans="1:3">
      <c r="A92" s="25" t="s">
        <v>3988</v>
      </c>
      <c r="B92" s="25" t="s">
        <v>4918</v>
      </c>
      <c r="C92" s="25" t="s">
        <v>3989</v>
      </c>
    </row>
    <row r="93" spans="1:3">
      <c r="A93" s="25" t="s">
        <v>4030</v>
      </c>
      <c r="B93" s="25" t="s">
        <v>4919</v>
      </c>
      <c r="C93" s="25" t="s">
        <v>4031</v>
      </c>
    </row>
    <row r="94" spans="1:3">
      <c r="A94" s="25" t="s">
        <v>4059</v>
      </c>
      <c r="B94" s="25" t="s">
        <v>4920</v>
      </c>
      <c r="C94" s="25" t="s">
        <v>4060</v>
      </c>
    </row>
    <row r="95" spans="1:3">
      <c r="A95" s="25" t="s">
        <v>4043</v>
      </c>
      <c r="B95" s="25" t="s">
        <v>4921</v>
      </c>
      <c r="C95" s="25" t="s">
        <v>4044</v>
      </c>
    </row>
    <row r="96" spans="1:3">
      <c r="A96" s="25" t="s">
        <v>4049</v>
      </c>
      <c r="B96" s="25" t="s">
        <v>4922</v>
      </c>
      <c r="C96" s="25" t="s">
        <v>4050</v>
      </c>
    </row>
    <row r="97" spans="1:3">
      <c r="A97" s="25" t="s">
        <v>4076</v>
      </c>
      <c r="B97" s="25" t="s">
        <v>4923</v>
      </c>
      <c r="C97" s="25" t="s">
        <v>4077</v>
      </c>
    </row>
    <row r="98" spans="1:3">
      <c r="A98" s="25" t="s">
        <v>4079</v>
      </c>
      <c r="B98" s="25" t="s">
        <v>4924</v>
      </c>
      <c r="C98" s="25" t="s">
        <v>4080</v>
      </c>
    </row>
    <row r="99" spans="1:3">
      <c r="A99" s="25" t="s">
        <v>4069</v>
      </c>
      <c r="B99" s="25" t="s">
        <v>4925</v>
      </c>
      <c r="C99" s="25" t="s">
        <v>4070</v>
      </c>
    </row>
    <row r="100" spans="1:3">
      <c r="A100" s="25" t="s">
        <v>4084</v>
      </c>
      <c r="B100" s="25" t="s">
        <v>4926</v>
      </c>
      <c r="C100" s="25" t="s">
        <v>4085</v>
      </c>
    </row>
    <row r="101" spans="1:3">
      <c r="A101" s="25" t="s">
        <v>4066</v>
      </c>
      <c r="B101" s="25" t="s">
        <v>4927</v>
      </c>
      <c r="C101" s="25" t="s">
        <v>4067</v>
      </c>
    </row>
    <row r="102" spans="1:3">
      <c r="A102" s="25" t="s">
        <v>3967</v>
      </c>
      <c r="B102" s="25" t="s">
        <v>4928</v>
      </c>
      <c r="C102" s="25" t="s">
        <v>3968</v>
      </c>
    </row>
    <row r="103" spans="1:3">
      <c r="A103" s="25" t="s">
        <v>4082</v>
      </c>
      <c r="B103" s="25" t="s">
        <v>4929</v>
      </c>
      <c r="C103" s="25" t="s">
        <v>4083</v>
      </c>
    </row>
    <row r="104" spans="1:3">
      <c r="A104" s="25" t="s">
        <v>4099</v>
      </c>
      <c r="B104" s="25" t="s">
        <v>4930</v>
      </c>
      <c r="C104" s="25" t="s">
        <v>4100</v>
      </c>
    </row>
    <row r="105" spans="1:3">
      <c r="A105" s="25" t="s">
        <v>4110</v>
      </c>
      <c r="B105" s="25" t="s">
        <v>4931</v>
      </c>
      <c r="C105" s="25" t="s">
        <v>4111</v>
      </c>
    </row>
    <row r="106" spans="1:3">
      <c r="A106" s="25" t="s">
        <v>4215</v>
      </c>
      <c r="B106" s="25" t="s">
        <v>4932</v>
      </c>
      <c r="C106" s="25" t="s">
        <v>4216</v>
      </c>
    </row>
    <row r="107" spans="1:3">
      <c r="A107" s="25" t="s">
        <v>4106</v>
      </c>
      <c r="B107" s="25" t="s">
        <v>4933</v>
      </c>
      <c r="C107" s="25" t="s">
        <v>4107</v>
      </c>
    </row>
    <row r="108" spans="1:3">
      <c r="A108" s="25" t="s">
        <v>4158</v>
      </c>
      <c r="B108" s="25" t="s">
        <v>4934</v>
      </c>
      <c r="C108" s="25" t="s">
        <v>4159</v>
      </c>
    </row>
    <row r="109" spans="1:3">
      <c r="A109" s="25" t="s">
        <v>4155</v>
      </c>
      <c r="B109" s="25" t="s">
        <v>4935</v>
      </c>
      <c r="C109" s="25" t="s">
        <v>4156</v>
      </c>
    </row>
    <row r="110" spans="1:3">
      <c r="A110" s="25" t="s">
        <v>4388</v>
      </c>
      <c r="B110" s="25" t="s">
        <v>4936</v>
      </c>
      <c r="C110" s="25" t="s">
        <v>4389</v>
      </c>
    </row>
    <row r="111" spans="1:3">
      <c r="A111" s="25" t="s">
        <v>4628</v>
      </c>
      <c r="B111" s="25" t="s">
        <v>4937</v>
      </c>
      <c r="C111" s="25" t="s">
        <v>4629</v>
      </c>
    </row>
    <row r="112" spans="1:3">
      <c r="A112" s="25" t="s">
        <v>4173</v>
      </c>
      <c r="B112" s="25" t="s">
        <v>4938</v>
      </c>
      <c r="C112" s="25" t="s">
        <v>4174</v>
      </c>
    </row>
    <row r="113" spans="1:3">
      <c r="A113" s="25" t="s">
        <v>4178</v>
      </c>
      <c r="B113" s="25" t="s">
        <v>4939</v>
      </c>
      <c r="C113" s="25" t="s">
        <v>4179</v>
      </c>
    </row>
    <row r="114" spans="1:3">
      <c r="A114" s="25" t="s">
        <v>4140</v>
      </c>
      <c r="B114" s="25" t="s">
        <v>4940</v>
      </c>
      <c r="C114" s="25" t="s">
        <v>4141</v>
      </c>
    </row>
    <row r="115" spans="1:3">
      <c r="A115" s="25" t="s">
        <v>4137</v>
      </c>
      <c r="B115" s="25" t="s">
        <v>4941</v>
      </c>
      <c r="C115" s="25" t="s">
        <v>4138</v>
      </c>
    </row>
    <row r="116" spans="1:3">
      <c r="A116" s="25" t="s">
        <v>4160</v>
      </c>
      <c r="B116" s="25" t="s">
        <v>4942</v>
      </c>
      <c r="C116" s="25" t="s">
        <v>4161</v>
      </c>
    </row>
    <row r="117" spans="1:3">
      <c r="A117" s="25" t="s">
        <v>4167</v>
      </c>
      <c r="B117" s="25" t="s">
        <v>4943</v>
      </c>
      <c r="C117" s="25" t="s">
        <v>4168</v>
      </c>
    </row>
    <row r="118" spans="1:3">
      <c r="A118" s="25" t="s">
        <v>4360</v>
      </c>
      <c r="B118" s="25" t="s">
        <v>4944</v>
      </c>
      <c r="C118" s="25" t="s">
        <v>4361</v>
      </c>
    </row>
    <row r="119" spans="1:3">
      <c r="A119" s="25" t="s">
        <v>4296</v>
      </c>
      <c r="B119" s="25" t="s">
        <v>4945</v>
      </c>
      <c r="C119" s="25" t="s">
        <v>4297</v>
      </c>
    </row>
    <row r="120" spans="1:3">
      <c r="A120" s="25" t="s">
        <v>4377</v>
      </c>
      <c r="B120" s="25" t="s">
        <v>4946</v>
      </c>
      <c r="C120" s="25" t="s">
        <v>4378</v>
      </c>
    </row>
    <row r="121" spans="1:3">
      <c r="A121" s="25" t="s">
        <v>4113</v>
      </c>
      <c r="B121" s="25" t="s">
        <v>4947</v>
      </c>
      <c r="C121" s="25" t="s">
        <v>4114</v>
      </c>
    </row>
    <row r="122" spans="1:3">
      <c r="A122" s="25" t="s">
        <v>4270</v>
      </c>
      <c r="B122" s="25" t="s">
        <v>4948</v>
      </c>
      <c r="C122" s="25" t="s">
        <v>4271</v>
      </c>
    </row>
    <row r="123" spans="1:3">
      <c r="A123" s="25" t="s">
        <v>4380</v>
      </c>
      <c r="B123" s="25" t="s">
        <v>4949</v>
      </c>
      <c r="C123" s="25" t="s">
        <v>4381</v>
      </c>
    </row>
    <row r="124" spans="1:3">
      <c r="A124" s="25" t="s">
        <v>4237</v>
      </c>
      <c r="B124" s="25" t="s">
        <v>4950</v>
      </c>
      <c r="C124" s="25" t="s">
        <v>4238</v>
      </c>
    </row>
    <row r="125" spans="1:3">
      <c r="A125" s="25" t="s">
        <v>3974</v>
      </c>
      <c r="B125" s="25" t="s">
        <v>4951</v>
      </c>
      <c r="C125" s="25" t="s">
        <v>3975</v>
      </c>
    </row>
    <row r="126" spans="1:3">
      <c r="A126" s="25" t="s">
        <v>4103</v>
      </c>
      <c r="B126" s="25" t="s">
        <v>4952</v>
      </c>
      <c r="C126" s="25" t="s">
        <v>4104</v>
      </c>
    </row>
    <row r="127" spans="1:3">
      <c r="A127" s="25" t="s">
        <v>4212</v>
      </c>
      <c r="B127" s="25" t="s">
        <v>4953</v>
      </c>
      <c r="C127" s="25" t="s">
        <v>4213</v>
      </c>
    </row>
    <row r="128" spans="1:3">
      <c r="A128" s="25" t="s">
        <v>4218</v>
      </c>
      <c r="B128" s="25" t="s">
        <v>4954</v>
      </c>
      <c r="C128" s="25" t="s">
        <v>4219</v>
      </c>
    </row>
    <row r="129" spans="1:3">
      <c r="A129" s="25" t="s">
        <v>4233</v>
      </c>
      <c r="B129" s="25" t="s">
        <v>4955</v>
      </c>
      <c r="C129" s="25" t="s">
        <v>4234</v>
      </c>
    </row>
    <row r="130" spans="1:3">
      <c r="A130" s="25" t="s">
        <v>4116</v>
      </c>
      <c r="B130" s="25" t="s">
        <v>4956</v>
      </c>
      <c r="C130" s="25" t="s">
        <v>4117</v>
      </c>
    </row>
    <row r="131" spans="1:3">
      <c r="A131" s="25" t="s">
        <v>3864</v>
      </c>
      <c r="B131" s="25" t="s">
        <v>4957</v>
      </c>
      <c r="C131" s="25" t="s">
        <v>3865</v>
      </c>
    </row>
    <row r="132" spans="1:3">
      <c r="A132" s="25" t="s">
        <v>3782</v>
      </c>
      <c r="B132" s="25" t="s">
        <v>4958</v>
      </c>
      <c r="C132" s="25" t="s">
        <v>3783</v>
      </c>
    </row>
    <row r="133" spans="1:3">
      <c r="A133" s="25" t="s">
        <v>4151</v>
      </c>
      <c r="B133" s="25" t="s">
        <v>4959</v>
      </c>
      <c r="C133" s="25" t="s">
        <v>4152</v>
      </c>
    </row>
    <row r="134" spans="1:3">
      <c r="A134" s="25" t="s">
        <v>4244</v>
      </c>
      <c r="B134" s="25" t="s">
        <v>4960</v>
      </c>
      <c r="C134" s="25" t="s">
        <v>4245</v>
      </c>
    </row>
    <row r="135" spans="1:3">
      <c r="A135" s="25" t="s">
        <v>4119</v>
      </c>
      <c r="B135" s="25" t="s">
        <v>4961</v>
      </c>
      <c r="C135" s="25" t="s">
        <v>4120</v>
      </c>
    </row>
    <row r="136" spans="1:3">
      <c r="A136" s="25" t="s">
        <v>4241</v>
      </c>
      <c r="B136" s="25" t="s">
        <v>4962</v>
      </c>
      <c r="C136" s="25" t="s">
        <v>4242</v>
      </c>
    </row>
    <row r="137" spans="1:3">
      <c r="A137" s="25" t="s">
        <v>3960</v>
      </c>
      <c r="B137" s="25" t="s">
        <v>4963</v>
      </c>
      <c r="C137" s="25" t="s">
        <v>3961</v>
      </c>
    </row>
    <row r="138" spans="1:3">
      <c r="A138" s="25" t="s">
        <v>4248</v>
      </c>
      <c r="B138" s="25" t="s">
        <v>4964</v>
      </c>
      <c r="C138" s="25" t="s">
        <v>4249</v>
      </c>
    </row>
    <row r="139" spans="1:3">
      <c r="A139" s="25" t="s">
        <v>4367</v>
      </c>
      <c r="B139" s="25" t="s">
        <v>4965</v>
      </c>
      <c r="C139" s="25" t="s">
        <v>4368</v>
      </c>
    </row>
    <row r="140" spans="1:3">
      <c r="A140" s="25" t="s">
        <v>4126</v>
      </c>
      <c r="B140" s="25" t="s">
        <v>4966</v>
      </c>
      <c r="C140" s="25" t="s">
        <v>4127</v>
      </c>
    </row>
    <row r="141" spans="1:3">
      <c r="A141" s="25" t="s">
        <v>4246</v>
      </c>
      <c r="B141" s="25" t="s">
        <v>4967</v>
      </c>
      <c r="C141" s="25" t="s">
        <v>4247</v>
      </c>
    </row>
    <row r="142" spans="1:3">
      <c r="A142" s="25" t="s">
        <v>4221</v>
      </c>
      <c r="B142" s="25" t="s">
        <v>4968</v>
      </c>
      <c r="C142" s="25" t="s">
        <v>4222</v>
      </c>
    </row>
    <row r="143" spans="1:3">
      <c r="A143" s="25" t="s">
        <v>4224</v>
      </c>
      <c r="B143" s="25" t="s">
        <v>4969</v>
      </c>
      <c r="C143" s="25" t="s">
        <v>4225</v>
      </c>
    </row>
    <row r="144" spans="1:3">
      <c r="A144" s="25" t="s">
        <v>4273</v>
      </c>
      <c r="B144" s="25" t="s">
        <v>4970</v>
      </c>
      <c r="C144" s="25" t="s">
        <v>4274</v>
      </c>
    </row>
    <row r="145" spans="1:3">
      <c r="A145" s="25" t="s">
        <v>3934</v>
      </c>
      <c r="B145" s="25" t="s">
        <v>4971</v>
      </c>
      <c r="C145" s="25" t="s">
        <v>3935</v>
      </c>
    </row>
    <row r="146" spans="1:3">
      <c r="A146" s="25" t="s">
        <v>4258</v>
      </c>
      <c r="B146" s="25" t="s">
        <v>4972</v>
      </c>
      <c r="C146" s="25" t="s">
        <v>4259</v>
      </c>
    </row>
    <row r="147" spans="1:3">
      <c r="A147" s="25" t="s">
        <v>3982</v>
      </c>
      <c r="B147" s="25" t="s">
        <v>4973</v>
      </c>
      <c r="C147" s="25" t="s">
        <v>3983</v>
      </c>
    </row>
    <row r="148" spans="1:3">
      <c r="A148" s="25" t="s">
        <v>4153</v>
      </c>
      <c r="B148" s="25" t="s">
        <v>4974</v>
      </c>
      <c r="C148" s="25" t="s">
        <v>4154</v>
      </c>
    </row>
    <row r="149" spans="1:3">
      <c r="A149" s="25" t="s">
        <v>4286</v>
      </c>
      <c r="B149" s="25" t="s">
        <v>4975</v>
      </c>
      <c r="C149" s="25" t="s">
        <v>4287</v>
      </c>
    </row>
    <row r="150" spans="1:3">
      <c r="A150" s="25" t="s">
        <v>4089</v>
      </c>
      <c r="B150" s="25" t="s">
        <v>4976</v>
      </c>
      <c r="C150" s="25" t="s">
        <v>4090</v>
      </c>
    </row>
    <row r="151" spans="1:3">
      <c r="A151" s="25" t="s">
        <v>4131</v>
      </c>
      <c r="B151" s="25" t="s">
        <v>4977</v>
      </c>
      <c r="C151" s="25" t="s">
        <v>4132</v>
      </c>
    </row>
    <row r="152" spans="1:3">
      <c r="A152" s="25" t="s">
        <v>4299</v>
      </c>
      <c r="B152" s="25" t="s">
        <v>4978</v>
      </c>
      <c r="C152" s="25" t="s">
        <v>4300</v>
      </c>
    </row>
    <row r="153" spans="1:3">
      <c r="A153" s="25" t="s">
        <v>4289</v>
      </c>
      <c r="B153" s="25" t="s">
        <v>4979</v>
      </c>
      <c r="C153" s="25" t="s">
        <v>4290</v>
      </c>
    </row>
    <row r="154" spans="1:3">
      <c r="A154" s="25" t="s">
        <v>4087</v>
      </c>
      <c r="B154" s="25" t="s">
        <v>4980</v>
      </c>
      <c r="C154" s="25" t="s">
        <v>4088</v>
      </c>
    </row>
    <row r="155" spans="1:3">
      <c r="A155" s="25" t="s">
        <v>4293</v>
      </c>
      <c r="B155" s="25" t="s">
        <v>4981</v>
      </c>
      <c r="C155" s="25" t="s">
        <v>4294</v>
      </c>
    </row>
    <row r="156" spans="1:3">
      <c r="A156" s="25" t="s">
        <v>4092</v>
      </c>
      <c r="B156" s="25" t="s">
        <v>4982</v>
      </c>
      <c r="C156" s="25" t="s">
        <v>4093</v>
      </c>
    </row>
    <row r="157" spans="1:3">
      <c r="A157" s="25" t="s">
        <v>4280</v>
      </c>
      <c r="B157" s="25" t="s">
        <v>4983</v>
      </c>
      <c r="C157" s="25" t="s">
        <v>4281</v>
      </c>
    </row>
    <row r="158" spans="1:3">
      <c r="A158" s="25" t="s">
        <v>4335</v>
      </c>
      <c r="B158" s="25" t="s">
        <v>4984</v>
      </c>
      <c r="C158" s="25" t="s">
        <v>4336</v>
      </c>
    </row>
    <row r="159" spans="1:3">
      <c r="A159" s="25" t="s">
        <v>4143</v>
      </c>
      <c r="B159" s="25" t="s">
        <v>4985</v>
      </c>
      <c r="C159" s="25" t="s">
        <v>4144</v>
      </c>
    </row>
    <row r="160" spans="1:3">
      <c r="A160" s="25" t="s">
        <v>4338</v>
      </c>
      <c r="B160" s="25" t="s">
        <v>4986</v>
      </c>
      <c r="C160" s="25" t="s">
        <v>4339</v>
      </c>
    </row>
    <row r="161" spans="1:3">
      <c r="A161" s="25" t="s">
        <v>4108</v>
      </c>
      <c r="B161" s="25" t="s">
        <v>4987</v>
      </c>
      <c r="C161" s="25" t="s">
        <v>4109</v>
      </c>
    </row>
    <row r="162" spans="1:3">
      <c r="A162" s="25" t="s">
        <v>4013</v>
      </c>
      <c r="B162" s="25" t="s">
        <v>4988</v>
      </c>
      <c r="C162" s="25" t="s">
        <v>4014</v>
      </c>
    </row>
    <row r="163" spans="1:3">
      <c r="A163" s="25" t="s">
        <v>4302</v>
      </c>
      <c r="B163" s="25" t="s">
        <v>4989</v>
      </c>
      <c r="C163" s="25" t="s">
        <v>4303</v>
      </c>
    </row>
    <row r="164" spans="1:3">
      <c r="A164" s="25" t="s">
        <v>4328</v>
      </c>
      <c r="B164" s="25" t="s">
        <v>4990</v>
      </c>
      <c r="C164" s="25" t="s">
        <v>4329</v>
      </c>
    </row>
    <row r="165" spans="1:3">
      <c r="A165" s="25" t="s">
        <v>4027</v>
      </c>
      <c r="B165" s="25" t="s">
        <v>4991</v>
      </c>
      <c r="C165" s="25" t="s">
        <v>4028</v>
      </c>
    </row>
    <row r="166" spans="1:3">
      <c r="A166" s="25" t="s">
        <v>3758</v>
      </c>
      <c r="B166" s="25" t="s">
        <v>4992</v>
      </c>
      <c r="C166" s="25" t="s">
        <v>3759</v>
      </c>
    </row>
    <row r="167" spans="1:3">
      <c r="A167" s="25" t="s">
        <v>4308</v>
      </c>
      <c r="B167" s="25" t="s">
        <v>4993</v>
      </c>
      <c r="C167" s="25" t="s">
        <v>4309</v>
      </c>
    </row>
    <row r="168" spans="1:3">
      <c r="A168" s="25" t="s">
        <v>4304</v>
      </c>
      <c r="B168" s="25" t="s">
        <v>4994</v>
      </c>
      <c r="C168" s="25" t="s">
        <v>4305</v>
      </c>
    </row>
    <row r="169" spans="1:3">
      <c r="A169" s="25" t="s">
        <v>3761</v>
      </c>
      <c r="B169" s="25" t="s">
        <v>4995</v>
      </c>
      <c r="C169" s="25" t="s">
        <v>3762</v>
      </c>
    </row>
    <row r="170" spans="1:3">
      <c r="A170" s="25" t="s">
        <v>4369</v>
      </c>
      <c r="B170" s="25" t="s">
        <v>4996</v>
      </c>
      <c r="C170" s="25" t="s">
        <v>4370</v>
      </c>
    </row>
    <row r="171" spans="1:3">
      <c r="A171" s="25" t="s">
        <v>4374</v>
      </c>
      <c r="B171" s="25" t="s">
        <v>4997</v>
      </c>
      <c r="C171" s="25" t="s">
        <v>4375</v>
      </c>
    </row>
    <row r="172" spans="1:3">
      <c r="A172" s="25" t="s">
        <v>4333</v>
      </c>
      <c r="B172" s="25" t="s">
        <v>4998</v>
      </c>
      <c r="C172" s="25" t="s">
        <v>4334</v>
      </c>
    </row>
    <row r="173" spans="1:3">
      <c r="A173" s="25" t="s">
        <v>4330</v>
      </c>
      <c r="B173" s="25" t="s">
        <v>4999</v>
      </c>
      <c r="C173" s="25" t="s">
        <v>4331</v>
      </c>
    </row>
    <row r="174" spans="1:3">
      <c r="A174" s="25" t="s">
        <v>4382</v>
      </c>
      <c r="B174" s="25" t="s">
        <v>5000</v>
      </c>
      <c r="C174" s="25" t="s">
        <v>4383</v>
      </c>
    </row>
    <row r="175" spans="1:3">
      <c r="A175" s="25" t="s">
        <v>4263</v>
      </c>
      <c r="B175" s="25" t="s">
        <v>5001</v>
      </c>
      <c r="C175" s="25" t="s">
        <v>4264</v>
      </c>
    </row>
    <row r="176" spans="1:3">
      <c r="A176" s="25" t="s">
        <v>4398</v>
      </c>
      <c r="B176" s="25" t="s">
        <v>5002</v>
      </c>
      <c r="C176" s="25" t="s">
        <v>4399</v>
      </c>
    </row>
    <row r="177" spans="1:3">
      <c r="A177" s="25" t="s">
        <v>4404</v>
      </c>
      <c r="B177" s="25" t="s">
        <v>5003</v>
      </c>
      <c r="C177" s="25" t="s">
        <v>4405</v>
      </c>
    </row>
    <row r="178" spans="1:3">
      <c r="A178" s="25" t="s">
        <v>4206</v>
      </c>
      <c r="B178" s="25" t="s">
        <v>5004</v>
      </c>
      <c r="C178" s="25" t="s">
        <v>4207</v>
      </c>
    </row>
    <row r="179" spans="1:3">
      <c r="A179" s="25" t="s">
        <v>4204</v>
      </c>
      <c r="B179" s="25" t="s">
        <v>5005</v>
      </c>
      <c r="C179" s="25" t="s">
        <v>4205</v>
      </c>
    </row>
    <row r="180" spans="1:3">
      <c r="A180" s="25" t="s">
        <v>4363</v>
      </c>
      <c r="B180" s="25" t="s">
        <v>5006</v>
      </c>
      <c r="C180" s="25" t="s">
        <v>4364</v>
      </c>
    </row>
    <row r="181" spans="1:3">
      <c r="A181" s="25" t="s">
        <v>4163</v>
      </c>
      <c r="B181" s="25" t="s">
        <v>5007</v>
      </c>
      <c r="C181" s="25" t="s">
        <v>4164</v>
      </c>
    </row>
    <row r="182" spans="1:3">
      <c r="A182" s="25" t="s">
        <v>3737</v>
      </c>
      <c r="B182" s="25" t="s">
        <v>5008</v>
      </c>
      <c r="C182" s="25" t="s">
        <v>3738</v>
      </c>
    </row>
    <row r="183" spans="1:3">
      <c r="A183" s="25" t="s">
        <v>4094</v>
      </c>
      <c r="B183" s="25" t="s">
        <v>5009</v>
      </c>
      <c r="C183" s="25" t="s">
        <v>4095</v>
      </c>
    </row>
    <row r="184" spans="1:3">
      <c r="A184" s="25" t="s">
        <v>4313</v>
      </c>
      <c r="B184" s="25" t="s">
        <v>5010</v>
      </c>
      <c r="C184" s="25" t="s">
        <v>4314</v>
      </c>
    </row>
    <row r="185" spans="1:3">
      <c r="A185" s="25" t="s">
        <v>3830</v>
      </c>
      <c r="B185" s="25" t="s">
        <v>5011</v>
      </c>
      <c r="C185" s="25" t="s">
        <v>3831</v>
      </c>
    </row>
    <row r="186" spans="1:3">
      <c r="A186" s="25" t="s">
        <v>4175</v>
      </c>
      <c r="B186" s="25" t="s">
        <v>5012</v>
      </c>
      <c r="C186" s="25" t="s">
        <v>4176</v>
      </c>
    </row>
    <row r="187" spans="1:3">
      <c r="A187" s="25" t="s">
        <v>4422</v>
      </c>
      <c r="B187" s="25" t="s">
        <v>5013</v>
      </c>
      <c r="C187" s="25" t="s">
        <v>4423</v>
      </c>
    </row>
    <row r="188" spans="1:3">
      <c r="A188" s="25" t="s">
        <v>4432</v>
      </c>
      <c r="B188" s="25" t="s">
        <v>5014</v>
      </c>
      <c r="C188" s="25" t="s">
        <v>4433</v>
      </c>
    </row>
    <row r="189" spans="1:3">
      <c r="A189" s="25" t="s">
        <v>4340</v>
      </c>
      <c r="B189" s="25" t="s">
        <v>5015</v>
      </c>
      <c r="C189" s="25" t="s">
        <v>4341</v>
      </c>
    </row>
    <row r="190" spans="1:3">
      <c r="A190" s="25" t="s">
        <v>3880</v>
      </c>
      <c r="B190" s="25" t="s">
        <v>5016</v>
      </c>
      <c r="C190" s="25" t="s">
        <v>3881</v>
      </c>
    </row>
    <row r="191" spans="1:3">
      <c r="A191" s="25" t="s">
        <v>4420</v>
      </c>
      <c r="B191" s="25" t="s">
        <v>5017</v>
      </c>
      <c r="C191" s="25" t="s">
        <v>4421</v>
      </c>
    </row>
    <row r="192" spans="1:3">
      <c r="A192" s="25" t="s">
        <v>4346</v>
      </c>
      <c r="B192" s="25" t="s">
        <v>5018</v>
      </c>
      <c r="C192" s="25" t="s">
        <v>4347</v>
      </c>
    </row>
    <row r="193" spans="1:3">
      <c r="A193" s="25" t="s">
        <v>4310</v>
      </c>
      <c r="B193" s="25" t="s">
        <v>5019</v>
      </c>
      <c r="C193" s="25" t="s">
        <v>4311</v>
      </c>
    </row>
    <row r="194" spans="1:3">
      <c r="A194" s="25" t="s">
        <v>4322</v>
      </c>
      <c r="B194" s="25" t="s">
        <v>5020</v>
      </c>
      <c r="C194" s="25" t="s">
        <v>4323</v>
      </c>
    </row>
    <row r="195" spans="1:3">
      <c r="A195" s="25" t="s">
        <v>4343</v>
      </c>
      <c r="B195" s="25" t="s">
        <v>5021</v>
      </c>
      <c r="C195" s="25" t="s">
        <v>4344</v>
      </c>
    </row>
    <row r="196" spans="1:3">
      <c r="A196" s="25" t="s">
        <v>4198</v>
      </c>
      <c r="B196" s="25" t="s">
        <v>5022</v>
      </c>
      <c r="C196" s="25" t="s">
        <v>4199</v>
      </c>
    </row>
    <row r="197" spans="1:3">
      <c r="A197" s="25" t="s">
        <v>4456</v>
      </c>
      <c r="B197" s="25" t="s">
        <v>5023</v>
      </c>
      <c r="C197" s="25" t="s">
        <v>4457</v>
      </c>
    </row>
    <row r="198" spans="1:3">
      <c r="A198" s="25" t="s">
        <v>4463</v>
      </c>
      <c r="B198" s="25" t="s">
        <v>5024</v>
      </c>
      <c r="C198" s="25" t="s">
        <v>4464</v>
      </c>
    </row>
    <row r="199" spans="1:3">
      <c r="A199" s="25" t="s">
        <v>4450</v>
      </c>
      <c r="B199" s="25" t="s">
        <v>5025</v>
      </c>
      <c r="C199" s="25" t="s">
        <v>4451</v>
      </c>
    </row>
    <row r="200" spans="1:3">
      <c r="A200" s="25" t="s">
        <v>4372</v>
      </c>
      <c r="B200" s="25" t="s">
        <v>5026</v>
      </c>
      <c r="C200" s="25" t="s">
        <v>4373</v>
      </c>
    </row>
    <row r="201" spans="1:3">
      <c r="A201" s="25" t="s">
        <v>4472</v>
      </c>
      <c r="B201" s="25" t="s">
        <v>5027</v>
      </c>
      <c r="C201" s="25" t="s">
        <v>4473</v>
      </c>
    </row>
    <row r="202" spans="1:3">
      <c r="A202" s="25" t="s">
        <v>4412</v>
      </c>
      <c r="B202" s="25" t="s">
        <v>5028</v>
      </c>
      <c r="C202" s="25" t="s">
        <v>4413</v>
      </c>
    </row>
    <row r="203" spans="1:3">
      <c r="A203" s="25" t="s">
        <v>4098</v>
      </c>
      <c r="B203" s="25" t="s">
        <v>5029</v>
      </c>
      <c r="C203" s="25" t="s">
        <v>1832</v>
      </c>
    </row>
    <row r="204" spans="1:3">
      <c r="A204" s="25" t="s">
        <v>4475</v>
      </c>
      <c r="B204" s="25" t="s">
        <v>5030</v>
      </c>
      <c r="C204" s="25" t="s">
        <v>4476</v>
      </c>
    </row>
    <row r="205" spans="1:3">
      <c r="A205" s="25" t="s">
        <v>3871</v>
      </c>
      <c r="B205" s="25" t="s">
        <v>5031</v>
      </c>
      <c r="C205" s="25" t="s">
        <v>3872</v>
      </c>
    </row>
    <row r="206" spans="1:3">
      <c r="A206" s="25" t="s">
        <v>4480</v>
      </c>
      <c r="B206" s="25" t="s">
        <v>5032</v>
      </c>
      <c r="C206" s="25" t="s">
        <v>4481</v>
      </c>
    </row>
    <row r="207" spans="1:3">
      <c r="A207" s="25" t="s">
        <v>4485</v>
      </c>
      <c r="B207" s="25" t="s">
        <v>5033</v>
      </c>
      <c r="C207" s="25" t="s">
        <v>4486</v>
      </c>
    </row>
    <row r="208" spans="1:3">
      <c r="A208" s="25" t="s">
        <v>4738</v>
      </c>
      <c r="B208" s="25" t="s">
        <v>5034</v>
      </c>
      <c r="C208" s="25" t="s">
        <v>4739</v>
      </c>
    </row>
    <row r="209" spans="1:3">
      <c r="A209" s="25" t="s">
        <v>4438</v>
      </c>
      <c r="B209" s="25" t="s">
        <v>5035</v>
      </c>
      <c r="C209" s="25" t="s">
        <v>4439</v>
      </c>
    </row>
    <row r="210" spans="1:3">
      <c r="A210" s="25" t="s">
        <v>4452</v>
      </c>
      <c r="B210" s="25" t="s">
        <v>5036</v>
      </c>
      <c r="C210" s="25" t="s">
        <v>4453</v>
      </c>
    </row>
    <row r="211" spans="1:3">
      <c r="A211" s="25" t="s">
        <v>4251</v>
      </c>
      <c r="B211" s="25" t="s">
        <v>5037</v>
      </c>
      <c r="C211" s="25" t="s">
        <v>4252</v>
      </c>
    </row>
    <row r="212" spans="1:3">
      <c r="A212" s="25" t="s">
        <v>4469</v>
      </c>
      <c r="B212" s="25" t="s">
        <v>5038</v>
      </c>
      <c r="C212" s="25" t="s">
        <v>4470</v>
      </c>
    </row>
    <row r="213" spans="1:3">
      <c r="A213" s="25" t="s">
        <v>4445</v>
      </c>
      <c r="B213" s="25" t="s">
        <v>5039</v>
      </c>
      <c r="C213" s="25" t="s">
        <v>4446</v>
      </c>
    </row>
    <row r="214" spans="1:3">
      <c r="A214" s="25" t="s">
        <v>4495</v>
      </c>
      <c r="B214" s="25" t="s">
        <v>5040</v>
      </c>
      <c r="C214" s="25" t="s">
        <v>4496</v>
      </c>
    </row>
    <row r="215" spans="1:3">
      <c r="A215" s="25" t="s">
        <v>4123</v>
      </c>
      <c r="B215" s="25" t="s">
        <v>5041</v>
      </c>
      <c r="C215" s="25" t="s">
        <v>4124</v>
      </c>
    </row>
    <row r="216" spans="1:3">
      <c r="A216" s="25" t="s">
        <v>4488</v>
      </c>
      <c r="B216" s="25" t="s">
        <v>5042</v>
      </c>
      <c r="C216" s="25" t="s">
        <v>4489</v>
      </c>
    </row>
    <row r="217" spans="1:3">
      <c r="A217" s="25" t="s">
        <v>4414</v>
      </c>
      <c r="B217" s="25" t="s">
        <v>5043</v>
      </c>
      <c r="C217" s="25" t="s">
        <v>4415</v>
      </c>
    </row>
    <row r="218" spans="1:3">
      <c r="A218" s="25" t="s">
        <v>4319</v>
      </c>
      <c r="B218" s="25" t="s">
        <v>5044</v>
      </c>
      <c r="C218" s="25" t="s">
        <v>4320</v>
      </c>
    </row>
    <row r="219" spans="1:3">
      <c r="A219" s="25" t="s">
        <v>4349</v>
      </c>
      <c r="B219" s="25" t="s">
        <v>5045</v>
      </c>
      <c r="C219" s="25" t="s">
        <v>4350</v>
      </c>
    </row>
    <row r="220" spans="1:3">
      <c r="A220" s="25" t="s">
        <v>4401</v>
      </c>
      <c r="B220" s="25" t="s">
        <v>5046</v>
      </c>
      <c r="C220" s="25" t="s">
        <v>4402</v>
      </c>
    </row>
    <row r="221" spans="1:3">
      <c r="A221" s="25" t="s">
        <v>4201</v>
      </c>
      <c r="B221" s="25" t="s">
        <v>5047</v>
      </c>
      <c r="C221" s="25" t="s">
        <v>4202</v>
      </c>
    </row>
    <row r="222" spans="1:3">
      <c r="A222" s="25" t="s">
        <v>4510</v>
      </c>
      <c r="B222" s="25" t="s">
        <v>5048</v>
      </c>
      <c r="C222" s="25" t="s">
        <v>4511</v>
      </c>
    </row>
    <row r="223" spans="1:3">
      <c r="A223" s="25" t="s">
        <v>4512</v>
      </c>
      <c r="B223" s="25" t="s">
        <v>5049</v>
      </c>
      <c r="C223" s="25" t="s">
        <v>4513</v>
      </c>
    </row>
    <row r="224" spans="1:3">
      <c r="A224" s="25" t="s">
        <v>4483</v>
      </c>
      <c r="B224" s="25" t="s">
        <v>5050</v>
      </c>
      <c r="C224" s="25" t="s">
        <v>4484</v>
      </c>
    </row>
    <row r="225" spans="1:3">
      <c r="A225" s="25" t="s">
        <v>4516</v>
      </c>
      <c r="B225" s="25" t="s">
        <v>5051</v>
      </c>
      <c r="C225" s="25" t="s">
        <v>4517</v>
      </c>
    </row>
    <row r="226" spans="1:3">
      <c r="A226" s="25" t="s">
        <v>4191</v>
      </c>
      <c r="B226" s="25" t="s">
        <v>5052</v>
      </c>
      <c r="C226" s="25" t="s">
        <v>4192</v>
      </c>
    </row>
    <row r="227" spans="1:3">
      <c r="A227" s="25" t="s">
        <v>4514</v>
      </c>
      <c r="B227" s="25" t="s">
        <v>5053</v>
      </c>
      <c r="C227" s="25" t="s">
        <v>4515</v>
      </c>
    </row>
    <row r="228" spans="1:3">
      <c r="A228" s="25" t="s">
        <v>3942</v>
      </c>
      <c r="B228" s="25" t="s">
        <v>5054</v>
      </c>
      <c r="C228" s="25" t="s">
        <v>3943</v>
      </c>
    </row>
    <row r="229" spans="1:3">
      <c r="A229" s="25" t="s">
        <v>4354</v>
      </c>
      <c r="B229" s="25" t="s">
        <v>5055</v>
      </c>
      <c r="C229" s="25" t="s">
        <v>4355</v>
      </c>
    </row>
    <row r="230" spans="1:3">
      <c r="A230" s="25" t="s">
        <v>4181</v>
      </c>
      <c r="B230" s="25" t="s">
        <v>5056</v>
      </c>
      <c r="C230" s="25" t="s">
        <v>4182</v>
      </c>
    </row>
    <row r="231" spans="1:3">
      <c r="A231" s="25" t="s">
        <v>4235</v>
      </c>
      <c r="B231" s="25" t="s">
        <v>5057</v>
      </c>
      <c r="C231" s="25" t="s">
        <v>4236</v>
      </c>
    </row>
    <row r="232" spans="1:3">
      <c r="A232" s="25" t="s">
        <v>4276</v>
      </c>
      <c r="B232" s="25" t="s">
        <v>5058</v>
      </c>
      <c r="C232" s="25" t="s">
        <v>4277</v>
      </c>
    </row>
    <row r="233" spans="1:3">
      <c r="A233" s="25" t="s">
        <v>4429</v>
      </c>
      <c r="B233" s="25" t="s">
        <v>5059</v>
      </c>
      <c r="C233" s="25" t="s">
        <v>4430</v>
      </c>
    </row>
    <row r="234" spans="1:3">
      <c r="A234" s="25" t="s">
        <v>4518</v>
      </c>
      <c r="B234" s="25" t="s">
        <v>5060</v>
      </c>
      <c r="C234" s="25" t="s">
        <v>4519</v>
      </c>
    </row>
    <row r="235" spans="1:3">
      <c r="A235" s="25" t="s">
        <v>4459</v>
      </c>
      <c r="B235" s="25" t="s">
        <v>5061</v>
      </c>
      <c r="C235" s="25" t="s">
        <v>4460</v>
      </c>
    </row>
    <row r="236" spans="1:3">
      <c r="A236" s="25" t="s">
        <v>4239</v>
      </c>
      <c r="B236" s="25" t="s">
        <v>5062</v>
      </c>
      <c r="C236" s="25" t="s">
        <v>4240</v>
      </c>
    </row>
    <row r="237" spans="1:3">
      <c r="A237" s="25" t="s">
        <v>4003</v>
      </c>
      <c r="B237" s="25" t="s">
        <v>5063</v>
      </c>
      <c r="C237" s="25" t="s">
        <v>4004</v>
      </c>
    </row>
    <row r="238" spans="1:3">
      <c r="A238" s="25" t="s">
        <v>4528</v>
      </c>
      <c r="B238" s="25" t="s">
        <v>5064</v>
      </c>
      <c r="C238" s="25" t="s">
        <v>4529</v>
      </c>
    </row>
    <row r="239" spans="1:3">
      <c r="A239" s="25" t="s">
        <v>4522</v>
      </c>
      <c r="B239" s="25" t="s">
        <v>5065</v>
      </c>
      <c r="C239" s="25" t="s">
        <v>4523</v>
      </c>
    </row>
    <row r="240" spans="1:3">
      <c r="A240" s="25" t="s">
        <v>4325</v>
      </c>
      <c r="B240" s="25" t="s">
        <v>5066</v>
      </c>
      <c r="C240" s="25" t="s">
        <v>4326</v>
      </c>
    </row>
    <row r="241" spans="1:3">
      <c r="A241" s="25" t="s">
        <v>4101</v>
      </c>
      <c r="B241" s="25" t="s">
        <v>5067</v>
      </c>
      <c r="C241" s="25" t="s">
        <v>4102</v>
      </c>
    </row>
    <row r="242" spans="1:3">
      <c r="A242" s="25" t="s">
        <v>4230</v>
      </c>
      <c r="B242" s="25" t="s">
        <v>5068</v>
      </c>
      <c r="C242" s="25" t="s">
        <v>4231</v>
      </c>
    </row>
    <row r="243" spans="1:3">
      <c r="A243" s="25" t="s">
        <v>4544</v>
      </c>
      <c r="B243" s="25" t="s">
        <v>5069</v>
      </c>
      <c r="C243" s="25" t="s">
        <v>4545</v>
      </c>
    </row>
    <row r="244" spans="1:3">
      <c r="A244" s="25" t="s">
        <v>4537</v>
      </c>
      <c r="B244" s="25" t="s">
        <v>5070</v>
      </c>
      <c r="C244" s="25" t="s">
        <v>4538</v>
      </c>
    </row>
    <row r="245" spans="1:3">
      <c r="A245" s="25" t="s">
        <v>4417</v>
      </c>
      <c r="B245" s="25" t="s">
        <v>5071</v>
      </c>
      <c r="C245" s="25" t="s">
        <v>4418</v>
      </c>
    </row>
    <row r="246" spans="1:3">
      <c r="A246" s="25" t="s">
        <v>4441</v>
      </c>
      <c r="B246" s="25" t="s">
        <v>5072</v>
      </c>
      <c r="C246" s="25" t="s">
        <v>4442</v>
      </c>
    </row>
    <row r="247" spans="1:3">
      <c r="A247" s="25" t="s">
        <v>4535</v>
      </c>
      <c r="B247" s="25" t="s">
        <v>5073</v>
      </c>
      <c r="C247" s="25" t="s">
        <v>4536</v>
      </c>
    </row>
    <row r="248" spans="1:3">
      <c r="A248" s="25" t="s">
        <v>4558</v>
      </c>
      <c r="B248" s="25" t="s">
        <v>5074</v>
      </c>
      <c r="C248" s="25" t="s">
        <v>4559</v>
      </c>
    </row>
    <row r="249" spans="1:3">
      <c r="A249" s="25" t="s">
        <v>4562</v>
      </c>
      <c r="B249" s="25" t="s">
        <v>5075</v>
      </c>
      <c r="C249" s="25" t="s">
        <v>4563</v>
      </c>
    </row>
    <row r="250" spans="1:3">
      <c r="A250" s="25" t="s">
        <v>4503</v>
      </c>
      <c r="B250" s="25" t="s">
        <v>5076</v>
      </c>
      <c r="C250" s="25" t="s">
        <v>4504</v>
      </c>
    </row>
    <row r="251" spans="1:3">
      <c r="A251" s="25" t="s">
        <v>4566</v>
      </c>
      <c r="B251" s="25" t="s">
        <v>5077</v>
      </c>
      <c r="C251" s="25" t="s">
        <v>4567</v>
      </c>
    </row>
    <row r="252" spans="1:3">
      <c r="A252" s="25" t="s">
        <v>4634</v>
      </c>
      <c r="B252" s="25" t="s">
        <v>5078</v>
      </c>
      <c r="C252" s="25" t="s">
        <v>4635</v>
      </c>
    </row>
    <row r="253" spans="1:3">
      <c r="A253" s="25" t="s">
        <v>4531</v>
      </c>
      <c r="B253" s="25" t="s">
        <v>5079</v>
      </c>
      <c r="C253" s="25" t="s">
        <v>4532</v>
      </c>
    </row>
    <row r="254" spans="1:3">
      <c r="A254" s="25" t="s">
        <v>4570</v>
      </c>
      <c r="B254" s="25" t="s">
        <v>5080</v>
      </c>
      <c r="C254" s="25" t="s">
        <v>4571</v>
      </c>
    </row>
    <row r="255" spans="1:3">
      <c r="A255" s="25" t="s">
        <v>4193</v>
      </c>
      <c r="B255" s="25" t="s">
        <v>5081</v>
      </c>
      <c r="C255" s="25" t="s">
        <v>4194</v>
      </c>
    </row>
    <row r="256" spans="1:3">
      <c r="A256" s="25" t="s">
        <v>4594</v>
      </c>
      <c r="B256" s="25" t="s">
        <v>5082</v>
      </c>
      <c r="C256" s="25" t="s">
        <v>4595</v>
      </c>
    </row>
    <row r="257" spans="1:3">
      <c r="A257" s="25" t="s">
        <v>4586</v>
      </c>
      <c r="B257" s="25" t="s">
        <v>5083</v>
      </c>
      <c r="C257" s="25" t="s">
        <v>4587</v>
      </c>
    </row>
    <row r="258" spans="1:3">
      <c r="A258" s="25" t="s">
        <v>4583</v>
      </c>
      <c r="B258" s="25" t="s">
        <v>5084</v>
      </c>
      <c r="C258" s="25" t="s">
        <v>4584</v>
      </c>
    </row>
    <row r="259" spans="1:3">
      <c r="A259" s="25" t="s">
        <v>4600</v>
      </c>
      <c r="B259" s="25" t="s">
        <v>5085</v>
      </c>
      <c r="C259" s="25" t="s">
        <v>4601</v>
      </c>
    </row>
    <row r="260" spans="1:3">
      <c r="A260" s="25" t="s">
        <v>4613</v>
      </c>
      <c r="B260" s="25" t="s">
        <v>5086</v>
      </c>
      <c r="C260" s="25" t="s">
        <v>4614</v>
      </c>
    </row>
    <row r="261" spans="1:3">
      <c r="A261" s="25" t="s">
        <v>4195</v>
      </c>
      <c r="B261" s="25" t="s">
        <v>5087</v>
      </c>
      <c r="C261" s="25" t="s">
        <v>4196</v>
      </c>
    </row>
    <row r="262" spans="1:3">
      <c r="A262" s="25" t="s">
        <v>4526</v>
      </c>
      <c r="B262" s="25" t="s">
        <v>5088</v>
      </c>
      <c r="C262" s="25" t="s">
        <v>1832</v>
      </c>
    </row>
    <row r="263" spans="1:3">
      <c r="A263" s="25" t="s">
        <v>4580</v>
      </c>
      <c r="B263" s="25" t="s">
        <v>1234</v>
      </c>
      <c r="C263" s="25" t="s">
        <v>1235</v>
      </c>
    </row>
    <row r="264" spans="1:3">
      <c r="A264" s="25" t="s">
        <v>4619</v>
      </c>
      <c r="B264" s="25" t="s">
        <v>5089</v>
      </c>
      <c r="C264" s="25" t="s">
        <v>4620</v>
      </c>
    </row>
    <row r="265" spans="1:3">
      <c r="A265" s="25" t="s">
        <v>4617</v>
      </c>
      <c r="B265" s="25" t="s">
        <v>5090</v>
      </c>
      <c r="C265" s="25" t="s">
        <v>4618</v>
      </c>
    </row>
    <row r="266" spans="1:3">
      <c r="A266" s="25" t="s">
        <v>4625</v>
      </c>
      <c r="B266" s="25" t="s">
        <v>5091</v>
      </c>
      <c r="C266" s="25" t="s">
        <v>4626</v>
      </c>
    </row>
    <row r="267" spans="1:3">
      <c r="A267" s="25" t="s">
        <v>4622</v>
      </c>
      <c r="B267" s="25" t="s">
        <v>5092</v>
      </c>
      <c r="C267" s="25" t="s">
        <v>5093</v>
      </c>
    </row>
    <row r="268" spans="1:3">
      <c r="A268" s="25" t="s">
        <v>4395</v>
      </c>
      <c r="B268" s="25" t="s">
        <v>5094</v>
      </c>
      <c r="C268" s="25" t="s">
        <v>4396</v>
      </c>
    </row>
    <row r="269" spans="1:3">
      <c r="A269" s="25" t="s">
        <v>4648</v>
      </c>
      <c r="B269" s="25" t="s">
        <v>5095</v>
      </c>
      <c r="C269" s="25" t="s">
        <v>4649</v>
      </c>
    </row>
    <row r="270" spans="1:3">
      <c r="A270" s="25" t="s">
        <v>4651</v>
      </c>
      <c r="B270" s="25" t="s">
        <v>5096</v>
      </c>
      <c r="C270" s="25" t="s">
        <v>4652</v>
      </c>
    </row>
    <row r="271" spans="1:3">
      <c r="A271" s="25" t="s">
        <v>4392</v>
      </c>
      <c r="B271" s="25" t="s">
        <v>5097</v>
      </c>
      <c r="C271" s="25" t="s">
        <v>4393</v>
      </c>
    </row>
    <row r="272" spans="1:3">
      <c r="A272" s="25" t="s">
        <v>4640</v>
      </c>
      <c r="B272" s="25" t="s">
        <v>5098</v>
      </c>
      <c r="C272" s="25" t="s">
        <v>4641</v>
      </c>
    </row>
    <row r="273" spans="1:3">
      <c r="A273" s="25" t="s">
        <v>4643</v>
      </c>
      <c r="B273" s="25" t="s">
        <v>5099</v>
      </c>
      <c r="C273" s="25" t="s">
        <v>5100</v>
      </c>
    </row>
    <row r="274" spans="1:3">
      <c r="A274" s="25" t="s">
        <v>4590</v>
      </c>
      <c r="B274" s="25" t="s">
        <v>5101</v>
      </c>
      <c r="C274" s="25" t="s">
        <v>4591</v>
      </c>
    </row>
    <row r="275" spans="1:3">
      <c r="A275" s="25" t="s">
        <v>4615</v>
      </c>
      <c r="B275" s="25" t="s">
        <v>5102</v>
      </c>
      <c r="C275" s="25" t="s">
        <v>4616</v>
      </c>
    </row>
    <row r="276" spans="1:3">
      <c r="A276" s="25" t="s">
        <v>4668</v>
      </c>
      <c r="B276" s="25" t="s">
        <v>5103</v>
      </c>
      <c r="C276" s="25" t="s">
        <v>4669</v>
      </c>
    </row>
    <row r="277" spans="1:3">
      <c r="A277" s="25" t="s">
        <v>4663</v>
      </c>
      <c r="B277" s="25" t="s">
        <v>5104</v>
      </c>
      <c r="C277" s="25" t="s">
        <v>4664</v>
      </c>
    </row>
    <row r="278" spans="1:3">
      <c r="A278" s="25" t="s">
        <v>4411</v>
      </c>
      <c r="B278" s="25" t="s">
        <v>5105</v>
      </c>
      <c r="C278" s="25" t="s">
        <v>1832</v>
      </c>
    </row>
    <row r="279" spans="1:3">
      <c r="A279" s="25" t="s">
        <v>4408</v>
      </c>
      <c r="B279" s="25" t="s">
        <v>5106</v>
      </c>
      <c r="C279" s="25" t="s">
        <v>4409</v>
      </c>
    </row>
    <row r="280" spans="1:3">
      <c r="A280" s="25" t="s">
        <v>4665</v>
      </c>
      <c r="B280" s="25" t="s">
        <v>5107</v>
      </c>
      <c r="C280" s="25" t="s">
        <v>4666</v>
      </c>
    </row>
    <row r="281" spans="1:3">
      <c r="A281" s="25" t="s">
        <v>4678</v>
      </c>
      <c r="B281" s="25" t="s">
        <v>5108</v>
      </c>
      <c r="C281" s="25" t="s">
        <v>4679</v>
      </c>
    </row>
    <row r="282" spans="1:3">
      <c r="A282" s="25" t="s">
        <v>4675</v>
      </c>
      <c r="B282" s="25" t="s">
        <v>5109</v>
      </c>
      <c r="C282" s="25" t="s">
        <v>1832</v>
      </c>
    </row>
    <row r="283" spans="1:3">
      <c r="A283" s="25" t="s">
        <v>4670</v>
      </c>
      <c r="B283" s="25" t="s">
        <v>5110</v>
      </c>
      <c r="C283" s="25" t="s">
        <v>4671</v>
      </c>
    </row>
    <row r="284" spans="1:3">
      <c r="A284" s="25" t="s">
        <v>4063</v>
      </c>
      <c r="B284" s="25" t="s">
        <v>5111</v>
      </c>
      <c r="C284" s="25" t="s">
        <v>4064</v>
      </c>
    </row>
    <row r="285" spans="1:3">
      <c r="A285" s="25" t="s">
        <v>4046</v>
      </c>
      <c r="B285" s="25" t="s">
        <v>5112</v>
      </c>
      <c r="C285" s="25" t="s">
        <v>4047</v>
      </c>
    </row>
    <row r="286" spans="1:3">
      <c r="A286" s="25" t="s">
        <v>4134</v>
      </c>
      <c r="B286" s="25" t="s">
        <v>5113</v>
      </c>
      <c r="C286" s="25" t="s">
        <v>4135</v>
      </c>
    </row>
    <row r="287" spans="1:3">
      <c r="A287" s="25" t="s">
        <v>4498</v>
      </c>
      <c r="B287" s="25" t="s">
        <v>5114</v>
      </c>
      <c r="C287" s="25" t="s">
        <v>4499</v>
      </c>
    </row>
    <row r="288" spans="1:3">
      <c r="A288" s="25" t="s">
        <v>4606</v>
      </c>
      <c r="B288" s="25" t="s">
        <v>5115</v>
      </c>
      <c r="C288" s="25" t="s">
        <v>4607</v>
      </c>
    </row>
    <row r="289" spans="1:3">
      <c r="A289" s="25" t="s">
        <v>4609</v>
      </c>
      <c r="B289" s="25" t="s">
        <v>5116</v>
      </c>
      <c r="C289" s="25" t="s">
        <v>4610</v>
      </c>
    </row>
    <row r="290" spans="1:3">
      <c r="A290" s="25" t="s">
        <v>4597</v>
      </c>
      <c r="B290" s="25" t="s">
        <v>5117</v>
      </c>
      <c r="C290" s="25" t="s">
        <v>4598</v>
      </c>
    </row>
    <row r="291" spans="1:3">
      <c r="A291" s="25" t="s">
        <v>4052</v>
      </c>
      <c r="B291" s="25" t="s">
        <v>5118</v>
      </c>
      <c r="C291" s="25" t="s">
        <v>4053</v>
      </c>
    </row>
    <row r="292" spans="1:3">
      <c r="A292" s="25" t="s">
        <v>4631</v>
      </c>
      <c r="B292" s="25" t="s">
        <v>5119</v>
      </c>
      <c r="C292" s="25" t="s">
        <v>4632</v>
      </c>
    </row>
    <row r="293" spans="1:3">
      <c r="A293" s="25" t="s">
        <v>4357</v>
      </c>
      <c r="B293" s="25" t="s">
        <v>5120</v>
      </c>
      <c r="C293" s="25" t="s">
        <v>4358</v>
      </c>
    </row>
    <row r="294" spans="1:3">
      <c r="A294" s="25" t="s">
        <v>4684</v>
      </c>
      <c r="B294" s="25" t="s">
        <v>5121</v>
      </c>
      <c r="C294" s="25" t="s">
        <v>4685</v>
      </c>
    </row>
    <row r="295" spans="1:3">
      <c r="A295" s="25" t="s">
        <v>4267</v>
      </c>
      <c r="B295" s="25" t="s">
        <v>5122</v>
      </c>
      <c r="C295" s="25" t="s">
        <v>4268</v>
      </c>
    </row>
    <row r="296" spans="1:3">
      <c r="A296" s="25" t="s">
        <v>3948</v>
      </c>
      <c r="B296" s="25" t="s">
        <v>5123</v>
      </c>
      <c r="C296" s="25" t="s">
        <v>3949</v>
      </c>
    </row>
    <row r="297" spans="1:3">
      <c r="A297" s="25" t="s">
        <v>4316</v>
      </c>
      <c r="B297" s="25" t="s">
        <v>5124</v>
      </c>
      <c r="C297" s="25" t="s">
        <v>4317</v>
      </c>
    </row>
    <row r="298" spans="1:3">
      <c r="A298" s="25" t="s">
        <v>4697</v>
      </c>
      <c r="B298" s="25" t="s">
        <v>5125</v>
      </c>
      <c r="C298" s="25" t="s">
        <v>4698</v>
      </c>
    </row>
    <row r="299" spans="1:3">
      <c r="A299" s="25" t="s">
        <v>4700</v>
      </c>
      <c r="B299" s="25" t="s">
        <v>5126</v>
      </c>
      <c r="C299" s="25" t="s">
        <v>4701</v>
      </c>
    </row>
    <row r="300" spans="1:3">
      <c r="A300" s="25" t="s">
        <v>4702</v>
      </c>
      <c r="B300" s="25" t="s">
        <v>5127</v>
      </c>
      <c r="C300" s="25" t="s">
        <v>4703</v>
      </c>
    </row>
    <row r="301" spans="1:3">
      <c r="A301" s="25" t="s">
        <v>4707</v>
      </c>
      <c r="B301" s="25" t="s">
        <v>5128</v>
      </c>
      <c r="C301" s="25" t="s">
        <v>4708</v>
      </c>
    </row>
    <row r="302" spans="1:3">
      <c r="A302" s="25" t="s">
        <v>4704</v>
      </c>
      <c r="B302" s="25" t="s">
        <v>5129</v>
      </c>
      <c r="C302" s="25" t="s">
        <v>4705</v>
      </c>
    </row>
    <row r="303" spans="1:3">
      <c r="A303" s="25" t="s">
        <v>4692</v>
      </c>
      <c r="B303" s="25" t="s">
        <v>5130</v>
      </c>
      <c r="C303" s="25" t="s">
        <v>4693</v>
      </c>
    </row>
    <row r="304" spans="1:3">
      <c r="A304" s="25" t="s">
        <v>4148</v>
      </c>
      <c r="B304" s="25" t="s">
        <v>5131</v>
      </c>
      <c r="C304" s="25" t="s">
        <v>4149</v>
      </c>
    </row>
    <row r="305" spans="1:3">
      <c r="A305" s="25" t="s">
        <v>4146</v>
      </c>
      <c r="B305" s="25" t="s">
        <v>5132</v>
      </c>
      <c r="C305" s="25" t="s">
        <v>4147</v>
      </c>
    </row>
    <row r="306" spans="1:3">
      <c r="A306" s="25" t="s">
        <v>4467</v>
      </c>
      <c r="B306" s="25" t="s">
        <v>5133</v>
      </c>
      <c r="C306" s="25" t="s">
        <v>1832</v>
      </c>
    </row>
    <row r="307" spans="1:3">
      <c r="A307" s="25" t="s">
        <v>4256</v>
      </c>
      <c r="B307" s="25" t="s">
        <v>5134</v>
      </c>
      <c r="C307" s="25" t="s">
        <v>4257</v>
      </c>
    </row>
    <row r="308" spans="1:3">
      <c r="A308" s="25" t="s">
        <v>4673</v>
      </c>
      <c r="B308" s="25" t="s">
        <v>5135</v>
      </c>
      <c r="C308" s="25" t="s">
        <v>4674</v>
      </c>
    </row>
    <row r="309" spans="1:3">
      <c r="A309" s="25" t="s">
        <v>4447</v>
      </c>
      <c r="B309" s="25" t="s">
        <v>5136</v>
      </c>
      <c r="C309" s="25" t="s">
        <v>4448</v>
      </c>
    </row>
    <row r="310" spans="1:3">
      <c r="A310" s="25" t="s">
        <v>4712</v>
      </c>
      <c r="B310" s="25" t="s">
        <v>5137</v>
      </c>
      <c r="C310" s="25" t="s">
        <v>4713</v>
      </c>
    </row>
    <row r="311" spans="1:3">
      <c r="A311" s="25" t="s">
        <v>4722</v>
      </c>
      <c r="B311" s="25" t="s">
        <v>5138</v>
      </c>
      <c r="C311" s="25" t="s">
        <v>4723</v>
      </c>
    </row>
    <row r="312" spans="1:3">
      <c r="A312" s="25" t="s">
        <v>4477</v>
      </c>
      <c r="B312" s="25" t="s">
        <v>5139</v>
      </c>
      <c r="C312" s="25" t="s">
        <v>4478</v>
      </c>
    </row>
    <row r="313" spans="1:3">
      <c r="A313" s="25" t="s">
        <v>4732</v>
      </c>
      <c r="B313" s="25" t="s">
        <v>5140</v>
      </c>
      <c r="C313" s="25" t="s">
        <v>4733</v>
      </c>
    </row>
    <row r="314" spans="1:3">
      <c r="A314" s="25" t="s">
        <v>4735</v>
      </c>
      <c r="B314" s="25" t="s">
        <v>5141</v>
      </c>
      <c r="C314" s="25" t="s">
        <v>4736</v>
      </c>
    </row>
    <row r="315" spans="1:3">
      <c r="A315" s="25" t="s">
        <v>4577</v>
      </c>
      <c r="B315" s="25" t="s">
        <v>5142</v>
      </c>
      <c r="C315" s="25" t="s">
        <v>4578</v>
      </c>
    </row>
    <row r="316" spans="1:3">
      <c r="A316" s="25" t="s">
        <v>4744</v>
      </c>
      <c r="B316" s="25" t="s">
        <v>5143</v>
      </c>
      <c r="C316" s="25" t="s">
        <v>4745</v>
      </c>
    </row>
    <row r="317" spans="1:3">
      <c r="A317" s="25" t="s">
        <v>4747</v>
      </c>
      <c r="B317" s="25" t="s">
        <v>5144</v>
      </c>
      <c r="C317" s="25" t="s">
        <v>4748</v>
      </c>
    </row>
    <row r="318" spans="1:3">
      <c r="A318" s="25" t="s">
        <v>4741</v>
      </c>
      <c r="B318" s="25" t="s">
        <v>5145</v>
      </c>
      <c r="C318" s="25" t="s">
        <v>4742</v>
      </c>
    </row>
    <row r="319" spans="1:3">
      <c r="A319" s="25" t="s">
        <v>4754</v>
      </c>
      <c r="B319" s="25" t="s">
        <v>5146</v>
      </c>
      <c r="C319" s="25" t="s">
        <v>4755</v>
      </c>
    </row>
    <row r="320" spans="1:3">
      <c r="A320" s="25" t="s">
        <v>4687</v>
      </c>
      <c r="B320" s="25" t="s">
        <v>5147</v>
      </c>
      <c r="C320" s="25" t="s">
        <v>4688</v>
      </c>
    </row>
    <row r="321" spans="1:3">
      <c r="A321" s="25" t="s">
        <v>4540</v>
      </c>
      <c r="B321" s="25" t="s">
        <v>5148</v>
      </c>
      <c r="C321" s="25" t="s">
        <v>4541</v>
      </c>
    </row>
    <row r="322" spans="1:3">
      <c r="A322" s="25" t="s">
        <v>4756</v>
      </c>
      <c r="B322" s="25" t="s">
        <v>5149</v>
      </c>
      <c r="C322" s="25" t="s">
        <v>4757</v>
      </c>
    </row>
    <row r="323" spans="1:3">
      <c r="A323" s="25" t="s">
        <v>4500</v>
      </c>
      <c r="B323" s="25" t="s">
        <v>5150</v>
      </c>
      <c r="C323" s="25" t="s">
        <v>4501</v>
      </c>
    </row>
    <row r="324" spans="1:3">
      <c r="A324" s="25" t="s">
        <v>4681</v>
      </c>
      <c r="B324" s="25" t="s">
        <v>5151</v>
      </c>
      <c r="C324" s="25" t="s">
        <v>4682</v>
      </c>
    </row>
    <row r="325" spans="1:3">
      <c r="A325" s="25" t="s">
        <v>4760</v>
      </c>
      <c r="B325" s="25" t="s">
        <v>5152</v>
      </c>
      <c r="C325" s="25" t="s">
        <v>4761</v>
      </c>
    </row>
    <row r="326" spans="1:3">
      <c r="A326" s="25" t="s">
        <v>4129</v>
      </c>
      <c r="B326" s="25" t="s">
        <v>5153</v>
      </c>
      <c r="C326" s="25" t="s">
        <v>4130</v>
      </c>
    </row>
    <row r="327" spans="1:3">
      <c r="A327" s="25" t="s">
        <v>4764</v>
      </c>
      <c r="B327" s="25" t="s">
        <v>5154</v>
      </c>
      <c r="C327" s="25" t="s">
        <v>4765</v>
      </c>
    </row>
    <row r="328" spans="1:3">
      <c r="A328" s="25" t="s">
        <v>4602</v>
      </c>
      <c r="B328" s="25" t="s">
        <v>5155</v>
      </c>
      <c r="C328" s="25" t="s">
        <v>4603</v>
      </c>
    </row>
    <row r="329" spans="1:3">
      <c r="A329" s="25" t="s">
        <v>4728</v>
      </c>
      <c r="B329" s="25" t="s">
        <v>5156</v>
      </c>
      <c r="C329" s="25" t="s">
        <v>4729</v>
      </c>
    </row>
    <row r="330" spans="1:3">
      <c r="A330" s="25" t="s">
        <v>4186</v>
      </c>
      <c r="B330" s="25" t="s">
        <v>5157</v>
      </c>
      <c r="C330" s="25" t="s">
        <v>4187</v>
      </c>
    </row>
    <row r="331" spans="1:3">
      <c r="A331" s="25" t="s">
        <v>4507</v>
      </c>
      <c r="B331" s="25" t="s">
        <v>5158</v>
      </c>
      <c r="C331" s="25" t="s">
        <v>4508</v>
      </c>
    </row>
    <row r="332" spans="1:3">
      <c r="A332" s="25" t="s">
        <v>4183</v>
      </c>
      <c r="B332" s="25" t="s">
        <v>5159</v>
      </c>
      <c r="C332" s="25" t="s">
        <v>4184</v>
      </c>
    </row>
    <row r="333" spans="1:3">
      <c r="A333" s="25" t="s">
        <v>4775</v>
      </c>
      <c r="B333" s="25" t="s">
        <v>5160</v>
      </c>
      <c r="C333" s="25" t="s">
        <v>4776</v>
      </c>
    </row>
    <row r="334" spans="1:3">
      <c r="A334" s="25" t="s">
        <v>4783</v>
      </c>
      <c r="B334" s="25" t="s">
        <v>5161</v>
      </c>
      <c r="C334" s="25" t="s">
        <v>4784</v>
      </c>
    </row>
    <row r="335" spans="1:3">
      <c r="A335" s="25" t="s">
        <v>4780</v>
      </c>
      <c r="B335" s="25" t="s">
        <v>5162</v>
      </c>
      <c r="C335" s="25" t="s">
        <v>4781</v>
      </c>
    </row>
    <row r="336" spans="1:3">
      <c r="A336" s="25" t="s">
        <v>4786</v>
      </c>
      <c r="B336" s="25" t="s">
        <v>5163</v>
      </c>
      <c r="C336" s="25" t="s">
        <v>4787</v>
      </c>
    </row>
    <row r="337" spans="1:3">
      <c r="A337" s="25" t="s">
        <v>4790</v>
      </c>
      <c r="B337" s="25" t="s">
        <v>5164</v>
      </c>
      <c r="C337" s="25" t="s">
        <v>4791</v>
      </c>
    </row>
    <row r="338" spans="1:3">
      <c r="A338" s="25" t="s">
        <v>4799</v>
      </c>
      <c r="B338" s="25" t="s">
        <v>5165</v>
      </c>
      <c r="C338" s="25" t="s">
        <v>4800</v>
      </c>
    </row>
    <row r="339" spans="1:3">
      <c r="A339" s="25" t="s">
        <v>4725</v>
      </c>
      <c r="B339" s="25" t="s">
        <v>5166</v>
      </c>
      <c r="C339" s="25" t="s">
        <v>4726</v>
      </c>
    </row>
    <row r="340" spans="1:3">
      <c r="A340" s="25" t="s">
        <v>4801</v>
      </c>
      <c r="B340" s="25" t="s">
        <v>5167</v>
      </c>
      <c r="C340" s="25" t="s">
        <v>4802</v>
      </c>
    </row>
    <row r="341" spans="1:3">
      <c r="A341" s="25" t="s">
        <v>4804</v>
      </c>
      <c r="B341" s="25" t="s">
        <v>5168</v>
      </c>
      <c r="C341" s="25" t="s">
        <v>4805</v>
      </c>
    </row>
    <row r="342" spans="1:3">
      <c r="A342" s="25" t="s">
        <v>4807</v>
      </c>
      <c r="B342" s="25" t="s">
        <v>5169</v>
      </c>
      <c r="C342" s="25" t="s">
        <v>4808</v>
      </c>
    </row>
    <row r="343" spans="1:3">
      <c r="A343" s="25" t="s">
        <v>3946</v>
      </c>
      <c r="B343" s="25" t="s">
        <v>5170</v>
      </c>
      <c r="C343" s="25" t="s">
        <v>3947</v>
      </c>
    </row>
    <row r="344" spans="1:3">
      <c r="A344" s="25" t="s">
        <v>4426</v>
      </c>
      <c r="B344" s="25" t="s">
        <v>5171</v>
      </c>
      <c r="C344" s="25" t="s">
        <v>4427</v>
      </c>
    </row>
    <row r="345" spans="1:3">
      <c r="A345" s="25" t="s">
        <v>4283</v>
      </c>
      <c r="B345" s="25" t="s">
        <v>5172</v>
      </c>
      <c r="C345" s="25" t="s">
        <v>4284</v>
      </c>
    </row>
    <row r="346" spans="1:3">
      <c r="A346" s="25" t="s">
        <v>4385</v>
      </c>
      <c r="B346" s="25" t="s">
        <v>5173</v>
      </c>
      <c r="C346" s="25" t="s">
        <v>4386</v>
      </c>
    </row>
    <row r="347" spans="1:3">
      <c r="A347" s="25" t="s">
        <v>4793</v>
      </c>
      <c r="B347" s="25" t="s">
        <v>5174</v>
      </c>
      <c r="C347" s="25" t="s">
        <v>4794</v>
      </c>
    </row>
    <row r="348" spans="1:3">
      <c r="A348" s="25" t="s">
        <v>3752</v>
      </c>
      <c r="B348" s="25" t="s">
        <v>5175</v>
      </c>
      <c r="C348" s="25" t="s">
        <v>3753</v>
      </c>
    </row>
    <row r="349" spans="1:3">
      <c r="A349" s="25" t="s">
        <v>4646</v>
      </c>
      <c r="B349" s="25" t="s">
        <v>5176</v>
      </c>
      <c r="C349" s="25" t="s">
        <v>4647</v>
      </c>
    </row>
    <row r="350" spans="1:3">
      <c r="A350" s="25" t="s">
        <v>4753</v>
      </c>
      <c r="B350" s="25" t="s">
        <v>5177</v>
      </c>
      <c r="C350" s="25" t="s">
        <v>1717</v>
      </c>
    </row>
    <row r="351" spans="1:3">
      <c r="A351" s="25" t="s">
        <v>4768</v>
      </c>
      <c r="B351" s="25" t="s">
        <v>5178</v>
      </c>
      <c r="C351" s="25" t="s">
        <v>4769</v>
      </c>
    </row>
    <row r="352" spans="1:3">
      <c r="A352" s="25" t="s">
        <v>4813</v>
      </c>
      <c r="B352" s="25" t="s">
        <v>5179</v>
      </c>
      <c r="C352" s="25" t="s">
        <v>5180</v>
      </c>
    </row>
    <row r="353" spans="1:3">
      <c r="A353" s="25" t="s">
        <v>4811</v>
      </c>
      <c r="B353" s="25" t="s">
        <v>5181</v>
      </c>
      <c r="C353" s="25" t="s">
        <v>4812</v>
      </c>
    </row>
    <row r="354" spans="1:3">
      <c r="A354" s="25" t="s">
        <v>4777</v>
      </c>
      <c r="B354" s="25" t="s">
        <v>5182</v>
      </c>
      <c r="C354" s="25" t="s">
        <v>4778</v>
      </c>
    </row>
    <row r="355" spans="1:3">
      <c r="A355" s="25" t="s">
        <v>4815</v>
      </c>
      <c r="B355" s="25" t="s">
        <v>5183</v>
      </c>
      <c r="C355" s="25" t="s">
        <v>1840</v>
      </c>
    </row>
    <row r="356" spans="1:3">
      <c r="A356" s="25" t="s">
        <v>3885</v>
      </c>
      <c r="B356" s="25" t="s">
        <v>5184</v>
      </c>
      <c r="C356" s="25" t="s">
        <v>3886</v>
      </c>
    </row>
    <row r="357" spans="1:3">
      <c r="A357" s="25" t="s">
        <v>4816</v>
      </c>
      <c r="B357" s="25" t="s">
        <v>5185</v>
      </c>
      <c r="C357" s="25" t="s">
        <v>4817</v>
      </c>
    </row>
    <row r="358" spans="1:3">
      <c r="A358" s="25" t="s">
        <v>4572</v>
      </c>
      <c r="B358" s="25" t="s">
        <v>5186</v>
      </c>
      <c r="C358" s="25" t="s">
        <v>4573</v>
      </c>
    </row>
    <row r="359" spans="1:3">
      <c r="A359" s="25" t="s">
        <v>4751</v>
      </c>
      <c r="B359" s="25" t="s">
        <v>5187</v>
      </c>
      <c r="C359" s="25" t="s">
        <v>4752</v>
      </c>
    </row>
    <row r="360" spans="1:3">
      <c r="A360" s="25" t="s">
        <v>4261</v>
      </c>
      <c r="B360" s="25" t="s">
        <v>5188</v>
      </c>
      <c r="C360" s="25" t="s">
        <v>4262</v>
      </c>
    </row>
    <row r="361" spans="1:3">
      <c r="A361" s="25" t="s">
        <v>4493</v>
      </c>
      <c r="B361" s="25" t="s">
        <v>5189</v>
      </c>
      <c r="C361" s="25" t="s">
        <v>4494</v>
      </c>
    </row>
    <row r="362" spans="1:3">
      <c r="A362" s="25" t="s">
        <v>4209</v>
      </c>
      <c r="B362" s="25" t="s">
        <v>5190</v>
      </c>
      <c r="C362" s="25" t="s">
        <v>4210</v>
      </c>
    </row>
    <row r="363" spans="1:3">
      <c r="A363" s="25" t="s">
        <v>4771</v>
      </c>
      <c r="B363" s="25" t="s">
        <v>5191</v>
      </c>
      <c r="C363" s="25" t="s">
        <v>4772</v>
      </c>
    </row>
    <row r="364" spans="1:3">
      <c r="A364" s="25" t="s">
        <v>4819</v>
      </c>
      <c r="B364" s="25" t="s">
        <v>5192</v>
      </c>
      <c r="C364" s="25" t="s">
        <v>1832</v>
      </c>
    </row>
    <row r="365" spans="1:3">
      <c r="A365" s="25" t="s">
        <v>4820</v>
      </c>
      <c r="B365" s="25" t="s">
        <v>5193</v>
      </c>
      <c r="C365" s="25" t="s">
        <v>4821</v>
      </c>
    </row>
    <row r="366" spans="1:3">
      <c r="A366" s="25" t="s">
        <v>4605</v>
      </c>
      <c r="B366" s="25" t="s">
        <v>5194</v>
      </c>
      <c r="C366" s="25" t="s">
        <v>1832</v>
      </c>
    </row>
    <row r="367" spans="1:3">
      <c r="A367" s="25" t="s">
        <v>4825</v>
      </c>
      <c r="B367" s="25" t="s">
        <v>5195</v>
      </c>
      <c r="C367" s="25" t="s">
        <v>4826</v>
      </c>
    </row>
    <row r="368" spans="1:3">
      <c r="A368" s="25" t="s">
        <v>4435</v>
      </c>
      <c r="B368" s="25" t="s">
        <v>5196</v>
      </c>
      <c r="C368" s="25" t="s">
        <v>4436</v>
      </c>
    </row>
    <row r="369" spans="1:3">
      <c r="A369" s="25" t="s">
        <v>4718</v>
      </c>
      <c r="B369" s="25" t="s">
        <v>5197</v>
      </c>
      <c r="C369" s="25" t="s">
        <v>4719</v>
      </c>
    </row>
    <row r="370" spans="1:3">
      <c r="A370" s="25" t="s">
        <v>4715</v>
      </c>
      <c r="B370" s="25" t="s">
        <v>5198</v>
      </c>
      <c r="C370" s="25" t="s">
        <v>4716</v>
      </c>
    </row>
    <row r="371" spans="1:3">
      <c r="A371" s="25" t="s">
        <v>4550</v>
      </c>
      <c r="B371" s="25" t="s">
        <v>5199</v>
      </c>
      <c r="C371" s="25" t="s">
        <v>4551</v>
      </c>
    </row>
    <row r="372" spans="1:3">
      <c r="A372" s="25" t="s">
        <v>4553</v>
      </c>
      <c r="B372" s="25" t="s">
        <v>5200</v>
      </c>
      <c r="C372" s="25" t="s">
        <v>4554</v>
      </c>
    </row>
    <row r="373" spans="1:3">
      <c r="A373" s="25" t="s">
        <v>4823</v>
      </c>
      <c r="B373" s="25" t="s">
        <v>5201</v>
      </c>
      <c r="C373" s="25" t="s">
        <v>4824</v>
      </c>
    </row>
    <row r="374" spans="1:3">
      <c r="A374" s="25" t="s">
        <v>4574</v>
      </c>
      <c r="B374" s="25" t="s">
        <v>5202</v>
      </c>
      <c r="C374" s="25" t="s">
        <v>4575</v>
      </c>
    </row>
    <row r="375" spans="1:3">
      <c r="A375" s="25" t="s">
        <v>4556</v>
      </c>
      <c r="B375" s="25" t="s">
        <v>5203</v>
      </c>
      <c r="C375" s="25" t="s">
        <v>4557</v>
      </c>
    </row>
    <row r="376" spans="1:3">
      <c r="A376" s="25" t="s">
        <v>3957</v>
      </c>
      <c r="B376" s="25" t="s">
        <v>5204</v>
      </c>
      <c r="C376" s="25" t="s">
        <v>3958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beb44b-3f5e-4118-b294-fe7d35de5d9b">
      <Terms xmlns="http://schemas.microsoft.com/office/infopath/2007/PartnerControls"/>
    </lcf76f155ced4ddcb4097134ff3c332f>
    <TaxCatchAll xmlns="84680720-55f8-4e98-ba11-d4ce4cb11c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5877577748494B825643CD9BAF59F3" ma:contentTypeVersion="11" ma:contentTypeDescription="Crée un document." ma:contentTypeScope="" ma:versionID="1ac5dc1f4d5f1211fbad7fa9185a0bc3">
  <xsd:schema xmlns:xsd="http://www.w3.org/2001/XMLSchema" xmlns:xs="http://www.w3.org/2001/XMLSchema" xmlns:p="http://schemas.microsoft.com/office/2006/metadata/properties" xmlns:ns2="52beb44b-3f5e-4118-b294-fe7d35de5d9b" xmlns:ns3="84680720-55f8-4e98-ba11-d4ce4cb11c57" targetNamespace="http://schemas.microsoft.com/office/2006/metadata/properties" ma:root="true" ma:fieldsID="8653be1c306292b585e54e4b114f0dcd" ns2:_="" ns3:_="">
    <xsd:import namespace="52beb44b-3f5e-4118-b294-fe7d35de5d9b"/>
    <xsd:import namespace="84680720-55f8-4e98-ba11-d4ce4cb11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eb44b-3f5e-4118-b294-fe7d35de5d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7153b9-e853-4e60-b5b2-de616b86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80720-55f8-4e98-ba11-d4ce4cb11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250b80-6e11-4e90-ab0a-c92b5696071f}" ma:internalName="TaxCatchAll" ma:showField="CatchAllData" ma:web="84680720-55f8-4e98-ba11-d4ce4cb11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C7E7F5-E710-425C-A6E3-A55428B0FB8E}"/>
</file>

<file path=customXml/itemProps2.xml><?xml version="1.0" encoding="utf-8"?>
<ds:datastoreItem xmlns:ds="http://schemas.openxmlformats.org/officeDocument/2006/customXml" ds:itemID="{6D35033F-3F58-471A-A314-7A3C5425C00F}"/>
</file>

<file path=customXml/itemProps3.xml><?xml version="1.0" encoding="utf-8"?>
<ds:datastoreItem xmlns:ds="http://schemas.openxmlformats.org/officeDocument/2006/customXml" ds:itemID="{1C14D1E4-6039-4D31-A876-EBB996CB2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Thierry YOLLO</dc:creator>
  <cp:keywords/>
  <dc:description/>
  <cp:lastModifiedBy/>
  <cp:revision/>
  <dcterms:created xsi:type="dcterms:W3CDTF">2026-02-06T17:01:57Z</dcterms:created>
  <dcterms:modified xsi:type="dcterms:W3CDTF">2026-02-13T10:08:11Z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0x010100515877577748494B825643CD9BAF59F3</vt:lpwstr>
  </property>
</Properties>
</file>